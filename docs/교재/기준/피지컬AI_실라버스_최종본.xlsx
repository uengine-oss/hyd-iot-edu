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통합반 온라인 44H" sheetId="1" state="visible" r:id="rId1"/>
    <sheet name="실전반 온라인 32H" sheetId="2" state="visible" r:id="rId2"/>
    <sheet name="통합반 오프라인 정규 10회" sheetId="3" state="visible" r:id="rId3"/>
    <sheet name="실전반 오프라인 정규 9회" sheetId="4" state="visible" r:id="rId4"/>
  </sheets>
  <definedNames/>
</workbook>
</file>

<file path=xl/styles.xml><?xml version="1.0" encoding="utf-8"?>
<styleSheet xmlns="http://schemas.openxmlformats.org/spreadsheetml/2006/main">
  <numFmts count="0"/>
  <fonts count="18">
    <font>
      <name val="Carlito"/>
      <sz val="11"/>
    </font>
    <font>
      <name val="맑은 고딕"/>
      <color rgb="FF24394C"/>
      <sz val="10.5"/>
    </font>
    <font>
      <name val="맑은 고딕"/>
      <b val="1"/>
      <color rgb="FFFFFFFF"/>
      <sz val="15"/>
    </font>
    <font>
      <name val="맑은 고딕"/>
      <color rgb="FF526A7C"/>
      <sz val="10"/>
    </font>
    <font>
      <name val="맑은 고딕"/>
      <b val="1"/>
      <color rgb="FF173C57"/>
      <sz val="11"/>
    </font>
    <font>
      <name val="맑은 고딕"/>
      <b val="1"/>
      <color rgb="FF173C57"/>
      <sz val="12"/>
    </font>
    <font>
      <name val="맑은 고딕"/>
      <b val="1"/>
      <color rgb="FFFFFFFF"/>
      <sz val="10.5"/>
    </font>
    <font>
      <name val="맑은 고딕"/>
      <b val="1"/>
      <color rgb="FF245D87"/>
      <sz val="10"/>
    </font>
    <font>
      <name val="맑은 고딕"/>
      <b val="1"/>
      <color rgb="FF24394C"/>
      <sz val="10.5"/>
    </font>
    <font>
      <name val="맑은 고딕"/>
      <b val="1"/>
      <color rgb="FF1B694B"/>
      <sz val="10"/>
    </font>
    <font>
      <name val="맑은 고딕"/>
      <b val="1"/>
      <color rgb="FF173C57"/>
      <sz val="10.5"/>
    </font>
    <font>
      <name val="맑은 고딕"/>
      <b val="1"/>
      <color rgb="FFFFFFFF"/>
      <sz val="10"/>
    </font>
    <font>
      <name val="맑은 고딕"/>
      <b val="1"/>
      <color rgb="FF0B3660"/>
      <sz val="10"/>
    </font>
    <font>
      <name val="맑은 고딕"/>
      <color rgb="FF203244"/>
      <sz val="10"/>
    </font>
    <font>
      <name val="맑은 고딕"/>
      <b val="1"/>
      <color rgb="FF203244"/>
      <sz val="10"/>
    </font>
    <font>
      <name val="맑은 고딕"/>
      <color rgb="FF0B3660"/>
      <sz val="10"/>
    </font>
    <font>
      <name val="맑은 고딕"/>
      <color rgb="FF145A46"/>
      <sz val="10"/>
    </font>
    <font>
      <name val="맑은 고딕"/>
      <color rgb="FF536679"/>
      <sz val="10"/>
    </font>
  </fonts>
  <fills count="15">
    <fill>
      <patternFill/>
    </fill>
    <fill>
      <patternFill patternType="gray125"/>
    </fill>
    <fill>
      <patternFill patternType="solid">
        <fgColor rgb="FF173C57"/>
      </patternFill>
    </fill>
    <fill>
      <patternFill patternType="solid">
        <fgColor rgb="FFF0F5F9"/>
      </patternFill>
    </fill>
    <fill>
      <patternFill patternType="solid">
        <fgColor rgb="FFDBEAF5"/>
      </patternFill>
    </fill>
    <fill>
      <patternFill patternType="solid">
        <fgColor rgb="FF244E69"/>
      </patternFill>
    </fill>
    <fill>
      <patternFill patternType="solid">
        <fgColor rgb="FFFFFFFF"/>
      </patternFill>
    </fill>
    <fill>
      <patternFill patternType="solid">
        <fgColor rgb="FFE6F0FA"/>
      </patternFill>
    </fill>
    <fill>
      <patternFill patternType="solid">
        <fgColor rgb="FFF6F8FB"/>
      </patternFill>
    </fill>
    <fill>
      <patternFill patternType="solid">
        <fgColor rgb="FFE6F3EA"/>
      </patternFill>
    </fill>
    <fill>
      <patternFill patternType="solid">
        <fgColor rgb="FFE5EFF8"/>
      </patternFill>
    </fill>
    <fill>
      <patternFill patternType="solid">
        <fgColor rgb="FF16273E"/>
      </patternFill>
    </fill>
    <fill>
      <patternFill patternType="solid">
        <fgColor rgb="FFE9F0F7"/>
      </patternFill>
    </fill>
    <fill>
      <patternFill patternType="solid">
        <fgColor rgb="FFFFFFFF"/>
      </patternFill>
    </fill>
    <fill>
      <patternFill patternType="solid">
        <fgColor rgb="FFF3F7FB"/>
      </patternFill>
    </fill>
  </fills>
  <borders count="1">
    <border/>
  </borders>
  <cellStyleXfs count="1">
    <xf numFmtId="0" fontId="0" fillId="0" borderId="0"/>
  </cellStyleXfs>
  <cellXfs count="121">
    <xf numFmtId="0" fontId="0" fillId="0" borderId="0" pivotButton="0" quotePrefix="0" xfId="0"/>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2" fillId="2" borderId="0" applyAlignment="1" pivotButton="0" quotePrefix="0" xfId="0">
      <alignment horizontal="left" vertical="center"/>
    </xf>
    <xf numFmtId="0" fontId="1" fillId="3" borderId="0" applyAlignment="1" pivotButton="0" quotePrefix="0" xfId="0">
      <alignment vertical="center"/>
    </xf>
    <xf numFmtId="0" fontId="3" fillId="3" borderId="0" applyAlignment="1" pivotButton="0" quotePrefix="0" xfId="0">
      <alignment vertical="center"/>
    </xf>
    <xf numFmtId="0" fontId="4" fillId="3" borderId="0" applyAlignment="1" pivotButton="0" quotePrefix="0" xfId="0">
      <alignment vertical="center"/>
    </xf>
    <xf numFmtId="0" fontId="4" fillId="3" borderId="0" applyAlignment="1" pivotButton="0" quotePrefix="0" xfId="0">
      <alignment horizontal="center" vertical="center"/>
    </xf>
    <xf numFmtId="0" fontId="1" fillId="4" borderId="0" applyAlignment="1" pivotButton="0" quotePrefix="0" xfId="0">
      <alignment vertical="center"/>
    </xf>
    <xf numFmtId="0" fontId="5" fillId="4" borderId="0" applyAlignment="1" pivotButton="0" quotePrefix="0" xfId="0">
      <alignment vertical="center"/>
    </xf>
    <xf numFmtId="0" fontId="4" fillId="4" borderId="0" applyAlignment="1" pivotButton="0" quotePrefix="0" xfId="0">
      <alignment vertical="center"/>
    </xf>
    <xf numFmtId="0" fontId="4" fillId="4" borderId="0" applyAlignment="1" pivotButton="0" quotePrefix="0" xfId="0">
      <alignment horizontal="center" vertical="center"/>
    </xf>
    <xf numFmtId="0" fontId="1" fillId="5" borderId="0" applyAlignment="1" pivotButton="0" quotePrefix="0" xfId="0">
      <alignment vertical="center"/>
    </xf>
    <xf numFmtId="0" fontId="6" fillId="5" borderId="0" applyAlignment="1" pivotButton="0" quotePrefix="0" xfId="0">
      <alignment vertical="center"/>
    </xf>
    <xf numFmtId="0" fontId="6" fillId="5" borderId="0" applyAlignment="1" pivotButton="0" quotePrefix="0" xfId="0">
      <alignment horizontal="center" vertical="center"/>
    </xf>
    <xf numFmtId="0" fontId="1" fillId="6" borderId="0" applyAlignment="1" pivotButton="0" quotePrefix="0" xfId="0">
      <alignment vertical="center"/>
    </xf>
    <xf numFmtId="0" fontId="1" fillId="6" borderId="0" applyAlignment="1" pivotButton="0" quotePrefix="0" xfId="0">
      <alignment vertical="center" wrapText="1"/>
    </xf>
    <xf numFmtId="0" fontId="1" fillId="7" borderId="0" applyAlignment="1" pivotButton="0" quotePrefix="0" xfId="0">
      <alignment vertical="center" wrapText="1"/>
    </xf>
    <xf numFmtId="0" fontId="7" fillId="7" borderId="0" applyAlignment="1" pivotButton="0" quotePrefix="0" xfId="0">
      <alignment vertical="center" wrapText="1"/>
    </xf>
    <xf numFmtId="0" fontId="7" fillId="7" borderId="0" applyAlignment="1" pivotButton="0" quotePrefix="0" xfId="0">
      <alignment horizontal="center" vertical="center" wrapText="1"/>
    </xf>
    <xf numFmtId="0" fontId="8" fillId="6" borderId="0" applyAlignment="1" pivotButton="0" quotePrefix="0" xfId="0">
      <alignment vertical="center" wrapText="1"/>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1" fillId="8" borderId="0" applyAlignment="1" pivotButton="0" quotePrefix="0" xfId="0">
      <alignment vertical="center"/>
    </xf>
    <xf numFmtId="0" fontId="1" fillId="8" borderId="0" applyAlignment="1" pivotButton="0" quotePrefix="0" xfId="0">
      <alignment vertical="center" wrapText="1"/>
    </xf>
    <xf numFmtId="0" fontId="1" fillId="9" borderId="0" applyAlignment="1" pivotButton="0" quotePrefix="0" xfId="0">
      <alignment vertical="center" wrapText="1"/>
    </xf>
    <xf numFmtId="0" fontId="9" fillId="9" borderId="0" applyAlignment="1" pivotButton="0" quotePrefix="0" xfId="0">
      <alignment vertical="center" wrapText="1"/>
    </xf>
    <xf numFmtId="0" fontId="9" fillId="9" borderId="0" applyAlignment="1" pivotButton="0" quotePrefix="0" xfId="0">
      <alignment horizontal="center" vertical="center" wrapText="1"/>
    </xf>
    <xf numFmtId="0" fontId="8" fillId="8" borderId="0" applyAlignment="1" pivotButton="0" quotePrefix="0" xfId="0">
      <alignment vertical="center" wrapText="1"/>
    </xf>
    <xf numFmtId="0" fontId="4" fillId="8" borderId="0" applyAlignment="1" pivotButton="0" quotePrefix="0" xfId="0">
      <alignment vertical="center" wrapText="1"/>
    </xf>
    <xf numFmtId="0" fontId="4" fillId="8" borderId="0" applyAlignment="1" pivotButton="0" quotePrefix="0" xfId="0">
      <alignment horizontal="center" vertical="center" wrapText="1"/>
    </xf>
    <xf numFmtId="0" fontId="1" fillId="10" borderId="0" applyAlignment="1" pivotButton="0" quotePrefix="0" xfId="0">
      <alignment vertical="center"/>
    </xf>
    <xf numFmtId="0" fontId="10" fillId="10" borderId="0" applyAlignment="1" pivotButton="0" quotePrefix="0" xfId="0">
      <alignment vertical="center"/>
    </xf>
    <xf numFmtId="0" fontId="4" fillId="10" borderId="0" applyAlignment="1" pivotButton="0" quotePrefix="0" xfId="0">
      <alignment vertical="center"/>
    </xf>
    <xf numFmtId="0" fontId="4" fillId="10" borderId="0" applyAlignment="1" pivotButton="0" quotePrefix="0" xfId="0">
      <alignment horizontal="center" vertical="center"/>
    </xf>
    <xf numFmtId="0" fontId="10" fillId="10" borderId="0" applyAlignment="1" pivotButton="0" quotePrefix="0" xfId="0">
      <alignment horizontal="center" vertical="center"/>
    </xf>
    <xf numFmtId="0" fontId="5" fillId="10" borderId="0" applyAlignment="1" pivotButton="0" quotePrefix="0" xfId="0">
      <alignment vertical="center"/>
    </xf>
    <xf numFmtId="0" fontId="0" fillId="11" borderId="0" pivotButton="0" quotePrefix="0" xfId="0"/>
    <xf numFmtId="0" fontId="11" fillId="11" borderId="0" pivotButton="0" quotePrefix="0" xfId="0"/>
    <xf numFmtId="0" fontId="11" fillId="11" borderId="0" applyAlignment="1" pivotButton="0" quotePrefix="0" xfId="0">
      <alignment wrapText="1"/>
    </xf>
    <xf numFmtId="0" fontId="11" fillId="11" borderId="0" applyAlignment="1" pivotButton="0" quotePrefix="0" xfId="0">
      <alignment vertical="center" wrapText="1"/>
    </xf>
    <xf numFmtId="0" fontId="11" fillId="11" borderId="0" applyAlignment="1" pivotButton="0" quotePrefix="0" xfId="0">
      <alignment horizontal="center" vertical="center" wrapText="1"/>
    </xf>
    <xf numFmtId="0" fontId="0" fillId="12" borderId="0" pivotButton="0" quotePrefix="0" xfId="0"/>
    <xf numFmtId="0" fontId="12" fillId="12" borderId="0" pivotButton="0" quotePrefix="0" xfId="0"/>
    <xf numFmtId="0" fontId="12" fillId="12" borderId="0" applyAlignment="1" pivotButton="0" quotePrefix="0" xfId="0">
      <alignment wrapText="1"/>
    </xf>
    <xf numFmtId="0" fontId="12" fillId="12" borderId="0" applyAlignment="1" pivotButton="0" quotePrefix="0" xfId="0">
      <alignment horizontal="center" wrapText="1"/>
    </xf>
    <xf numFmtId="0" fontId="12" fillId="12" borderId="0" applyAlignment="1" pivotButton="0" quotePrefix="0" xfId="0">
      <alignment horizontal="center" vertical="center" wrapText="1"/>
    </xf>
    <xf numFmtId="0" fontId="0" fillId="13" borderId="0" pivotButton="0" quotePrefix="0" xfId="0"/>
    <xf numFmtId="0" fontId="13" fillId="13" borderId="0" pivotButton="0" quotePrefix="0" xfId="0"/>
    <xf numFmtId="0" fontId="13" fillId="13" borderId="0" applyAlignment="1" pivotButton="0" quotePrefix="0" xfId="0">
      <alignment wrapText="1"/>
    </xf>
    <xf numFmtId="0" fontId="13" fillId="13" borderId="0" applyAlignment="1" pivotButton="0" quotePrefix="0" xfId="0">
      <alignment vertical="center" wrapText="1"/>
    </xf>
    <xf numFmtId="0" fontId="13" fillId="13" borderId="0" applyAlignment="1" pivotButton="0" quotePrefix="0" xfId="0">
      <alignment horizontal="center" vertical="center" wrapText="1"/>
    </xf>
    <xf numFmtId="0" fontId="14" fillId="13" borderId="0" applyAlignment="1" pivotButton="0" quotePrefix="0" xfId="0">
      <alignment vertical="center" wrapText="1"/>
    </xf>
    <xf numFmtId="0" fontId="15" fillId="13" borderId="0" applyAlignment="1" pivotButton="0" quotePrefix="0" xfId="0">
      <alignment horizontal="center" vertical="center" wrapText="1"/>
    </xf>
    <xf numFmtId="0" fontId="0" fillId="14" borderId="0" pivotButton="0" quotePrefix="0" xfId="0"/>
    <xf numFmtId="0" fontId="13" fillId="14" borderId="0" pivotButton="0" quotePrefix="0" xfId="0"/>
    <xf numFmtId="0" fontId="13" fillId="14" borderId="0" applyAlignment="1" pivotButton="0" quotePrefix="0" xfId="0">
      <alignment wrapText="1"/>
    </xf>
    <xf numFmtId="0" fontId="13" fillId="14" borderId="0" applyAlignment="1" pivotButton="0" quotePrefix="0" xfId="0">
      <alignment vertical="center" wrapText="1"/>
    </xf>
    <xf numFmtId="0" fontId="13" fillId="14" borderId="0" applyAlignment="1" pivotButton="0" quotePrefix="0" xfId="0">
      <alignment horizontal="center" vertical="center" wrapText="1"/>
    </xf>
    <xf numFmtId="0" fontId="14" fillId="14" borderId="0" applyAlignment="1" pivotButton="0" quotePrefix="0" xfId="0">
      <alignment vertical="center" wrapText="1"/>
    </xf>
    <xf numFmtId="0" fontId="15" fillId="14" borderId="0" applyAlignment="1" pivotButton="0" quotePrefix="0" xfId="0">
      <alignment horizontal="center" vertical="center" wrapText="1"/>
    </xf>
    <xf numFmtId="0" fontId="16" fillId="13" borderId="0" applyAlignment="1" pivotButton="0" quotePrefix="0" xfId="0">
      <alignment horizontal="center" vertical="center" wrapText="1"/>
    </xf>
    <xf numFmtId="0" fontId="16" fillId="14" borderId="0" applyAlignment="1" pivotButton="0" quotePrefix="0" xfId="0">
      <alignment horizontal="center" vertical="center" wrapText="1"/>
    </xf>
    <xf numFmtId="0" fontId="12" fillId="12" borderId="0" applyAlignment="1" pivotButton="0" quotePrefix="0" xfId="0">
      <alignment vertical="center" wrapText="1"/>
    </xf>
    <xf numFmtId="0" fontId="17" fillId="14" borderId="0" pivotButton="0" quotePrefix="0" xfId="0"/>
    <xf numFmtId="0" fontId="17" fillId="14" borderId="0" applyAlignment="1" pivotButton="0" quotePrefix="0" xfId="0">
      <alignment wrapText="1"/>
    </xf>
    <xf numFmtId="0" fontId="17" fillId="14" borderId="0" applyAlignment="1" pivotButton="0" quotePrefix="0" xfId="0">
      <alignment vertical="center" wrapText="1"/>
    </xf>
    <xf numFmtId="0" fontId="2" fillId="13" borderId="0" applyAlignment="1" pivotButton="0" quotePrefix="0" xfId="0">
      <alignment horizontal="left" vertical="center"/>
    </xf>
    <xf numFmtId="0" fontId="3" fillId="13" borderId="0" applyAlignment="1" pivotButton="0" quotePrefix="0" xfId="0">
      <alignment vertical="center"/>
    </xf>
    <xf numFmtId="0" fontId="4" fillId="13" borderId="0" applyAlignment="1" pivotButton="0" quotePrefix="0" xfId="0">
      <alignment horizontal="center" vertical="center"/>
    </xf>
    <xf numFmtId="0" fontId="1" fillId="13" borderId="0" applyAlignment="1" pivotButton="0" quotePrefix="0" xfId="0">
      <alignment vertical="center"/>
    </xf>
    <xf numFmtId="0" fontId="5" fillId="13" borderId="0" applyAlignment="1" pivotButton="0" quotePrefix="0" xfId="0">
      <alignment vertical="center"/>
    </xf>
    <xf numFmtId="0" fontId="6" fillId="13" borderId="0" applyAlignment="1" pivotButton="0" quotePrefix="0" xfId="0">
      <alignment horizontal="center" vertical="center"/>
    </xf>
    <xf numFmtId="0" fontId="7" fillId="13" borderId="0" applyAlignment="1" pivotButton="0" quotePrefix="0" xfId="0">
      <alignment horizontal="center" vertical="center" wrapText="1"/>
    </xf>
    <xf numFmtId="0" fontId="8" fillId="13" borderId="0" applyAlignment="1" pivotButton="0" quotePrefix="0" xfId="0">
      <alignment vertical="center" wrapText="1"/>
    </xf>
    <xf numFmtId="0" fontId="1" fillId="13" borderId="0" applyAlignment="1" pivotButton="0" quotePrefix="0" xfId="0">
      <alignment vertical="center" wrapText="1"/>
    </xf>
    <xf numFmtId="0" fontId="4" fillId="13" borderId="0" applyAlignment="1" pivotButton="0" quotePrefix="0" xfId="0">
      <alignment horizontal="center" vertical="center" wrapText="1"/>
    </xf>
    <xf numFmtId="0" fontId="9" fillId="13" borderId="0" applyAlignment="1" pivotButton="0" quotePrefix="0" xfId="0">
      <alignment horizontal="center" vertical="center" wrapText="1"/>
    </xf>
    <xf numFmtId="0" fontId="10" fillId="13" borderId="0" applyAlignment="1" pivotButton="0" quotePrefix="0" xfId="0">
      <alignment vertical="center"/>
    </xf>
    <xf numFmtId="0" fontId="2" fillId="11" borderId="0" applyAlignment="1" pivotButton="0" quotePrefix="0" xfId="0">
      <alignment horizontal="left" vertical="center"/>
    </xf>
    <xf numFmtId="0" fontId="11" fillId="11" borderId="0" applyAlignment="1" pivotButton="0" quotePrefix="0" xfId="0">
      <alignment horizontal="left" vertical="center"/>
    </xf>
    <xf numFmtId="0" fontId="11" fillId="11" borderId="0" applyAlignment="1" pivotButton="0" quotePrefix="0" xfId="0">
      <alignment horizontal="left" vertical="center" wrapText="1"/>
    </xf>
    <xf numFmtId="0" fontId="3" fillId="12" borderId="0" applyAlignment="1" pivotButton="0" quotePrefix="0" xfId="0">
      <alignment vertical="center"/>
    </xf>
    <xf numFmtId="0" fontId="4" fillId="12" borderId="0" applyAlignment="1" pivotButton="0" quotePrefix="0" xfId="0">
      <alignment horizontal="center" vertical="center"/>
    </xf>
    <xf numFmtId="0" fontId="12" fillId="12" borderId="0" applyAlignment="1" pivotButton="0" quotePrefix="0" xfId="0">
      <alignment vertical="center"/>
    </xf>
    <xf numFmtId="0" fontId="12" fillId="12" borderId="0" applyAlignment="1" pivotButton="0" quotePrefix="0" xfId="0">
      <alignment horizontal="center" vertical="center"/>
    </xf>
    <xf numFmtId="0" fontId="5" fillId="11" borderId="0" applyAlignment="1" pivotButton="0" quotePrefix="0" xfId="0">
      <alignment vertical="center"/>
    </xf>
    <xf numFmtId="0" fontId="4" fillId="11" borderId="0" applyAlignment="1" pivotButton="0" quotePrefix="0" xfId="0">
      <alignment horizontal="center" vertical="center"/>
    </xf>
    <xf numFmtId="0" fontId="11" fillId="11" borderId="0" applyAlignment="1" pivotButton="0" quotePrefix="0" xfId="0">
      <alignment vertical="center"/>
    </xf>
    <xf numFmtId="0" fontId="11" fillId="11" borderId="0" applyAlignment="1" pivotButton="0" quotePrefix="0" xfId="0">
      <alignment horizontal="center" vertical="center"/>
    </xf>
    <xf numFmtId="0" fontId="6" fillId="12" borderId="0" applyAlignment="1" pivotButton="0" quotePrefix="0" xfId="0">
      <alignment horizontal="center" vertical="center"/>
    </xf>
    <xf numFmtId="0" fontId="9" fillId="14" borderId="0" applyAlignment="1" pivotButton="0" quotePrefix="0" xfId="0">
      <alignment horizontal="center" vertical="center" wrapText="1"/>
    </xf>
    <xf numFmtId="0" fontId="8" fillId="14" borderId="0" applyAlignment="1" pivotButton="0" quotePrefix="0" xfId="0">
      <alignment vertical="center" wrapText="1"/>
    </xf>
    <xf numFmtId="0" fontId="1" fillId="14" borderId="0" applyAlignment="1" pivotButton="0" quotePrefix="0" xfId="0">
      <alignment vertical="center" wrapText="1"/>
    </xf>
    <xf numFmtId="0" fontId="4" fillId="14" borderId="0" applyAlignment="1" pivotButton="0" quotePrefix="0" xfId="0">
      <alignment horizontal="center" vertical="center" wrapText="1"/>
    </xf>
    <xf numFmtId="0" fontId="7" fillId="14" borderId="0" applyAlignment="1" pivotButton="0" quotePrefix="0" xfId="0">
      <alignment horizontal="center" vertical="center" wrapText="1"/>
    </xf>
    <xf numFmtId="0" fontId="10" fillId="12" borderId="0" applyAlignment="1" pivotButton="0" quotePrefix="0" xfId="0">
      <alignment vertical="center"/>
    </xf>
    <xf numFmtId="0" fontId="13" fillId="13" borderId="0" applyAlignment="1" pivotButton="0" quotePrefix="0" xfId="0">
      <alignment vertical="center"/>
    </xf>
    <xf numFmtId="0" fontId="13" fillId="13" borderId="0" applyAlignment="1" pivotButton="0" quotePrefix="0" xfId="0">
      <alignment horizontal="center" vertical="center"/>
    </xf>
    <xf numFmtId="0" fontId="1" fillId="12" borderId="0" applyAlignment="1" pivotButton="0" quotePrefix="0" xfId="0">
      <alignment vertical="center"/>
    </xf>
    <xf numFmtId="0" fontId="6" fillId="11" borderId="0" applyAlignment="1" pivotButton="0" quotePrefix="0" xfId="0">
      <alignment horizontal="center" vertical="center"/>
    </xf>
    <xf numFmtId="0" fontId="9" fillId="12" borderId="0" applyAlignment="1" pivotButton="0" quotePrefix="0" xfId="0">
      <alignment horizontal="center" vertical="center" wrapText="1"/>
    </xf>
    <xf numFmtId="0" fontId="8" fillId="12" borderId="0" applyAlignment="1" pivotButton="0" quotePrefix="0" xfId="0">
      <alignment vertical="center" wrapText="1"/>
    </xf>
    <xf numFmtId="0" fontId="1" fillId="12" borderId="0" applyAlignment="1" pivotButton="0" quotePrefix="0" xfId="0">
      <alignment vertical="center" wrapText="1"/>
    </xf>
    <xf numFmtId="0" fontId="4" fillId="12" borderId="0" applyAlignment="1" pivotButton="0" quotePrefix="0" xfId="0">
      <alignment horizontal="center" vertical="center" wrapText="1"/>
    </xf>
    <xf numFmtId="0" fontId="10" fillId="14" borderId="0" applyAlignment="1" pivotButton="0" quotePrefix="0" xfId="0">
      <alignment vertical="center"/>
    </xf>
    <xf numFmtId="0" fontId="4" fillId="14" borderId="0" applyAlignment="1" pivotButton="0" quotePrefix="0" xfId="0">
      <alignment horizontal="center" vertical="center"/>
    </xf>
    <xf numFmtId="0" fontId="13" fillId="14" borderId="0" applyAlignment="1" pivotButton="0" quotePrefix="0" xfId="0">
      <alignment vertical="center"/>
    </xf>
    <xf numFmtId="0" fontId="13" fillId="14" borderId="0" applyAlignment="1" pivotButton="0" quotePrefix="0" xfId="0">
      <alignment horizontal="center" vertical="center"/>
    </xf>
    <xf numFmtId="0" fontId="5" fillId="12" borderId="0" applyAlignment="1" pivotButton="0" quotePrefix="0" xfId="0">
      <alignment vertical="center"/>
    </xf>
    <xf numFmtId="0" fontId="9" fillId="11" borderId="0" applyAlignment="1" pivotButton="0" quotePrefix="0" xfId="0">
      <alignment horizontal="center" vertical="center" wrapText="1"/>
    </xf>
    <xf numFmtId="0" fontId="8" fillId="11" borderId="0" applyAlignment="1" pivotButton="0" quotePrefix="0" xfId="0">
      <alignment vertical="center" wrapText="1"/>
    </xf>
    <xf numFmtId="0" fontId="1" fillId="11" borderId="0" applyAlignment="1" pivotButton="0" quotePrefix="0" xfId="0">
      <alignment vertical="center" wrapText="1"/>
    </xf>
    <xf numFmtId="0" fontId="4" fillId="11" borderId="0" applyAlignment="1" pivotButton="0" quotePrefix="0" xfId="0">
      <alignment horizontal="center" vertical="center" wrapText="1"/>
    </xf>
    <xf numFmtId="0" fontId="1" fillId="14" borderId="0" applyAlignment="1" pivotButton="0" quotePrefix="0" xfId="0">
      <alignment vertical="center"/>
    </xf>
    <xf numFmtId="0" fontId="14" fillId="12" borderId="0" pivotButton="0" quotePrefix="0" xfId="0"/>
    <xf numFmtId="0" fontId="14" fillId="12" borderId="0" applyAlignment="1" pivotButton="0" quotePrefix="0" xfId="0">
      <alignment wrapText="1"/>
    </xf>
    <xf numFmtId="0" fontId="14" fillId="12" borderId="0" applyAlignment="1" pivotButton="0" quotePrefix="0" xfId="0">
      <alignmen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D126"/>
  <sheetViews>
    <sheetView workbookViewId="0">
      <pane ySplit="3" topLeftCell="A4" activePane="bottomLeft" state="frozen"/>
      <selection activeCell="A1" sqref="A1"/>
    </sheetView>
  </sheetViews>
  <sheetFormatPr baseColWidth="8" defaultRowHeight="15"/>
  <cols>
    <col width="12" customWidth="1" style="1" min="1" max="1"/>
    <col width="46" customWidth="1" style="1" min="2" max="2"/>
    <col width="108" customWidth="1" style="1" min="3" max="3"/>
    <col width="12" customWidth="1" style="1" min="4" max="4"/>
  </cols>
  <sheetData>
    <row r="1" ht="43" customHeight="1" s="1">
      <c r="A1" s="6" t="inlineStr">
        <is>
          <t>HYD 제조 AI  |  통합반 온라인 44H 상세 실라버스</t>
        </is>
      </c>
    </row>
    <row r="2" ht="31" customHeight="1" s="1">
      <c r="A2" s="8" t="inlineStr">
        <is>
          <t>확정: 11일×240분 | 1~4일차 승인 문구·시간 원문 보존 | 각 활동은 이론 또는 실습 | 영역 말미 Wrap-up 30분</t>
        </is>
      </c>
      <c r="D2" s="10">
        <f>SUM(D13,D24,D34,D43,D53,D64,D75,D85,D96,D106,D118)</f>
        <v/>
      </c>
    </row>
    <row r="3" ht="12" customHeight="1" s="1">
      <c r="A3" s="3" t="n"/>
      <c r="B3" s="3" t="n"/>
      <c r="C3" s="3" t="n"/>
      <c r="D3" s="3" t="n"/>
    </row>
    <row r="4" ht="36" customHeight="1" s="1">
      <c r="A4" s="12" t="inlineStr">
        <is>
          <t>01일차  |  설비 데이터가 판단과 조치로 이어지는 전체 흐름 이해하기</t>
        </is>
      </c>
      <c r="D4" s="14" t="inlineStr">
        <is>
          <t>4H</t>
        </is>
      </c>
    </row>
    <row r="5" ht="29" customHeight="1" s="1">
      <c r="A5" s="17" t="inlineStr">
        <is>
          <t>구분</t>
        </is>
      </c>
      <c r="B5" s="17" t="inlineStr">
        <is>
          <t>제목</t>
        </is>
      </c>
      <c r="C5" s="17" t="inlineStr">
        <is>
          <t>상세 교육 내용</t>
        </is>
      </c>
      <c r="D5" s="17" t="inlineStr">
        <is>
          <t>시간</t>
        </is>
      </c>
    </row>
    <row r="6" ht="65" customHeight="1" s="1">
      <c r="A6" s="22" t="inlineStr">
        <is>
          <t>이론</t>
        </is>
      </c>
      <c r="B6" s="23" t="inlineStr">
        <is>
          <t>학습 내용을 지식 자산으로 전환하는 방법 이해하기</t>
        </is>
      </c>
      <c r="C6" s="19" t="inlineStr">
        <is>
          <t>단순히 내용을 기록하는 것과 나중에 다시 찾아 활용할 수 있는 지식 자산으로 축적하는 것의 차이를 이해한다. 학습한 개념, 핵심 원리, 참고 자료와 출처, 실습 과정 및 결과를 체계적으로 연결해 기록하는 이유를 배운다. Notion을 활용해 수업이 끝난 뒤에도 지식을 검색·보완·재사용할 수 있는 개인 학습 체계를 마련하는 목적을 설명한다.</t>
        </is>
      </c>
      <c r="D6" s="25" t="n">
        <v>10</v>
      </c>
    </row>
    <row r="7" ht="77.80000305175781" customHeight="1" s="1">
      <c r="A7" s="30" t="inlineStr">
        <is>
          <t>실습</t>
        </is>
      </c>
      <c r="B7" s="31" t="inlineStr">
        <is>
          <t>Notion으로 지식 자산화를 위한 학습노트 만들기</t>
        </is>
      </c>
      <c r="C7" s="27" t="inlineStr">
        <is>
          <t>Notion의 페이지 생성·하위 페이지·블록 편집·링크·목차 등 기본 사용법을 익힌다. 과정별 학습 내용을 정리할 수 있도록 개념 정리, 참고 자료, 실습 기록, 결과 및 배운 점을 담는 개인 학습노트를 직접 구성한다. 샘플 개념과 참고 자료를 기록해 정보가 어떻게 정리되고 서로 연결되는지 확인하고, 이후 강의에서도 활용할 수 있는 기본 학습 공간을 완성한다.</t>
        </is>
      </c>
      <c r="D7" s="33" t="n">
        <v>50</v>
      </c>
    </row>
    <row r="8" ht="93.5" customHeight="1" s="1">
      <c r="A8" s="22" t="inlineStr">
        <is>
          <t>이론</t>
        </is>
      </c>
      <c r="B8" s="23" t="inlineStr">
        <is>
          <t>설비 데이터가 판단으로 이어지는 시스템 구조와 데이터 흐름 이해하기</t>
        </is>
      </c>
      <c r="C8" s="19" t="inlineStr">
        <is>
          <t>선행 SCADA 교육에서 다룬 설비·센서·PLC·관제 화면의 역할을 간단히 복습한다. HYD 시스템의 전체 아키텍처와 L1~L9 레이어, OT·DMZ·IT 영역의 구분과 역할을 학습한다. 센서 데이터가 MQTT·메시지 처리·시계열 DB·분석 서비스를 거쳐 화면과 판단 기능에 활용되는 경로를 설명한다. 데이터 리니지의 개념을 배우고, 원천 데이터·가공 데이터·이상 이벤트·판단 결과가 어떤 구성요소를 거쳐 생성되는지 살펴본다. 분석 결과가 실제 조치로 이어질 때 명령 게이트웨이와 설비 제어 영역이 필요한 이유도 이해한다.</t>
        </is>
      </c>
      <c r="D8" s="25" t="n">
        <v>50</v>
      </c>
    </row>
    <row r="9" ht="77.80000305175781" customHeight="1" s="1">
      <c r="A9" s="30" t="inlineStr">
        <is>
          <t>실습</t>
        </is>
      </c>
      <c r="B9" s="31" t="inlineStr">
        <is>
          <t>시스템 실행 환경을 구성하고 주요 서비스 동작 확인하기</t>
        </is>
      </c>
      <c r="C9" s="27" t="inlineStr">
        <is>
          <t>VS Code·Claude Code·Python·Docker Desktop·Docker Compose 등 교육에서 사용할 주요 도구의 역할과 필요한 버전·설정·접속 조건을 안내한다. 각 도구가 개발·AI 코딩·서비스 실행에서 어떤 역할을 하는지 설명한다. 별도 설치를 진행하지 않고 준비된 환경에서 Docker Compose로 HYD 서비스를 실행한다. 컨테이너 상태와 주요 서비스 접속 여부를 확인한 뒤 HYD 포털에 접속해 시스템이 정상적으로 실행되는 상태를 확인한다.</t>
        </is>
      </c>
      <c r="D9" s="33" t="n">
        <v>30</v>
      </c>
    </row>
    <row r="10" ht="77.80000305175781" customHeight="1" s="1">
      <c r="A10" s="30" t="inlineStr">
        <is>
          <t>실습</t>
        </is>
      </c>
      <c r="B10" s="23" t="inlineStr">
        <is>
          <t>설비 이상 발생부터 판단·승인·조치까지 전체 과정 경험하기</t>
        </is>
      </c>
      <c r="C10" s="19" t="inlineStr">
        <is>
          <t>HYD 포털에서 쿨러 열화 시나리오를 강사가 처음부터 끝까지 시연한다. 설비 이상 발생, 센서 변화와 경보 감지, 원인 분석, 근거에 기반한 조치 추천, 담당자 승인, 시스템 조치, 재관측 및 최종 결과를 순서대로 보여준다. 각 단계에서 어떤 정보가 사용되고 어떤 결과가 다음 단계로 전달되는지 설명한다. 세부 기술과 내부 실행 구조는 이후 학습에서 다루며, 이 시간에는 전체 과정이 실제로 어떤 문제를 해결하는지 이해하는 데 집중한다.</t>
        </is>
      </c>
      <c r="D10" s="25" t="n">
        <v>20</v>
      </c>
    </row>
    <row r="11" ht="109.1999969482422" customHeight="1" s="1">
      <c r="A11" s="22" t="inlineStr">
        <is>
          <t>이론</t>
        </is>
      </c>
      <c r="B11" s="31" t="inlineStr">
        <is>
          <t>설비 데이터에 의미와 관계를 부여하는 온톨로지 이해하기</t>
        </is>
      </c>
      <c r="C11" s="27" t="inlineStr">
        <is>
          <t>센서에서 온도가 상승했다는 사실만으로는 어느 부품에 문제가 있는지, 가능한 원인이 무엇인지, 어떤 조치를 취해야 하는지 알기 어려운 이유를 설명한다. 개별 수치와 데이터, 데이터에 의미를 부여한 정보, 판단에 활용할 수 있는 지식의 차이를 이해한다. 온톨로지가 대상의 종류·속성·관계·제약을 명시적으로 정의해 공통된 의미로 이해하도록 하는 지식 모델임을 배운다. 설비·센서·부품·증상·원인·조치·근거 문서가 어떻게 연결되는지 설명하고, 단순한 관계 그림이나 그래프 DB 자체가 온톨로지와 동일한 것은 아니라는 점을 구분한다. 이를 통해 이후 원인 탐색과 근거 기반 판단에 온톨로지가 필요한 이유를 이해한다.</t>
        </is>
      </c>
      <c r="D11" s="33" t="n">
        <v>50</v>
      </c>
    </row>
    <row r="12" ht="77.80000305175781" customHeight="1" s="1">
      <c r="A12" s="30" t="inlineStr">
        <is>
          <t>실습</t>
        </is>
      </c>
      <c r="B12" s="23" t="inlineStr">
        <is>
          <t>설비 이상과 원인·조치의 관계를 시각화하기</t>
        </is>
      </c>
      <c r="C12" s="19" t="inlineStr">
        <is>
          <t>arrows.app의 노드·관계·레이블 작성 방법을 익힌다. 간단한 설비 이상 사례를 바탕으로 설비·센서·증상·원인·조치를 배치하고 각각의 연결 관계를 직접 그린다. 어떤 대상이 다른 대상과 연결되는지, 관계의 방향을 어떻게 표현하는지 살펴본다. 완성한 관계도를 통해 단순히 정보를 나열하는 방식과 관계를 중심으로 표현하는 방식의 차이를 확인한다. 복잡한 온톨로지 스키마와 제약은 다음 학습에서 다룬다.</t>
        </is>
      </c>
      <c r="D12" s="25" t="n">
        <v>30</v>
      </c>
    </row>
    <row r="13" ht="32" customHeight="1" s="1">
      <c r="A13" s="35" t="inlineStr">
        <is>
          <t>일차 합계</t>
        </is>
      </c>
      <c r="D13" s="37">
        <f>SUM(D6:D12)</f>
        <v/>
      </c>
    </row>
    <row r="14" ht="13.5" customHeight="1" s="1">
      <c r="A14" s="3" t="n"/>
      <c r="B14" s="3" t="n"/>
      <c r="C14" s="3" t="n"/>
      <c r="D14" s="3" t="n"/>
    </row>
    <row r="15" ht="36" customHeight="1" s="1">
      <c r="A15" s="12" t="inlineStr">
        <is>
          <t>02일차  |  설비와 데이터의 관계를 체계화해 필요한 정보 찾기</t>
        </is>
      </c>
      <c r="D15" s="14" t="inlineStr">
        <is>
          <t>4H</t>
        </is>
      </c>
    </row>
    <row r="16" ht="29" customHeight="1" s="1">
      <c r="A16" s="17" t="inlineStr">
        <is>
          <t>구분</t>
        </is>
      </c>
      <c r="B16" s="17" t="inlineStr">
        <is>
          <t>제목</t>
        </is>
      </c>
      <c r="C16" s="17" t="inlineStr">
        <is>
          <t>상세 교육 내용</t>
        </is>
      </c>
      <c r="D16" s="17" t="inlineStr">
        <is>
          <t>시간</t>
        </is>
      </c>
    </row>
    <row r="17" ht="93.5" customHeight="1" s="1">
      <c r="A17" s="22" t="inlineStr">
        <is>
          <t>이론</t>
        </is>
      </c>
      <c r="B17" s="31" t="inlineStr">
        <is>
          <t>클래스와 인스턴스를 통해 현장 정보의 구조 이해하기</t>
        </is>
      </c>
      <c r="C17" s="27" t="inlineStr">
        <is>
          <t>온톨로지에서 클래스·인스턴스·속성·관계의 정확한 정의와 역할을 학습한다. 클래스가 공통 특성을 가진 대상의 유형을 표현하고, 인스턴스는 그 유형에 속하는 실제 개별 대상을 나타낸다는 점을 설명한다. 설비·센서·부품과 HYD-01·TS1·쿨러를 비교하며 구분한다. 클래스 계층과 상속의 기초, 데이터 속성과 객체 간 관계의 차이, 속성값과 인스턴스의 구별, 관계 유형·방향·카디널리티(1:1, 1:N, N:M)를 배운다. 언제 새로운 클래스를 정의하고 언제 속성이나 관계로 표현해야 하는지 구체적인 설비 사례로 비교한다.</t>
        </is>
      </c>
      <c r="D17" s="33" t="n">
        <v>50</v>
      </c>
    </row>
    <row r="18" ht="93.5" customHeight="1" s="1">
      <c r="A18" s="22" t="inlineStr">
        <is>
          <t>이론</t>
        </is>
      </c>
      <c r="B18" s="23" t="inlineStr">
        <is>
          <t>일관된 지식 구조를 만들기 위한 온톨로지 스키마 설계 원리 이해하기</t>
        </is>
      </c>
      <c r="C18" s="19" t="inlineStr">
        <is>
          <t>온톨로지 스키마가 클래스·속성·관계·제약을 일관되게 정의하는 구조임을 배운다. 클래스 이름과 의미, 속성명·자료형·필수 여부, 식별자, 관계의 시작·종료 클래스, 카디널리티와 유효한 연결 조건을 설명한다. 공통 식별자를 활용해 동일한 대상을 구분하는 방법, 스키마와 인스턴스 데이터의 차이, 스키마가 없는 데이터 연결에서 발생할 수 있는 의미 불일치를 살펴본다. 간단한 설비 모델을 스키마 정의로 발전시키는 과정을 단계별로 설명하고, HYD의 온톨로지 v2에 설비·진단·판단·성과 등의 클래스가 이미 정의되어 있다는 점도 소개한다.</t>
        </is>
      </c>
      <c r="D18" s="25" t="n">
        <v>40</v>
      </c>
    </row>
    <row r="19" ht="77.80000305175781" customHeight="1" s="1">
      <c r="A19" s="22" t="inlineStr">
        <is>
          <t>이론</t>
        </is>
      </c>
      <c r="B19" s="31" t="inlineStr">
        <is>
          <t>그래프 DB를 활용해 연결된 지식을 저장하고 조회하는 방법 이해하기</t>
        </is>
      </c>
      <c r="C19" s="27" t="inlineStr">
        <is>
          <t>그래프 DB의 기본 개념과 노드·관계·속성 구조를 학습하고 관계형 DB의 테이블·행·조인과 비교한다. 온톨로지 스키마와 Neo4j의 레이블·관계 유형·DB 제약 조건을 구분한다. Neo4j Browser의 역할을 소개하고 Cypher에서 노드와 관계를 표현하는 문법을 설명한다. MATCH·WHERE·RETURN을 통한 조회, CREATE를 통한 생성, MERGE를 통한 기존 대상 조회 또는 생성을 예제로 학습한다.</t>
        </is>
      </c>
      <c r="D19" s="33" t="n">
        <v>25</v>
      </c>
    </row>
    <row r="20" ht="65" customHeight="1" s="1">
      <c r="A20" s="30" t="inlineStr">
        <is>
          <t>실습</t>
        </is>
      </c>
      <c r="B20" s="23" t="inlineStr">
        <is>
          <t>그래프 DB에서 관계를 따라 필요한 정보 조회하기</t>
        </is>
      </c>
      <c r="C20" s="19" t="inlineStr">
        <is>
          <t>Neo4j Browser에서 제공된 예제 그래프를 열고 노드의 레이블과 속성, 관계의 유형과 방향을 확인한다. MATCH·WHERE·RETURN으로 특정 설비와 연결된 구성요소·센서를 조회한다. 한 단계 관계와 여러 단계 관계를 따라가는 질의를 실행하고 표 형태의 결과와 그래프 시각화 결과를 비교한다.</t>
        </is>
      </c>
      <c r="D20" s="25" t="n">
        <v>25</v>
      </c>
    </row>
    <row r="21" ht="65" customHeight="1" s="1">
      <c r="A21" s="30" t="inlineStr">
        <is>
          <t>실습</t>
        </is>
      </c>
      <c r="B21" s="31" t="inlineStr">
        <is>
          <t>설비 지식의 구조와 연결 관계 탐색하기</t>
        </is>
      </c>
      <c r="C21" s="27" t="inlineStr">
        <is>
          <t>HYD 포털의 지식 지도에서 설비를 선택해 구성요소·센서 등의 연결 관계를 탐색한다. 노드의 종류와 속성, 관계 방향을 확인하고 앞서 배운 클래스·인스턴스·스키마가 실제 시스템에서 어떻게 활용되는지 살펴본다. 랩 전용 그래프와 HYD의 기준 지식 지도가 서로 다른 환경이라는 점도 이해한다.</t>
        </is>
      </c>
      <c r="D21" s="33" t="n">
        <v>20</v>
      </c>
    </row>
    <row r="22" ht="77.80000305175781" customHeight="1" s="1">
      <c r="A22" s="30" t="inlineStr">
        <is>
          <t>실습</t>
        </is>
      </c>
      <c r="B22" s="23" t="inlineStr">
        <is>
          <t>현장 정보를 체계화하는 온톨로지 직접 설계하기</t>
        </is>
      </c>
      <c r="C22" s="19" t="inlineStr">
        <is>
          <t>VS Code에서 Claude Code를 활용해 제공된 랩 전용 설비·센서·부품 자료를 분석한다. 어떤 질문에 답할 수 있는 지식 구조가 필요한지 정한 뒤, 대상별 클래스와 예시 인스턴스를 구분한다. 클래스별 속성·자료형·식별자·필수값, 클래스 사이의 관계 유형·방향·연결 제약을 정의한다. 이를 바탕으로 온톨로지 스키마 파일과 예시 인스턴스 데이터를 작성하고 생성 결과가 원래 자료의 의미와 일치하는지 확인한다.</t>
        </is>
      </c>
      <c r="D22" s="25" t="n">
        <v>40</v>
      </c>
    </row>
    <row r="23" ht="65" customHeight="1" s="1">
      <c r="A23" s="30" t="inlineStr">
        <is>
          <t>실습</t>
        </is>
      </c>
      <c r="B23" s="31" t="inlineStr">
        <is>
          <t>설계한 온톨로지를 그래프 DB에 구현하고 시각화하기</t>
        </is>
      </c>
      <c r="C23" s="27" t="inlineStr">
        <is>
          <t>VS Code에서 Claude Code를 활용해 앞서 작성한 스키마와 예시 인스턴스를 그래프 DB의 노드·속성·관계로 표현하는 Cypher 쿼리를 생성한다. 랩 전용 Neo4j에서 쿼리를 실행하고 설비·센서·부품의 인스턴스와 연결 관계를 생성한다. Neo4j Browser에서 그래프로 표현된 결과를 확인하며 직접 설계한 지식 구조를 완성한다.</t>
        </is>
      </c>
      <c r="D23" s="33" t="n">
        <v>40</v>
      </c>
    </row>
    <row r="24" ht="32" customHeight="1" s="1">
      <c r="A24" s="35" t="inlineStr">
        <is>
          <t>일차 합계</t>
        </is>
      </c>
      <c r="D24" s="37">
        <f>SUM(D17:D23)</f>
        <v/>
      </c>
    </row>
    <row r="25" ht="13.5" customHeight="1" s="1">
      <c r="A25" s="3" t="n"/>
      <c r="B25" s="3" t="n"/>
      <c r="C25" s="3" t="n"/>
      <c r="D25" s="3" t="n"/>
    </row>
    <row r="26" ht="36" customHeight="1" s="1">
      <c r="A26" s="12" t="inlineStr">
        <is>
          <t>03일차  |  설비 상황에 맞는 안전하고 효과적인 조치 선택하기</t>
        </is>
      </c>
      <c r="D26" s="14" t="inlineStr">
        <is>
          <t>4H</t>
        </is>
      </c>
    </row>
    <row r="27" ht="29" customHeight="1" s="1">
      <c r="A27" s="17" t="inlineStr">
        <is>
          <t>구분</t>
        </is>
      </c>
      <c r="B27" s="17" t="inlineStr">
        <is>
          <t>제목</t>
        </is>
      </c>
      <c r="C27" s="17" t="inlineStr">
        <is>
          <t>상세 교육 내용</t>
        </is>
      </c>
      <c r="D27" s="17" t="inlineStr">
        <is>
          <t>시간</t>
        </is>
      </c>
    </row>
    <row r="28" ht="93.5" customHeight="1" s="1">
      <c r="A28" s="22" t="inlineStr">
        <is>
          <t>이론</t>
        </is>
      </c>
      <c r="B28" s="23" t="inlineStr">
        <is>
          <t>설비 상태에 맞는 안전한 조치 절차와 수행 기준 이해하기</t>
        </is>
      </c>
      <c r="C28" s="19" t="inlineStr">
        <is>
          <t>설비 고장 원인을 진단하는 것과 실제 조치 방법을 결정하는 것이 서로 다른 단계임을 이해한다. SOP(Standard Operating Procedure)의 목적과 역할을 배우고, 적용 대상·작업 전제 조건·안전 조건·준비사항·수행 단계·금지 사항·담당 역할·완료 확인 기준 등 SOP의 구성요소를 설명한다. 작업 절차의 순서와 조건을 구분하고, 동일한 조치도 설비 운전 상태에 따라 수행 가능 여부가 달라지는 이유를 학습한다. HYD 온톨로지에서 고장 유형·원인·조치 방법(Skill)·작업 단계(Step)·근거 매뉴얼이 연결되는 구조와, 즉시 완화·근본 조치·예방 조치의 차이를 살펴본다.</t>
        </is>
      </c>
      <c r="D28" s="25" t="n">
        <v>35</v>
      </c>
    </row>
    <row r="29" ht="109.1999969482422" customHeight="1" s="1">
      <c r="A29" s="22" t="inlineStr">
        <is>
          <t>이론</t>
        </is>
      </c>
      <c r="B29" s="31" t="inlineStr">
        <is>
          <t>업무 조건에 따라 적절한 조치를 선택하는 판단 규칙 이해하기</t>
        </is>
      </c>
      <c r="C29" s="27" t="inlineStr">
        <is>
          <t>DMN(Decision Model and Notation)이 업무 의사결정을 명확하게 정의하기 위한 표준이라는 점을 배우고, SOP와 DMN의 차이를 설명한다. 판단에 필요한 입력 데이터(InputData), 결정(Decision), 결정표(DecisionTable), 규칙(Rule), 조건과 출력의 관계를 학습한다. 비교 연산자·임계값·범위·복수 조건을 이용해 결정표를 구성하는 원리를 설명한다. 규칙의 중복·누락·상충이 어떤 문제를 일으키는지 알아보고, 여러 규칙이 일치했을 때 결과를 선택하는 Hit Policy의 기본 개념과 HYD에서 사용하는 판단 방식을 이해한다. 설비 상태에 따른 조치 허용·제외·감점과 해당 판단의 근거를 표현하는 방법까지 학습한다.</t>
        </is>
      </c>
      <c r="D29" s="33" t="n">
        <v>40</v>
      </c>
    </row>
    <row r="30" ht="93.5" customHeight="1" s="1">
      <c r="A30" s="22" t="inlineStr">
        <is>
          <t>이론</t>
        </is>
      </c>
      <c r="B30" s="23" t="inlineStr">
        <is>
          <t>조치의 효과를 여러 성과 관점에서 평가하는 방법 이해하기</t>
        </is>
      </c>
      <c r="C30" s="19" t="inlineStr">
        <is>
          <t>BSC(Balanced Scorecard)의 목적과 재무·고객·내부 프로세스·학습과 성장이라는 네 관점을 배운다. 전략 목표와 KPI(Key Performance Indicator)의 차이, 지표의 정의·단위·목표값·측정 주기·실제값·목표 대비 차이를 설명한다. 전략맵에서 목표 사이의 인과관계를 표현하는 방식과 선행 지표·후행 지표의 차이를 이해한다. 설비 복구 시간·생산 차질·전력비·품질·안전처럼 서로 상충할 수 있는 성과를 비교한다. 조치 가능 여부를 판단하는 규칙과, 허용된 조치의 효과·비용을 평가하는 기준을 구분하고, 가정값을 변경해 결과를 비교하는 What-if 분석의 목적과 한계를 설명한다.</t>
        </is>
      </c>
      <c r="D30" s="25" t="n">
        <v>35</v>
      </c>
    </row>
    <row r="31" ht="93.5" customHeight="1" s="1">
      <c r="A31" s="30" t="inlineStr">
        <is>
          <t>실습</t>
        </is>
      </c>
      <c r="B31" s="31" t="inlineStr">
        <is>
          <t>운전 조건과 성과 기준에 따른 조치 결과 비교하기</t>
        </is>
      </c>
      <c r="C31" s="27" t="inlineStr">
        <is>
          <t>HYD 포털의 조치 판단 규칙·손익/What-if·성과 지표 기능을 활용한다. 특정 설비와 이상 상황을 선택하고 판단에 사용되는 입력값·규칙·조치 후보를 확인한다. 운전 조건과 시험값을 변경해 어떤 규칙이 적용되며 어떤 조치가 허용·제외되는지 비교한다. 허용된 조치의 예상 손익과 판단 순위를 살펴보고, 성과 관점의 중요도나 KPI 목표를 변경했을 때 결과가 어떻게 달라지는지 확인한다. 해당 판단의 근거와 계산에 사용된 출처를 확인하며 시험값 변경이 원본 업무 데이터나 지식을 수정하는 것이 아니라는 점을 이해한다.</t>
        </is>
      </c>
      <c r="D31" s="33" t="n">
        <v>35</v>
      </c>
    </row>
    <row r="32" ht="77.80000305175781" customHeight="1" s="1">
      <c r="A32" s="30" t="inlineStr">
        <is>
          <t>실습</t>
        </is>
      </c>
      <c r="B32" s="23" t="inlineStr">
        <is>
          <t>작업 절차와 판단 조건을 연결해 조치 기준 만들기</t>
        </is>
      </c>
      <c r="C32" s="19" t="inlineStr">
        <is>
          <t>VS Code에서 Claude Code를 활용해 이미 작업 조건이 정리된 랩 전용 SOP 자료를 사용한다. 2일차에 만든 설비 모델과 식별자를 재사용하고, 제공된 고장 유형과 조치 방법을 연결한다. 작업의 적용 조건·금지 조건·수행 단계·완료 기준을 구분해 구조화하고, 이를 DMN 형태의 입력 조건과 판단 결과로 구성한다. 조치 방법과 단계, 판단 규칙의 의미적 관계를 정리해 SOP 구조와 결정표 자료를 완성한다. 이 과정에서는 원문 문서를 자동 추출하는 인제스천을 구현하지 않는다.</t>
        </is>
      </c>
      <c r="D32" s="25" t="n">
        <v>45</v>
      </c>
    </row>
    <row r="33" ht="77.80000305175781" customHeight="1" s="1">
      <c r="A33" s="30" t="inlineStr">
        <is>
          <t>실습</t>
        </is>
      </c>
      <c r="B33" s="31" t="inlineStr">
        <is>
          <t>설비 조건별 최적의 조치를 비교하는 판단 기능 만들기</t>
        </is>
      </c>
      <c r="C33" s="27" t="inlineStr">
        <is>
          <t>VS Code에서 앞서 작성한 결정표를 활용해 Claude Code로 간단한 조치 판정 기능을 제작한다. 설비 상태·운전 조건·금지 조건 등 입력값에 따라 가능한 조치와 제외해야 하는 조치를 구분하도록 구현한다. 제공된 효과·비용·성과 지표 값을 이용해 허용된 조치 후보를 비교하고 선택 이유를 표시한다. 정상 조건·경계값·복수 규칙 일치·조치 불가 상황을 실행해 결과를 확인하고, 조건을 변경했을 때 판단이 어떻게 달라지는지 살펴본다.</t>
        </is>
      </c>
      <c r="D33" s="33" t="n">
        <v>50</v>
      </c>
    </row>
    <row r="34" ht="32" customHeight="1" s="1">
      <c r="A34" s="35" t="inlineStr">
        <is>
          <t>일차 합계</t>
        </is>
      </c>
      <c r="D34" s="37">
        <f>SUM(D28:D33)</f>
        <v/>
      </c>
    </row>
    <row r="35" ht="13.5" customHeight="1" s="1">
      <c r="A35" s="3" t="n"/>
      <c r="B35" s="3" t="n"/>
      <c r="C35" s="3" t="n"/>
      <c r="D35" s="3" t="n"/>
    </row>
    <row r="36" ht="36" customHeight="1" s="1">
      <c r="A36" s="12" t="inlineStr">
        <is>
          <t>04일차  |  현장 자료를 검증해 신뢰할 수 있는 판단 근거 만들기</t>
        </is>
      </c>
      <c r="D36" s="14" t="inlineStr">
        <is>
          <t>4H</t>
        </is>
      </c>
    </row>
    <row r="37" ht="29" customHeight="1" s="1">
      <c r="A37" s="17" t="inlineStr">
        <is>
          <t>구분</t>
        </is>
      </c>
      <c r="B37" s="17" t="inlineStr">
        <is>
          <t>제목</t>
        </is>
      </c>
      <c r="C37" s="17" t="inlineStr">
        <is>
          <t>상세 교육 내용</t>
        </is>
      </c>
      <c r="D37" s="17" t="inlineStr">
        <is>
          <t>시간</t>
        </is>
      </c>
    </row>
    <row r="38" ht="145" customHeight="1" s="1">
      <c r="A38" s="22" t="inlineStr">
        <is>
          <t>이론</t>
        </is>
      </c>
      <c r="B38" s="23" t="inlineStr">
        <is>
          <t>현장 자료를 온톨로지 지식으로 전환하는 과정 이해하기</t>
        </is>
      </c>
      <c r="C38" s="19" t="inlineStr">
        <is>
          <t>인제스천(Ingestion)의 의미와 필요성을 학습하고, 매뉴얼·SOP 문서·업무 DB 등 서로 다른 형태의 원천 자료를 지식으로 전환하는 전체 과정을 이해한다. 원천 확보와 보관 → 문서 내용 분석 → 증상·원인·부품·조치·판단 조건 등 지식 후보 추출 → 기존 온톨로지 스키마와 식별자에 매핑 → 원문 근거 대조와 사람 검토 → 승인된 지식 적재 → 그래프 관계·출처 조회의 단계별 역할을 설명한다. LLM의 문서 이해 및 구조화 출력 원리를 소개하고, 추출 과정에서 발생할 수 있는 부정 조건 누락·수치/단위 오류·잘못된 관계 추론·근거 없는 내용 생성의 위험을 배운다. 원문 페이지·문단·인용 구간, 문서 식별자와 개정 이력, 지식 소유 관계 및 변경 추적이 필요한 이유를 설명한다. 검색해 문서를 참고하는 방식과 구조화된 지식으로 등록하는 방식의 차이도 이해한다. 마지막으로 설비의 원인·절차·규칙처럼 상대적으로 안정적인 지식과 센서·재고·운전시간처럼 지속적으로 변하는 값을 구분하고, 실제 값은 업무 DB·시계열 DB 등 원천에서 조회하도록 연결하는 원리를 설명한다.</t>
        </is>
      </c>
      <c r="D38" s="25" t="n">
        <v>40</v>
      </c>
    </row>
    <row r="39" ht="109.1999969482422" customHeight="1" s="1">
      <c r="A39" s="30" t="inlineStr">
        <is>
          <t>실습</t>
        </is>
      </c>
      <c r="B39" s="31" t="inlineStr">
        <is>
          <t>현장 매뉴얼에서 판단 근거를 추출하고 검증된 지식으로 등록하기</t>
        </is>
      </c>
      <c r="C39" s="27" t="inlineStr">
        <is>
          <t>HYD 포털의 지식 관리에서 제공된 설비 정비 매뉴얼을 등록하고, 원문 보관과 추출 작업 요청부터 진행한다. 추출된 작업 절차·고장 유형·원인·조치 방법·수행 조건·규칙과 원문 구간을 검토한다. 특히 부정 조건·단위·작업 단계 순서·대상 설비를 원문과 비교하여 누락되거나 잘못 해석된 항목을 수정·제외한다. 검토를 통과한 후보가 기존 온톨로지의 어떤 클래스·인스턴스·관계에 연결되는지 확인한 뒤 승인하여 그래프 DB에 등록한다. 지식 지도에서 등록된 조치·원인·근거 문서의 관계를 확인하고, 데이터 연결 화면에서는 정적인 판단 기준과 실제 업무 DB·시계열 DB에서 조회되는 현재값의 차이를 살펴본다.</t>
        </is>
      </c>
      <c r="D39" s="33" t="n">
        <v>70</v>
      </c>
    </row>
    <row r="40" ht="93.5" customHeight="1" s="1">
      <c r="A40" s="30" t="inlineStr">
        <is>
          <t>실습</t>
        </is>
      </c>
      <c r="B40" s="23" t="inlineStr">
        <is>
          <t>다양한 현장 문서에서 필요한 지식 자동 추출하기</t>
        </is>
      </c>
      <c r="C40" s="19" t="inlineStr">
        <is>
          <t>VS Code에서 Claude Code를 활용해 랩 전용 기술 매뉴얼과 작업 절차 자료를 분석한다. 문서에 포함된 표·절차 번호·예외 조건·수치·부품 정보·개정 사항을 확인하고, 기존 온톨로지 스키마에 필요한 증상·원인·조치·수행 조건·원문 출처를 구조화하도록 지시한다. 추출 결과에 문서 ID·페이지 또는 구간·원문 인용·지식 후보별 속성값이 포함되도록 구현한다. 원문과 결과를 대조하면서 빠진 조건이나 부정확한 추출을 수정하고, 이후 적재에 활용할 검토용 구조화 데이터를 완성한다.</t>
        </is>
      </c>
      <c r="D40" s="25" t="n">
        <v>50</v>
      </c>
    </row>
    <row r="41" ht="77.80000305175781" customHeight="1" s="1">
      <c r="A41" s="30" t="inlineStr">
        <is>
          <t>실습</t>
        </is>
      </c>
      <c r="B41" s="31" t="inlineStr">
        <is>
          <t>검토한 문서 지식을 그래프 DB에 반영하고 관계 확인하기</t>
        </is>
      </c>
      <c r="C41" s="27" t="inlineStr">
        <is>
          <t>VS Code에서 앞서 추출한 지식 후보를 원문과 대조해 채택·수정·제외한다. 2일차에 만든 모델과 3일차에 학습한 조치·규칙의 구조를 재사용하여 후보를 해당 클래스·인스턴스·관계에 매핑한다. Claude Code로 기존 식별자를 활용한 그래프 DB 적재 코드를 구현하고, 검토한 항목만 랩 전용 그래프 DB에 반영한다. 이후 고장 유형에서 원인·조치·판단 규칙·원문 출처로 이어지는 관계를 조회하고, 문서에서 추출한 지식이 앞서 만든 그래프에 보강된 결과를 확인한다.</t>
        </is>
      </c>
      <c r="D41" s="33" t="n">
        <v>50</v>
      </c>
    </row>
    <row r="42" ht="77.80000305175781" customHeight="1" s="1">
      <c r="A42" s="22" t="inlineStr">
        <is>
          <t>이론</t>
        </is>
      </c>
      <c r="B42" s="23" t="inlineStr">
        <is>
          <t>온톨로지 설계부터 지식 활용까지의 전체 과정 정리하기</t>
        </is>
      </c>
      <c r="C42" s="19" t="inlineStr">
        <is>
          <t>1일차 온톨로지의 필요성에서 시작해 2일차 클래스·인스턴스·속성·관계·스키마와 그래프 DB, 3일차 SOP·DMN·BSC/KPI의 조치·판단·성과 체계, 4일차 원천 자료 추출·검토·인제스천·출처 관리를 하나의 흐름으로 복습한다. 각 단계의 입력과 결과물, 지식 구조와 실제 데이터의 차이, 판단 규칙과 근거 문서의 관계를 되짚는다. 이렇게 구축된 지식과 규칙이 이후 에이전트의 업무 판단과 도구 활용에 어떤 역할을 하는지 연결해 설명한다. 새로운 실습은 진행하지 않는다.</t>
        </is>
      </c>
      <c r="D42" s="25" t="n">
        <v>30</v>
      </c>
    </row>
    <row r="43" ht="32" customHeight="1" s="1">
      <c r="A43" s="35" t="inlineStr">
        <is>
          <t>일차 합계</t>
        </is>
      </c>
      <c r="D43" s="37">
        <f>SUM(D38:D42)</f>
        <v/>
      </c>
    </row>
    <row r="44"/>
    <row r="45" ht="39" customHeight="1" s="1">
      <c r="A45" s="43" t="inlineStr">
        <is>
          <t>05일차  |  현장 지식을 활용해 실제 문제를 해결하는 AI 에이전트 만들기</t>
        </is>
      </c>
      <c r="D45" s="44" t="inlineStr">
        <is>
          <t>4H</t>
        </is>
      </c>
    </row>
    <row r="46" ht="29" customHeight="1" s="1">
      <c r="A46" s="49" t="inlineStr">
        <is>
          <t>구분</t>
        </is>
      </c>
      <c r="B46" s="49" t="inlineStr">
        <is>
          <t>제목</t>
        </is>
      </c>
      <c r="C46" s="49" t="inlineStr">
        <is>
          <t>상세 교육 내용</t>
        </is>
      </c>
      <c r="D46" s="49" t="inlineStr">
        <is>
          <t>시간(분)</t>
        </is>
      </c>
    </row>
    <row r="47" ht="69" customHeight="1" s="1">
      <c r="A47" s="56" t="inlineStr">
        <is>
          <t>이론</t>
        </is>
      </c>
      <c r="B47" s="55" t="inlineStr">
        <is>
          <t>질문하는 AI와 일하는 AI의 차이 이해하기</t>
        </is>
      </c>
      <c r="C47" s="53" t="inlineStr">
        <is>
          <t>LLM의 응답 생성, RAG의 근거 검색, Agent의 목표 지향 작업 수행을 구분한다. 요청 해석→계획→도구 선택·호출→결과 관찰→필요 시 재시도→종료의 실행 고리를 설명하고, 단순 답변과 점검·요청 등 업무 산출물 생성의 차이를 쿨러 사례로 연결한다.</t>
        </is>
      </c>
      <c r="D47" s="54" t="n">
        <v>40</v>
      </c>
    </row>
    <row r="48" ht="69" customHeight="1" s="1">
      <c r="A48" s="63" t="inlineStr">
        <is>
          <t>이론</t>
        </is>
      </c>
      <c r="B48" s="62" t="inlineStr">
        <is>
          <t>에이전트가 다양한 정보와 도구를 사용하는 원리 이해하기</t>
        </is>
      </c>
      <c r="C48" s="60" t="inlineStr">
        <is>
          <t>온톨로지(설비·증상·원인 관계), 시계열 DB(실제 시각의 측정값), 업무 DB(정비·재고), SOP(작업 방법)의 역할을 구분한다. 지식과 현재값을 혼동하지 않는 방법, 근거 부족과 도구 호출 실패·권한 제한 시 멈춤 조건, 구조화 출력과 실행 기록을 설명한다.</t>
        </is>
      </c>
      <c r="D48" s="61" t="n">
        <v>40</v>
      </c>
    </row>
    <row r="49" ht="69" customHeight="1" s="1">
      <c r="A49" s="64" t="inlineStr">
        <is>
          <t>실습</t>
        </is>
      </c>
      <c r="B49" s="55" t="inlineStr">
        <is>
          <t>나의 첫 업무 에이전트 직접 구성하기</t>
        </is>
      </c>
      <c r="C49" s="53" t="inlineStr">
        <is>
          <t>HYD 포털의 에이전트 화면에서 학생용 에이전트 이름·목표·역할·사용 도구를 설정하고 직접 질문한다. 답변의 근거와 호출 기록을 확인하고, 기준 에이전트와 자신이 설정한 역할이 다른 부분을 확인한다. 준비된 학생 계정과 사용 가능한 읽기 도구를 전제로 한다.</t>
        </is>
      </c>
      <c r="D49" s="54" t="n">
        <v>30</v>
      </c>
    </row>
    <row r="50" ht="69" customHeight="1" s="1">
      <c r="A50" s="65" t="inlineStr">
        <is>
          <t>실습</t>
        </is>
      </c>
      <c r="B50" s="62" t="inlineStr">
        <is>
          <t>설비 이상 원인을 추론하고 다음 점검 작업 결정하기</t>
        </is>
      </c>
      <c r="C50" s="60" t="inlineStr">
        <is>
          <t>VS Code·Claude Code에서 공용 HYD 온톨로지의 설비→센서→고장 유형→SOP 관계와 제공 센서 입력을 읽어 후보 원인·증거·다음 점검 순서를 산출하는 에이전트를 구성한다. 확인되지 않은 원인은 가설로 표시하고, 생성한 점검 계획과 사용 근거를 저장한다. 단순 Cypher 질의 실습을 반복하지 않는다.</t>
        </is>
      </c>
      <c r="D50" s="61" t="n">
        <v>45</v>
      </c>
    </row>
    <row r="51" ht="69" customHeight="1" s="1">
      <c r="A51" s="64" t="inlineStr">
        <is>
          <t>실습</t>
        </is>
      </c>
      <c r="B51" s="55" t="inlineStr">
        <is>
          <t>품질 불량 접수를 후속 업무로 연결하기</t>
        </is>
      </c>
      <c r="C51" s="53" t="inlineStr">
        <is>
          <t>별도 제공된 불량 접수 메시지와 분류 기준을 사용해 품질 유형·추가 확인 항목·담당 부서·대응 초안을 출력하는 작은 에이전트를 구현한다. 불량 원인 미확정 시 단정하지 않고 조사 요청으로 넘기는 분기를 두고, 결과를 구조화된 품질 대응 카드로 저장한다.</t>
        </is>
      </c>
      <c r="D51" s="54" t="n">
        <v>45</v>
      </c>
    </row>
    <row r="52" ht="60" customHeight="1" s="1">
      <c r="A52" s="65" t="inlineStr">
        <is>
          <t>실습</t>
        </is>
      </c>
      <c r="B52" s="62" t="inlineStr">
        <is>
          <t>여러 센서에서 이상 징후를 찾아 시각화하기</t>
        </is>
      </c>
      <c r="C52" s="60" t="inlineStr">
        <is>
          <t>기존 HYD 센서 시계열 또는 사전 배포 CSV에서 온도·압력·시간 변화와 상승 구간을 비교하고 도표를 생성한다. 이상 구간·관련 태그·조회 기간을 근거와 함께 요약하되 상관관계로 고장 원인을 단정하지 않는 출력을 점검한다.</t>
        </is>
      </c>
      <c r="D52" s="61" t="n">
        <v>40</v>
      </c>
    </row>
    <row r="53" ht="29" customHeight="1" s="1">
      <c r="A53" s="66" t="inlineStr">
        <is>
          <t>일차 합계</t>
        </is>
      </c>
      <c r="D53" s="49">
        <f>SUM(D47:D52)</f>
        <v/>
      </c>
    </row>
    <row r="54"/>
    <row r="55" ht="39" customHeight="1" s="1">
      <c r="A55" s="43" t="inlineStr">
        <is>
          <t>06일차  |  업무 능력을 재사용하고 여러 외부 시스템을 연결하기</t>
        </is>
      </c>
      <c r="D55" s="44" t="inlineStr">
        <is>
          <t>4H</t>
        </is>
      </c>
    </row>
    <row r="56" ht="29" customHeight="1" s="1">
      <c r="A56" s="49" t="inlineStr">
        <is>
          <t>구분</t>
        </is>
      </c>
      <c r="B56" s="49" t="inlineStr">
        <is>
          <t>제목</t>
        </is>
      </c>
      <c r="C56" s="49" t="inlineStr">
        <is>
          <t>상세 교육 내용</t>
        </is>
      </c>
      <c r="D56" s="49" t="inlineStr">
        <is>
          <t>시간(분)</t>
        </is>
      </c>
    </row>
    <row r="57" ht="60" customHeight="1" s="1">
      <c r="A57" s="56" t="inlineStr">
        <is>
          <t>이론</t>
        </is>
      </c>
      <c r="B57" s="55" t="inlineStr">
        <is>
          <t>업무 수행 방법을 재사용 가능한 능력으로 만들기</t>
        </is>
      </c>
      <c r="C57" s="53" t="inlineStr">
        <is>
          <t>Agent Skill의 목적, SKILL.md의 작업 목적·호출 조건·입력·출력·순서·예외 지침, SOP의 현장 작업 절차와 에이전트 실행 지침의 차이를 설명한다. 재사용 지침과 한번의 프롬프트를 구분한다.</t>
        </is>
      </c>
      <c r="D57" s="54" t="n">
        <v>35</v>
      </c>
    </row>
    <row r="58" ht="60" customHeight="1" s="1">
      <c r="A58" s="63" t="inlineStr">
        <is>
          <t>이론</t>
        </is>
      </c>
      <c r="B58" s="62" t="inlineStr">
        <is>
          <t>AI가 여러 시스템의 기능을 사용하는 원리 이해하기</t>
        </is>
      </c>
      <c r="C58" s="60" t="inlineStr">
        <is>
          <t>MCP의 Host·Client·Server·Tool 구성, 도구 목록 발견, 입력 스키마와 응답, stdio·HTTP 연결 방식을 설명한다. Skill은 수행 방법, MCP는 연결된 실행 도구라는 역할을 명확히 구분한다.</t>
        </is>
      </c>
      <c r="D58" s="61" t="n">
        <v>30</v>
      </c>
    </row>
    <row r="59" ht="60" customHeight="1" s="1">
      <c r="A59" s="56" t="inlineStr">
        <is>
          <t>이론</t>
        </is>
      </c>
      <c r="B59" s="55" t="inlineStr">
        <is>
          <t>여러 도구를 연결할 때 지켜야 할 안전 기준 이해하기</t>
        </is>
      </c>
      <c r="C59" s="53" t="inlineStr">
        <is>
          <t>도구별 읽기/쓰기 권한, 파일 접근 범위, 인증 비밀값, 외부 응답의 불완전성, 실패·타임아웃과 근거 표시를 설명한다. HYD 포털의 학생 등록 도구는 연결 검사 후 읽기 전용 선택 제한이 있음을 실제 제약으로 안내한다.</t>
        </is>
      </c>
      <c r="D59" s="54" t="n">
        <v>20</v>
      </c>
    </row>
    <row r="60" ht="69" customHeight="1" s="1">
      <c r="A60" s="65" t="inlineStr">
        <is>
          <t>실습</t>
        </is>
      </c>
      <c r="B60" s="62" t="inlineStr">
        <is>
          <t>HYD 업무 도구를 직접 연결하고 호출하기</t>
        </is>
      </c>
      <c r="C60" s="60" t="inlineStr">
        <is>
          <t>포털의 도구(MCP) 메뉴에서 사전 준비된 업무 DB/판단 도구 서버의 등록 상태를 확인하고, 수강생 등록 서버는 연결 검사 후 읽기 도구를 시험한다. 도구 이름·입력 값·반환된 행·호출 기록을 확인하고 기존 에이전트에 연결한다.</t>
        </is>
      </c>
      <c r="D60" s="61" t="n">
        <v>20</v>
      </c>
    </row>
    <row r="61" ht="69" customHeight="1" s="1">
      <c r="A61" s="64" t="inlineStr">
        <is>
          <t>실습</t>
        </is>
      </c>
      <c r="B61" s="55" t="inlineStr">
        <is>
          <t>서로 다른 MCP를 연결하고 조합해 사용하기</t>
        </is>
      </c>
      <c r="C61" s="53" t="inlineStr">
        <is>
          <t>VS Code·Claude Code에서 사전 준비된 파일시스템·Git·시간 MCP 서버 3종 이상의 실행·접근 권한을 각각 설정하고 도구 목록과 호출 결과를 비교한다. 파일 읽기→Git 변경 기록 확인→시간 정보 확인을 하나의 요청에 조합한다. HYD 포털과 로컬 개발 도구의 연결 방식 차이를 설명한다.</t>
        </is>
      </c>
      <c r="D61" s="54" t="n">
        <v>45</v>
      </c>
    </row>
    <row r="62" ht="69" customHeight="1" s="1">
      <c r="A62" s="65" t="inlineStr">
        <is>
          <t>실습</t>
        </is>
      </c>
      <c r="B62" s="62" t="inlineStr">
        <is>
          <t>회의 내용을 실제 후속 업무로 전환하기</t>
        </is>
      </c>
      <c r="C62" s="60" t="inlineStr">
        <is>
          <t>예제 회의록 텍스트를 입력받아 결정사항·담당자·완료 시점을 추출하는 SKILL.md를 작성한다. 담당자와 기한이 없는 항목은 미정으로 표시하고 Markdown/JSON 작업 목록을 생성·검토한다. 회의록 요약만으로 끝내지 않고 다음 행동을 명확히 만든다.</t>
        </is>
      </c>
      <c r="D62" s="61" t="n">
        <v>45</v>
      </c>
    </row>
    <row r="63" ht="69" customHeight="1" s="1">
      <c r="A63" s="64" t="inlineStr">
        <is>
          <t>실습</t>
        </is>
      </c>
      <c r="B63" s="55" t="inlineStr">
        <is>
          <t>나만의 대화형 AI 학습 코치 만들기</t>
        </is>
      </c>
      <c r="C63" s="53" t="inlineStr">
        <is>
          <t>Notion에서 내보낸 Markdown 학습노트나 제공 매뉴얼로 문항 생성→학생 답변 입력→정답·출처 기반 피드백→다음 문항 제공의 대화를 구성한다. 텍스트 파일 기반으로 우선 완주하며 실서비스 Notion API 연동은 필수로 가정하지 않는다.</t>
        </is>
      </c>
      <c r="D63" s="54" t="n">
        <v>45</v>
      </c>
    </row>
    <row r="64" ht="29" customHeight="1" s="1">
      <c r="A64" s="66" t="inlineStr">
        <is>
          <t>일차 합계</t>
        </is>
      </c>
      <c r="D64" s="49">
        <f>SUM(D57:D63)</f>
        <v/>
      </c>
    </row>
    <row r="65"/>
    <row r="66" ht="39" customHeight="1" s="1">
      <c r="A66" s="43" t="inlineStr">
        <is>
          <t>07일차  |  사람의 판단과 명확한 요구사항으로 AI 업무의 신뢰성 높이기</t>
        </is>
      </c>
      <c r="D66" s="44" t="inlineStr">
        <is>
          <t>4H</t>
        </is>
      </c>
    </row>
    <row r="67" ht="29" customHeight="1" s="1">
      <c r="A67" s="49" t="inlineStr">
        <is>
          <t>구분</t>
        </is>
      </c>
      <c r="B67" s="49" t="inlineStr">
        <is>
          <t>제목</t>
        </is>
      </c>
      <c r="C67" s="49" t="inlineStr">
        <is>
          <t>상세 교육 내용</t>
        </is>
      </c>
      <c r="D67" s="49" t="inlineStr">
        <is>
          <t>시간(분)</t>
        </is>
      </c>
    </row>
    <row r="68" ht="60" customHeight="1" s="1">
      <c r="A68" s="56" t="inlineStr">
        <is>
          <t>이론</t>
        </is>
      </c>
      <c r="B68" s="55" t="inlineStr">
        <is>
          <t>AI가 멈추고 사람에게 물어야 하는 상황 이해하기</t>
        </is>
      </c>
      <c r="C68" s="53" t="inlineStr">
        <is>
          <t>HITL의 정의, 자동 처리와 승인·보류·거절의 구분, 승인권자와 권한의 경계, 사람의 책임과 결정 기록을 설명한다. AI의 자기 검토와 실제 사람 승인 절차는 다른 것임을 구분한다.</t>
        </is>
      </c>
      <c r="D68" s="54" t="n">
        <v>20</v>
      </c>
    </row>
    <row r="69" ht="69" customHeight="1" s="1">
      <c r="A69" s="65" t="inlineStr">
        <is>
          <t>실습</t>
        </is>
      </c>
      <c r="B69" s="62" t="inlineStr">
        <is>
          <t>사람의 확인이 실제 업무 결과를 바꾸는 과정 확인하기</t>
        </is>
      </c>
      <c r="C69" s="60" t="inlineStr">
        <is>
          <t>HYD 포털의 처리 건·내 작업함에서 기존 승인 대기 건과 역할을 확인한다. 권한이 있는 담당자의 승인·거절이 흐름 상태에 미치는 영향을 확인하고, 쓰기 권한이 없는 계정의 제한을 설명한다. 실제 수업용 시나리오와 역할을 사전 준비한다.</t>
        </is>
      </c>
      <c r="D69" s="61" t="n">
        <v>20</v>
      </c>
    </row>
    <row r="70" ht="69" customHeight="1" s="1">
      <c r="A70" s="64" t="inlineStr">
        <is>
          <t>실습</t>
        </is>
      </c>
      <c r="B70" s="55" t="inlineStr">
        <is>
          <t>정보가 부족하면 질문하고 다시 처리하는 에이전트 만들기</t>
        </is>
      </c>
      <c r="C70" s="53" t="inlineStr">
        <is>
          <t>5일차 업무 요청 에이전트를 재사용한다. 부품 수량·긴급 사유·승인권자 등이 빠진 요청은 확정하지 않고 확인 질문을 생성하며, 추가 입력 후 다시 판단하고 변경 전후 상태를 기록한다. 기존 온톨로지·SOP 자산은 재작성하지 않는다.</t>
        </is>
      </c>
      <c r="D70" s="54" t="n">
        <v>45</v>
      </c>
    </row>
    <row r="71" ht="60" customHeight="1" s="1">
      <c r="A71" s="65" t="inlineStr">
        <is>
          <t>실습</t>
        </is>
      </c>
      <c r="B71" s="62" t="inlineStr">
        <is>
          <t>서로 다른 에이전트가 제안과 검토를 나눠 수행하기</t>
        </is>
      </c>
      <c r="C71" s="60" t="inlineStr">
        <is>
          <t>작성 역할은 업무 요청 초안을 만들고 검토 역할은 근거·수량·승인 정보 누락을 독립적으로 검토한다. 검토 의견에 따라 작성 결과를 수정하고, AI 간 상호 검토와 사람의 최종 승인 여부를 서로 다른 필드로 남긴다.</t>
        </is>
      </c>
      <c r="D71" s="61" t="n">
        <v>45</v>
      </c>
    </row>
    <row r="72" ht="69" customHeight="1" s="1">
      <c r="A72" s="56" t="inlineStr">
        <is>
          <t>이론</t>
        </is>
      </c>
      <c r="B72" s="55" t="inlineStr">
        <is>
          <t>요구사항이 바뀌어도 기존 기능을 지키는 방법 이해하기</t>
        </is>
      </c>
      <c r="C72" s="53" t="inlineStr">
        <is>
          <t>SDD를 요구사항·입력/출력 계약·금지 조건·수용 기준을 구현 전에 명확하게 하는 방식으로 설명한다. 바이브 코딩의 모호한 기능 추가가 기존 출력이나 승인 규칙을 흔들 수 있음을 예로 들되, 실패가 항상 발생한다고 단정하지 않는다.</t>
        </is>
      </c>
      <c r="D72" s="54" t="n">
        <v>35</v>
      </c>
    </row>
    <row r="73" ht="69" customHeight="1" s="1">
      <c r="A73" s="65" t="inlineStr">
        <is>
          <t>실습</t>
        </is>
      </c>
      <c r="B73" s="62" t="inlineStr">
        <is>
          <t>새 기능을 무작정 추가했을 때 생기는 문제 확인하기</t>
        </is>
      </c>
      <c r="C73" s="60" t="inlineStr">
        <is>
          <t>5일차 에이전트에 긴급 정비 조건을 추가한다. 모호한 요청으로 수정한 버전과 기존 일반 요청을 실행하여 사전에 준비·검증한 실패 재현 케이스에서 출력 계약 또는 승인 조건의 차이를 확인한다. 재현되지 않으면 기존/신규 행동 차이를 비교하고 임의 실패를 만들지 않는다.</t>
        </is>
      </c>
      <c r="D73" s="61" t="n">
        <v>50</v>
      </c>
    </row>
    <row r="74" ht="69" customHeight="1" s="1">
      <c r="A74" s="64" t="inlineStr">
        <is>
          <t>실습</t>
        </is>
      </c>
      <c r="B74" s="55" t="inlineStr">
        <is>
          <t>새로운 요구사항을 추가해도 기존 기능 유지하기</t>
        </is>
      </c>
      <c r="C74" s="53" t="inlineStr">
        <is>
          <t>전 단계와 동일한 프로젝트의 spec.md에 기존 일반 정비 처리, 긴급 조건, 미입력 시 보류, 승인 없이 확정 금지, 결과 형식·수용 기준을 명시한다. 명세에 맞춰 수정한 코드로 기존 일반 요청과 추가 긴급 요청을 재실행하고 다음 날 BDD용 입력·기대 결과를 저장한다.</t>
        </is>
      </c>
      <c r="D74" s="54" t="n">
        <v>25</v>
      </c>
    </row>
    <row r="75" ht="29" customHeight="1" s="1">
      <c r="A75" s="66" t="inlineStr">
        <is>
          <t>일차 합계</t>
        </is>
      </c>
      <c r="D75" s="49">
        <f>SUM(D68:D74)</f>
        <v/>
      </c>
    </row>
    <row r="76"/>
    <row r="77" ht="39" customHeight="1" s="1">
      <c r="A77" s="43" t="inlineStr">
        <is>
          <t>08일차  |  요구가 바뀌어도 믿고 사용할 수 있는 에이전트 완성하기</t>
        </is>
      </c>
      <c r="D77" s="44" t="inlineStr">
        <is>
          <t>4H</t>
        </is>
      </c>
    </row>
    <row r="78" ht="29" customHeight="1" s="1">
      <c r="A78" s="49" t="inlineStr">
        <is>
          <t>구분</t>
        </is>
      </c>
      <c r="B78" s="49" t="inlineStr">
        <is>
          <t>제목</t>
        </is>
      </c>
      <c r="C78" s="49" t="inlineStr">
        <is>
          <t>상세 교육 내용</t>
        </is>
      </c>
      <c r="D78" s="49" t="inlineStr">
        <is>
          <t>시간(분)</t>
        </is>
      </c>
    </row>
    <row r="79" ht="60" customHeight="1" s="1">
      <c r="A79" s="56" t="inlineStr">
        <is>
          <t>이론</t>
        </is>
      </c>
      <c r="B79" s="55" t="inlineStr">
        <is>
          <t>기대한 행동을 실제로 검증하는 방법 이해하기</t>
        </is>
      </c>
      <c r="C79" s="53" t="inlineStr">
        <is>
          <t>BDD의 Given/When/Then 구조, 요구 명세(SDD)와 행동 검증(BDD)의 차이, 정상·경계·예외·회귀 테스트를 설명한다. 자연어 시나리오가 실행 가능한 검증 입력·기대 결과와 연결돼야 하는 이유를 설명한다.</t>
        </is>
      </c>
      <c r="D79" s="54" t="n">
        <v>40</v>
      </c>
    </row>
    <row r="80" ht="60" customHeight="1" s="1">
      <c r="A80" s="65" t="inlineStr">
        <is>
          <t>실습</t>
        </is>
      </c>
      <c r="B80" s="62" t="inlineStr">
        <is>
          <t>새로운 기능과 기존 기능의 행동 기준 정하기</t>
        </is>
      </c>
      <c r="C80" s="60" t="inlineStr">
        <is>
          <t>7일차 spec.md와 동일 에이전트를 활용한다. 일반 정비, 긴급 정비, 필수 정보 누락, 승인 거절, 도구 오류에 대해 Given·When·Then과 입력값·기대 상태·출력 계약을 작성한다.</t>
        </is>
      </c>
      <c r="D80" s="61" t="n">
        <v>40</v>
      </c>
    </row>
    <row r="81" ht="60" customHeight="1" s="1">
      <c r="A81" s="64" t="inlineStr">
        <is>
          <t>실습</t>
        </is>
      </c>
      <c r="B81" s="55" t="inlineStr">
        <is>
          <t>에이전트의 동작을 반복 검증하기</t>
        </is>
      </c>
      <c r="C81" s="53" t="inlineStr">
        <is>
          <t>준비한 자동 테스트 또는 반복 실행 스크립트에 BDD 시나리오를 연결한다. 실제 출력과 기대값을 비교하고 어떤 조건에서 규칙을 어겼는지 로그·결과 파일로 확인한다. 모델 출력의 표현 차이와 필수 계약 위반을 구별한다.</t>
        </is>
      </c>
      <c r="D81" s="54" t="n">
        <v>50</v>
      </c>
    </row>
    <row r="82" ht="60" customHeight="1" s="1">
      <c r="A82" s="65" t="inlineStr">
        <is>
          <t>실습</t>
        </is>
      </c>
      <c r="B82" s="62" t="inlineStr">
        <is>
          <t>오류를 수정하고 기존 기능이 유지되는지 확인하기</t>
        </is>
      </c>
      <c r="C82" s="60" t="inlineStr">
        <is>
          <t>실제로 실패한 시나리오만 원인을 추적해 프롬프트·명세·코드 중 수정 대상 구분 후 재실행한다. 긴급 조건이 동작하는 동시에 기존 일반 요청·보류·거절 조건이 유지되는지 전체 회귀 검증으로 확인한다.</t>
        </is>
      </c>
      <c r="D82" s="61" t="n">
        <v>35</v>
      </c>
    </row>
    <row r="83" ht="69" customHeight="1" s="1">
      <c r="A83" s="64" t="inlineStr">
        <is>
          <t>실습</t>
        </is>
      </c>
      <c r="B83" s="55" t="inlineStr">
        <is>
          <t>서로 다른 업무 데이터를 연결해 교대 업무 인수인계 완성하기</t>
        </is>
      </c>
      <c r="C83" s="53" t="inlineStr">
        <is>
          <t>기존 설비 이벤트·정비 이력·부품 DB의 실제 연결 가능한 조회 결과 또는 동일 스키마의 수업 준비 자료를 조합한다. 완료 작업·미완료 요청·주의 사항·근거 시각을 포함한 인수인계서를 생성한다. 데이터 패브릭 관점의 다중 출처 통합이지 새 데이터 플랫폼 구축이 아니다.</t>
        </is>
      </c>
      <c r="D83" s="54" t="n">
        <v>45</v>
      </c>
    </row>
    <row r="84" ht="60" customHeight="1" s="1">
      <c r="A84" s="63" t="inlineStr">
        <is>
          <t>이론</t>
        </is>
      </c>
      <c r="B84" s="62" t="inlineStr">
        <is>
          <t>에이전트 제작부터 검증까지 전체 과정 정리하기 — Wrap-up</t>
        </is>
      </c>
      <c r="C84" s="60" t="inlineStr">
        <is>
          <t>에이전트의 목표와 도구, Skill·MCP의 구분, HITL, SDD·BDD와 회귀 검증, 응용별 산출물의 차이를 복습한다. 신규 실습·과제 없이 배운 내용을 정리한다.</t>
        </is>
      </c>
      <c r="D84" s="61" t="n">
        <v>30</v>
      </c>
    </row>
    <row r="85" ht="29" customHeight="1" s="1">
      <c r="A85" s="66" t="inlineStr">
        <is>
          <t>일차 합계</t>
        </is>
      </c>
      <c r="D85" s="49">
        <f>SUM(D79:D84)</f>
        <v/>
      </c>
    </row>
    <row r="86"/>
    <row r="87" ht="39" customHeight="1" s="1">
      <c r="A87" s="43" t="inlineStr">
        <is>
          <t>09일차  |  AI와 사람이 함께 일하는 업무 프로세스를 직접 설계하고 실행하기</t>
        </is>
      </c>
      <c r="D87" s="44" t="inlineStr">
        <is>
          <t>4H</t>
        </is>
      </c>
    </row>
    <row r="88" ht="29" customHeight="1" s="1">
      <c r="A88" s="49" t="inlineStr">
        <is>
          <t>구분</t>
        </is>
      </c>
      <c r="B88" s="49" t="inlineStr">
        <is>
          <t>제목</t>
        </is>
      </c>
      <c r="C88" s="49" t="inlineStr">
        <is>
          <t>상세 교육 내용</t>
        </is>
      </c>
      <c r="D88" s="49" t="inlineStr">
        <is>
          <t>시간(분)</t>
        </is>
      </c>
    </row>
    <row r="89" ht="69" customHeight="1" s="1">
      <c r="A89" s="56" t="inlineStr">
        <is>
          <t>이론</t>
        </is>
      </c>
      <c r="B89" s="55" t="inlineStr">
        <is>
          <t>개별 작업을 하나의 비즈니스 프로세스로 관리하는 이유 이해하기</t>
        </is>
      </c>
      <c r="C89" s="53" t="inlineStr">
        <is>
          <t>비즈니스 프로세스의 정의, Task와 End-to-End의 차이, 시작 조건·입력·출력·책임자·완료 조건을 설명한다. BPM의 분석→설계→실행→모니터링→개선과 AS-IS/TO-BE를 다루고 에이전트만으로 전체 업무 순서와 책임이 보장되지 않는 이유를 연결한다.</t>
        </is>
      </c>
      <c r="D89" s="54" t="n">
        <v>35</v>
      </c>
    </row>
    <row r="90" ht="82" customHeight="1" s="1">
      <c r="A90" s="63" t="inlineStr">
        <is>
          <t>이론</t>
        </is>
      </c>
      <c r="B90" s="62" t="inlineStr">
        <is>
          <t>복잡한 업무를 공통된 그림으로 표현하는 방법 이해하기</t>
        </is>
      </c>
      <c r="C90" s="60" t="inlineStr">
        <is>
          <t>BPMN 2.0의 Start/End Event, Activity/Task, Gateway, Sequence Flow, Pool·Lane, Message Flow, Timer·Boundary Event를 구분한다. 승인·거절과 분기, 사람·에이전트·시스템의 책임 배치를 설비 조치 예제로 설명한다. 병렬·하위 프로세스는 개념만 소개하고 실습 구현을 주장하지 않는다.</t>
        </is>
      </c>
      <c r="D90" s="61" t="n">
        <v>25</v>
      </c>
    </row>
    <row r="91" ht="69" customHeight="1" s="1">
      <c r="A91" s="56" t="inlineStr">
        <is>
          <t>이론</t>
        </is>
      </c>
      <c r="B91" s="55" t="inlineStr">
        <is>
          <t>설계한 업무가 실제로 실행되는 프로세스 오케스트레이션 이해하기</t>
        </is>
      </c>
      <c r="C91" s="53" t="inlineStr">
        <is>
          <t>프로세스 정의와 인스턴스, Token의 진행 개념, 변수와 결과 전달, User Task·Service Task와 HYD 에이전트 단계, 실행 상태·승인 대기·배포 버전·감사 기록을 설명한다. 온톨로지·DB·SOP를 쓰는 에이전트의 결과를 BPMN이 어떤 순서로 연결하는지 보여준다.</t>
        </is>
      </c>
      <c r="D91" s="54" t="n">
        <v>25</v>
      </c>
    </row>
    <row r="92" ht="69" customHeight="1" s="1">
      <c r="A92" s="65" t="inlineStr">
        <is>
          <t>실습</t>
        </is>
      </c>
      <c r="B92" s="62" t="inlineStr">
        <is>
          <t>업무 흐름을 그리는 도구로 간단한 승인 절차 작성하기</t>
        </is>
      </c>
      <c r="C92" s="60" t="inlineStr">
        <is>
          <t>bpmn.io의 팔레트·요소 배치·연결·속성·저장·열기 조작을 익힌 뒤 '정비 요청→담당자 확인→승인 여부→승인/반려 종료'를 직접 작도한다. Gateway의 각 분기와 End Event 연결을 확인해 .bpmn 파일을 만든다.</t>
        </is>
      </c>
      <c r="D92" s="61" t="n">
        <v>35</v>
      </c>
    </row>
    <row r="93" ht="69" customHeight="1" s="1">
      <c r="A93" s="64" t="inlineStr">
        <is>
          <t>실습</t>
        </is>
      </c>
      <c r="B93" s="55" t="inlineStr">
        <is>
          <t>설비 이상 대응의 역할과 승인 조건을 갖춘 업무 흐름 만들기</t>
        </is>
      </c>
      <c r="C93" s="53" t="inlineStr">
        <is>
          <t>bpmn.io에서 쿨러 열화 시작→에이전트 진단·조치 제안→운전원 승인→PLC 명령→효과 재확인→결과 보고를 작업별 Lane으로 작도한다. 승인/거절 분기, 정상/반려 종료와 승인을 중단하지 않는 지연 알림 Timer를 포함해 파일로 저장한다.</t>
        </is>
      </c>
      <c r="D93" s="54" t="n">
        <v>45</v>
      </c>
    </row>
    <row r="94" ht="69" customHeight="1" s="1">
      <c r="A94" s="65" t="inlineStr">
        <is>
          <t>실습</t>
        </is>
      </c>
      <c r="B94" s="62" t="inlineStr">
        <is>
          <t>작성한 흐름을 기존 에이전트와 실제 시스템에 연결하기</t>
        </is>
      </c>
      <c r="C94" s="60" t="inlineStr">
        <is>
          <t>HYD 포털 흐름 가져오기→쿨러 경보 시작 조건→기존 에이전트·운전원 역할·시스템 단계 매핑→사전 검사→등록·배포 순서로 진행한다. 포털에 입력란이 없는 시스템 세부 연결은 제공된 students/flows/cooling-emergency.mapping.json과 검증된 API 절차로 보완한다.</t>
        </is>
      </c>
      <c r="D94" s="61" t="n">
        <v>40</v>
      </c>
    </row>
    <row r="95" ht="69" customHeight="1" s="1">
      <c r="A95" s="64" t="inlineStr">
        <is>
          <t>실습</t>
        </is>
      </c>
      <c r="B95" s="55" t="inlineStr">
        <is>
          <t>실제 설비 이벤트로 프로세스를 실행하고 처리 이력 확인하기</t>
        </is>
      </c>
      <c r="C95" s="53" t="inlineStr">
        <is>
          <t>쿨러 열화 버튼으로 처리 건 생성, 에이전트 판단·승인→PLC 명령→유온 재확인→완료를 확인한다. 포털 처리 건에서 단계별 담당·대기·결과를 추적하고 배포된 학생 흐름과 기준 흐름의 차이를 살펴본다. 승인 대기·정상 종료를 혼동하지 않는다.</t>
        </is>
      </c>
      <c r="D95" s="54" t="n">
        <v>35</v>
      </c>
    </row>
    <row r="96" ht="29" customHeight="1" s="1">
      <c r="A96" s="66" t="inlineStr">
        <is>
          <t>일차 합계</t>
        </is>
      </c>
      <c r="D96" s="49">
        <f>SUM(D89:D95)</f>
        <v/>
      </c>
    </row>
    <row r="97"/>
    <row r="98" ht="39" customHeight="1" s="1">
      <c r="A98" s="43" t="inlineStr">
        <is>
          <t>10일차  |  설비 대응을 넘어 정비와 구매 업무까지 자동으로 연결하기</t>
        </is>
      </c>
      <c r="D98" s="44" t="inlineStr">
        <is>
          <t>4H</t>
        </is>
      </c>
    </row>
    <row r="99" ht="29" customHeight="1" s="1">
      <c r="A99" s="49" t="inlineStr">
        <is>
          <t>구분</t>
        </is>
      </c>
      <c r="B99" s="49" t="inlineStr">
        <is>
          <t>제목</t>
        </is>
      </c>
      <c r="C99" s="49" t="inlineStr">
        <is>
          <t>상세 교육 내용</t>
        </is>
      </c>
      <c r="D99" s="49" t="inlineStr">
        <is>
          <t>시간(분)</t>
        </is>
      </c>
    </row>
    <row r="100" ht="69" customHeight="1" s="1">
      <c r="A100" s="56" t="inlineStr">
        <is>
          <t>이론</t>
        </is>
      </c>
      <c r="B100" s="55" t="inlineStr">
        <is>
          <t>다양한 업무를 하나의 프로세스 설계 원리로 관리하기</t>
        </is>
      </c>
      <c r="C100" s="53" t="inlineStr">
        <is>
          <t>설비 경보, 정기 점검 도래, 재고 부족이라는 시작 조건과 에이전트·승인자·실행 시스템의 차이를 비교한다. 프로세스 정의·인스턴스·배포, 대기와 완료 상태, 실행 기록·모니터링·병목·지표를 설명하고 같은 BPMN 패턴의 재사용 원리를 정리한다.</t>
        </is>
      </c>
      <c r="D100" s="54" t="n">
        <v>35</v>
      </c>
    </row>
    <row r="101" ht="69" customHeight="1" s="1">
      <c r="A101" s="65" t="inlineStr">
        <is>
          <t>실습</t>
        </is>
      </c>
      <c r="B101" s="62" t="inlineStr">
        <is>
          <t>정기 점검부터 작업지시까지 이어지는 업무 흐름 설계하기</t>
        </is>
      </c>
      <c r="C101" s="60" t="inlineStr">
        <is>
          <t>bpmn.io에서 정기 점검 도래→정비 계획 에이전트→설비보전팀장 승인/거절→CMMS 정비 오더→생산팀 공지→결과 보고를 작도한다. 9일차의 Task·Lane·Gateway·Timer 패턴을 재사용하고 승인·반려 경로를 구분한다.</t>
        </is>
      </c>
      <c r="D101" s="61" t="n">
        <v>45</v>
      </c>
    </row>
    <row r="102" ht="69" customHeight="1" s="1">
      <c r="A102" s="64" t="inlineStr">
        <is>
          <t>실습</t>
        </is>
      </c>
      <c r="B102" s="55" t="inlineStr">
        <is>
          <t>정기 점검 프로세스를 실제 업무로 실행하기</t>
        </is>
      </c>
      <c r="C102" s="53" t="inlineStr">
        <is>
          <t>HYD에 작성한 BPMN을 가져와 정기 점검(PM_DUE) 이벤트·기존 정비 계획 에이전트·담당 역할·CMMS·공지 작업을 연결하고 사전 검사→등록→배포한다. 포털의 정기 점검 버튼으로 실행해 승인 후 오더·생산 공지·종료를 확인한다. 화면 밖 연결 값은 수업 제공 매핑 파일/절차를 사용한다.</t>
        </is>
      </c>
      <c r="D102" s="54" t="n">
        <v>45</v>
      </c>
    </row>
    <row r="103" ht="60" customHeight="1" s="1">
      <c r="A103" s="65" t="inlineStr">
        <is>
          <t>실습</t>
        </is>
      </c>
      <c r="B103" s="62" t="inlineStr">
        <is>
          <t>재고 부족부터 구매·입고까지 이어지는 업무 흐름 설계하기</t>
        </is>
      </c>
      <c r="C103" s="60" t="inlineStr">
        <is>
          <t>bpmn.io에서 재고 부족→구매 에이전트의 수량·공급사 제안→구매 담당자 승인/거절→ERP 발주→공급사 통지→입고·재고 반영→결과 보고를 작도한다. 공급사 실거래가 아닌 HYD 기업 시스템 시뮬레이션이라는 범위를 명시한다.</t>
        </is>
      </c>
      <c r="D103" s="61" t="n">
        <v>45</v>
      </c>
    </row>
    <row r="104" ht="69" customHeight="1" s="1">
      <c r="A104" s="64" t="inlineStr">
        <is>
          <t>실습</t>
        </is>
      </c>
      <c r="B104" s="55" t="inlineStr">
        <is>
          <t>구매 프로세스를 실제 업무로 실행하기</t>
        </is>
      </c>
      <c r="C104" s="53" t="inlineStr">
        <is>
          <t>재고 부족(SPARE_BELOW_MIN) 이벤트와 기존 구매 에이전트·승인 역할·ERP·통지·입고 반영 부품을 매핑해 검사·등록·배포한다. 포털 재고 보충 버튼으로 실행하여 발주·통지·시뮬레이션상 즉시 입고·재고 반영 및 종료 기록을 확인한다.</t>
        </is>
      </c>
      <c r="D104" s="54" t="n">
        <v>40</v>
      </c>
    </row>
    <row r="105" ht="60" customHeight="1" s="1">
      <c r="A105" s="63" t="inlineStr">
        <is>
          <t>이론</t>
        </is>
      </c>
      <c r="B105" s="62" t="inlineStr">
        <is>
          <t>AI와 사람이 함께 수행하는 전체 업무 흐름 정리하기 — Wrap-up</t>
        </is>
      </c>
      <c r="C105" s="60" t="inlineStr">
        <is>
          <t>설비 조치·정기 점검·재고 보충의 시작 이벤트, 에이전트 판단, 사람 승인·반려, 시스템 처리와 종료 기록을 되짚는다. 온톨로지→에이전트→프로세스의 연결을 복습하며 새로운 실습은 하지 않는다.</t>
        </is>
      </c>
      <c r="D105" s="61" t="n">
        <v>30</v>
      </c>
    </row>
    <row r="106" ht="29" customHeight="1" s="1">
      <c r="A106" s="66" t="inlineStr">
        <is>
          <t>일차 합계</t>
        </is>
      </c>
      <c r="D106" s="49">
        <f>SUM(D100:D105)</f>
        <v/>
      </c>
    </row>
    <row r="107"/>
    <row r="108" ht="39" customHeight="1" s="1">
      <c r="A108" s="43" t="inlineStr">
        <is>
          <t>11일차  |  온톨로지·에이전트·프로세스를 내 주제에 적용하고 마무리하기</t>
        </is>
      </c>
      <c r="D108" s="44" t="inlineStr">
        <is>
          <t>4H</t>
        </is>
      </c>
    </row>
    <row r="109" ht="29" customHeight="1" s="1">
      <c r="A109" s="49" t="inlineStr">
        <is>
          <t>구분</t>
        </is>
      </c>
      <c r="B109" s="49" t="inlineStr">
        <is>
          <t>제목</t>
        </is>
      </c>
      <c r="C109" s="49" t="inlineStr">
        <is>
          <t>상세 교육 내용</t>
        </is>
      </c>
      <c r="D109" s="49" t="inlineStr">
        <is>
          <t>시간(분)</t>
        </is>
      </c>
    </row>
    <row r="110" ht="69" customHeight="1" s="1">
      <c r="A110" s="56" t="inlineStr">
        <is>
          <t>이론</t>
        </is>
      </c>
      <c r="B110" s="55" t="inlineStr">
        <is>
          <t>현장 지식이 AI의 판단 근거가 되는 과정 복습하기</t>
        </is>
      </c>
      <c r="C110" s="53" t="inlineStr">
        <is>
          <t>설비·센서·고장 관계를 정의하는 클래스·인스턴스·스키마, 그래프 질의, SOP·DMN·BSC/KPI, 문서 인제스천과 출처, 정적 지식과 현재 DB 값의 구분을 되짚는다. 앞선 영역 Wrap-up의 단순 반복보다 에이전트 입력으로 연결되는 구조를 중심으로 정리한다.</t>
        </is>
      </c>
      <c r="D110" s="54" t="n">
        <v>30</v>
      </c>
    </row>
    <row r="111" ht="60" customHeight="1" s="1">
      <c r="A111" s="63" t="inlineStr">
        <is>
          <t>이론</t>
        </is>
      </c>
      <c r="B111" s="62" t="inlineStr">
        <is>
          <t>에이전트의 결과가 업무 완료로 이어지는 전체 구조 복습하기</t>
        </is>
      </c>
      <c r="C111" s="60" t="inlineStr">
        <is>
          <t>에이전트 실행·Skill·MCP·HITL·SDD·BDD와 BPMN 정의·인스턴스·승인·시스템 실행의 역할 차이를 정리한다. 개별 제안이 실제 처리 건에서 누구의 승인과 어떤 업무 시스템 실행을 거쳐 종료되는지 설명한다.</t>
        </is>
      </c>
      <c r="D111" s="61" t="n">
        <v>30</v>
      </c>
    </row>
    <row r="112" ht="60" customHeight="1" s="1">
      <c r="A112" s="64" t="inlineStr">
        <is>
          <t>실습</t>
        </is>
      </c>
      <c r="B112" s="55" t="inlineStr">
        <is>
          <t>내 주제의 자료·업무 목표·완료 조건 정의하기</t>
        </is>
      </c>
      <c r="C112" s="53" t="inlineStr">
        <is>
          <t>개인에게 친숙한 소규모 업무 사례 하나를 정하고 입력 자료, 사용 가능한 정보원, 에이전트 산출물, 사람 확인 여부, 완료 조건을 간단한 명세에 기록한다. 당일 완주할 수 있는 읽기·분류·추천 범위로 제한한다.</t>
        </is>
      </c>
      <c r="D112" s="54" t="n">
        <v>30</v>
      </c>
    </row>
    <row r="113" ht="60" customHeight="1" s="1">
      <c r="A113" s="65" t="inlineStr">
        <is>
          <t>실습</t>
        </is>
      </c>
      <c r="B113" s="62" t="inlineStr">
        <is>
          <t>내 문서에서 주요 정보를 뽑아 작은 지식 구조 만들기</t>
        </is>
      </c>
      <c r="C113" s="60" t="inlineStr">
        <is>
          <t>제공 문서 또는 본인의 공개 가능 자료에서 핵심 개념·속성·관계를 구분해 스키마와 샘플 인스턴스를 작성한다. 출처와 식별자를 남기며 수업용 별도 이름 공간 또는 샘플 데이터로 검증한다.</t>
        </is>
      </c>
      <c r="D113" s="61" t="n">
        <v>30</v>
      </c>
    </row>
    <row r="114" ht="60" customHeight="1" s="1">
      <c r="A114" s="64" t="inlineStr">
        <is>
          <t>실습</t>
        </is>
      </c>
      <c r="B114" s="55" t="inlineStr">
        <is>
          <t>내 지식과 연결 도구를 사용해 업무를 제안하는 에이전트 만들기</t>
        </is>
      </c>
      <c r="C114" s="53" t="inlineStr">
        <is>
          <t>앞서 만든 스키마·자료를 활용하는 작은 에이전트를 VS Code에서 구성한다. 사용할 수 있는 읽기 MCP를 연결하여 정보가 확인될 때만 제안하고, 미확인 값과 권한 없는 작업은 보류하는 결과를 만든다.</t>
        </is>
      </c>
      <c r="D114" s="54" t="n">
        <v>30</v>
      </c>
    </row>
    <row r="115" ht="69" customHeight="1" s="1">
      <c r="A115" s="65" t="inlineStr">
        <is>
          <t>실습</t>
        </is>
      </c>
      <c r="B115" s="62" t="inlineStr">
        <is>
          <t>직접 그린 흐름으로 내 에이전트를 실행하고 결과 확인하기</t>
        </is>
      </c>
      <c r="C115" s="60" t="inlineStr">
        <is>
          <t>작은 업무의 시작→에이전트 작업→필요 시 사람 확인→결과 보고→종료를 bpmn.io로 작성한다. HYD가 지원하는 연결 방식에 맞는 준비 예제 범위에서 등록·실행하고, 지원 불가능한 외부 시스템 쓰기를 임의로 성공했다고 주장하지 않는다.</t>
        </is>
      </c>
      <c r="D115" s="61" t="n">
        <v>30</v>
      </c>
    </row>
    <row r="116" ht="60" customHeight="1" s="1">
      <c r="A116" s="65" t="inlineStr">
        <is>
          <t>실습</t>
        </is>
      </c>
      <c r="B116" s="62" t="inlineStr">
        <is>
          <t>ProcessGPT 시연으로 지식·에이전트·프로세스의 연결 확인하기</t>
        </is>
      </c>
      <c r="C116" s="60" t="inlineStr">
        <is>
          <t>[강사 시연] 지금까지 만든 지식·에이전트·프로세스와 HYD 포털보다 고도화된 제품인 ProcessGPT를 강사가 직접 보여 준다. ProcessGPT의 제품 개념과 HYD가 따라 구현한 프로세스 정의·인스턴스·작업함·에이전트 단계의 관계를 설명한다. 프로토타입과 제품 구현을 구분하고 기업 업무 적용 시 필요한 통제 요소를 소개한다.</t>
        </is>
      </c>
      <c r="D116" s="61" t="n">
        <v>40</v>
      </c>
    </row>
    <row r="117" ht="69" customHeight="1" s="1">
      <c r="A117" s="65" t="inlineStr">
        <is>
          <t>실습</t>
        </is>
      </c>
      <c r="B117" s="62" t="inlineStr">
        <is>
          <t>학습 내용과 제작 결과를 개인 지식 자산으로 정리하기</t>
        </is>
      </c>
      <c r="C117" s="60" t="inlineStr">
        <is>
          <t>첫날 준비한 Notion 학습노트에 개념·참고 자료·실습 산출물·검증 결과를 연결해 기록한다. 수업 계정에서 Notion 연결과 쓰기 권한이 검증된 경우 MCP 연동을 시연하고, 미연결 환경에서는 준비한 Markdown을 Notion에 직접 정리한다.</t>
        </is>
      </c>
      <c r="D117" s="61" t="n">
        <v>20</v>
      </c>
    </row>
    <row r="118" ht="29" customHeight="1" s="1">
      <c r="A118" s="66" t="inlineStr">
        <is>
          <t>일차 합계</t>
        </is>
      </c>
      <c r="D118" s="49">
        <f>SUM(D110:D117)</f>
        <v/>
      </c>
    </row>
    <row r="119"/>
    <row r="120" ht="36" customHeight="1" s="1">
      <c r="A120" s="43" t="inlineStr">
        <is>
          <t>전체 온라인 강의 합계</t>
        </is>
      </c>
      <c r="D120" s="44">
        <f>SUM(D13,D24,D34,D43,D53,D64,D75,D85,D96,D106,D118)</f>
        <v/>
      </c>
    </row>
    <row r="121"/>
    <row r="122" ht="50" customHeight="1" s="1">
      <c r="A122" s="69" t="inlineStr">
        <is>
          <t>운영 유의: HYD BPMN은 포털의 일부 시스템 단계 설정 칸이 부족하여 제공 mapping.json·검증된 API 절차가 필요할 수 있음. 공용 서버에 여러 학생이 동시에 배포하면 마지막 배포 흐름이 경보를 수신하므로 학생별 환경 또는 순차 진행 필요.</t>
        </is>
      </c>
    </row>
    <row r="123"/>
    <row r="124" ht="50" customHeight="1" s="1">
      <c r="A124" s="69" t="inlineStr">
        <is>
          <t>실습 사전검증: 외부 MCP(파일시스템·Git·시간) 설치·권한·접속, Notion 쓰기 권한, SDD 기능 변경 실패 재현 입력, 오프라인 수강생 실행 시간은 미실측이므로 강사 리허설 필요. 지원되지 않는 업무 기능은 실제 구현 완료로 표기하지 않음.</t>
        </is>
      </c>
    </row>
    <row r="125"/>
    <row r="126" ht="50" customHeight="1" s="1">
      <c r="A126" s="69" t="inlineStr">
        <is>
          <t>HYD 근거: https://github.com/uengine-oss/hyd-iot-edu/tree/claude/hyd-handoff-work-xziutz/students/flows · https://github.com/uengine-oss/hyd-iot-edu/blob/claude/hyd-handoff-work-xziutz/docs/handoff/verification/2026-10-10/final-verify.md</t>
        </is>
      </c>
    </row>
  </sheetData>
  <mergeCells count="28">
    <mergeCell ref="A126:D126"/>
    <mergeCell ref="A108:C108"/>
    <mergeCell ref="A66:C66"/>
    <mergeCell ref="A122:D122"/>
    <mergeCell ref="A118:C118"/>
    <mergeCell ref="A75:C75"/>
    <mergeCell ref="A120:C120"/>
    <mergeCell ref="A55:C55"/>
    <mergeCell ref="A26:C26"/>
    <mergeCell ref="A2:C2"/>
    <mergeCell ref="A85:C85"/>
    <mergeCell ref="A106:C106"/>
    <mergeCell ref="A53:C53"/>
    <mergeCell ref="A4:C4"/>
    <mergeCell ref="A43:C43"/>
    <mergeCell ref="A96:C96"/>
    <mergeCell ref="A1:D1"/>
    <mergeCell ref="A13:C13"/>
    <mergeCell ref="A124:D124"/>
    <mergeCell ref="A77:C77"/>
    <mergeCell ref="A34:C34"/>
    <mergeCell ref="A15:C15"/>
    <mergeCell ref="A24:C24"/>
    <mergeCell ref="A64:C64"/>
    <mergeCell ref="A98:C98"/>
    <mergeCell ref="A36:C36"/>
    <mergeCell ref="A45:C45"/>
    <mergeCell ref="A87:C87"/>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170"/>
  <sheetViews>
    <sheetView workbookViewId="0">
      <pane ySplit="3" topLeftCell="A4" activePane="bottomLeft" state="frozen"/>
      <selection activeCell="A1" sqref="A1"/>
    </sheetView>
  </sheetViews>
  <sheetFormatPr baseColWidth="8" defaultRowHeight="15"/>
  <cols>
    <col width="12" customWidth="1" style="1" min="1" max="1"/>
    <col width="46" customWidth="1" style="1" min="2" max="2"/>
    <col width="108" customWidth="1" style="1" min="3" max="3"/>
    <col width="12" customWidth="1" style="1" min="4" max="4"/>
  </cols>
  <sheetData>
    <row r="1" ht="46" customHeight="1" s="1">
      <c r="A1" s="84" t="inlineStr">
        <is>
          <t>HYD 제조 AI  |  실전반 온라인 32H 상세 실라버스</t>
        </is>
      </c>
      <c r="D1" s="84" t="n"/>
    </row>
    <row r="2" ht="41" customHeight="1" s="1">
      <c r="A2" s="66" t="inlineStr">
        <is>
          <t>확정 편성 | 8회×240분 | 온라인 강사 단독 설명·시연 240분 | 이론·실습만 표기</t>
        </is>
      </c>
      <c r="D2" s="49">
        <f>SUM(D13,D26,D38,D49,D61,D75,D85,D97)</f>
        <v/>
      </c>
    </row>
    <row r="3" ht="12" customHeight="1" s="1">
      <c r="A3" s="73" t="n"/>
      <c r="B3" s="73" t="n"/>
      <c r="C3" s="73" t="n"/>
      <c r="D3" s="73" t="n"/>
    </row>
    <row r="4" ht="39" customHeight="1" s="1">
      <c r="A4" s="43" t="inlineStr">
        <is>
          <t>01일차  |  설비 데이터가 판단과 조치로 이어지는 전체 흐름 이해하기</t>
        </is>
      </c>
      <c r="D4" s="44" t="inlineStr">
        <is>
          <t>4H</t>
        </is>
      </c>
    </row>
    <row r="5" ht="29" customHeight="1" s="1">
      <c r="A5" s="49" t="inlineStr">
        <is>
          <t>구분</t>
        </is>
      </c>
      <c r="B5" s="49" t="inlineStr">
        <is>
          <t>제목</t>
        </is>
      </c>
      <c r="C5" s="49" t="inlineStr">
        <is>
          <t>상세 교육 내용</t>
        </is>
      </c>
      <c r="D5" s="49" t="inlineStr">
        <is>
          <t>시간(분)</t>
        </is>
      </c>
    </row>
    <row r="6" ht="60" customHeight="1" s="1">
      <c r="A6" s="56" t="inlineStr">
        <is>
          <t>이론</t>
        </is>
      </c>
      <c r="B6" s="55" t="inlineStr">
        <is>
          <t>학습 내용을 지식 자산으로 전환하는 방법 이해하기</t>
        </is>
      </c>
      <c r="C6" s="53" t="inlineStr">
        <is>
          <t>메모와 출처·개념·수행 결과가 연결된 재사용 가능한 지식 자산의 차이를 설명한다. 이후 온톨로지·에이전트·프로세스 산출물을 Notion 학습노트에 모으는 목적을 소개한다.</t>
        </is>
      </c>
      <c r="D6" s="54" t="n">
        <v>10</v>
      </c>
    </row>
    <row r="7" ht="60" customHeight="1" s="1">
      <c r="A7" s="65" t="inlineStr">
        <is>
          <t>실습</t>
        </is>
      </c>
      <c r="B7" s="62" t="inlineStr">
        <is>
          <t>Notion으로 지식 자산화를 위한 학습노트 만들기</t>
        </is>
      </c>
      <c r="C7" s="60" t="inlineStr">
        <is>
          <t>Notion에서 과정 홈·하위 페이지·개념·참고 자료·실습 결과 영역을 구성하고 링크·목차·블록 사용법을 익힌다. 샘플 용어와 출처를 기록하여 이후 결과를 누적할 공간을 만든다.</t>
        </is>
      </c>
      <c r="D7" s="61" t="n">
        <v>50</v>
      </c>
    </row>
    <row r="8" ht="60" customHeight="1" s="1">
      <c r="A8" s="56" t="inlineStr">
        <is>
          <t>이론</t>
        </is>
      </c>
      <c r="B8" s="55" t="inlineStr">
        <is>
          <t>설비 데이터가 판단으로 이어지는 시스템 구조와 데이터 흐름 이해하기</t>
        </is>
      </c>
      <c r="C8" s="53" t="inlineStr">
        <is>
          <t>선행 SCADA의 센서·PLC·관제 역할을 복습하고 HYD L1~L9, OT·DMZ·IT, 수집·저장·경보→온톨로지→에이전트→승인·조치의 데이터 흐름과 리니지 개념을 설명한다.</t>
        </is>
      </c>
      <c r="D8" s="54" t="n">
        <v>50</v>
      </c>
    </row>
    <row r="9" ht="69" customHeight="1" s="1">
      <c r="A9" s="65" t="inlineStr">
        <is>
          <t>실습</t>
        </is>
      </c>
      <c r="B9" s="62" t="inlineStr">
        <is>
          <t>시스템 실행 환경을 구성하고 주요 서비스 동작 확인하기</t>
        </is>
      </c>
      <c r="C9" s="60" t="inlineStr">
        <is>
          <t>VS Code·Claude Code·Docker Desktop·Compose의 역할을 안내하고 준비된 HYD 환경에서 서비스 상태와 포털 접속을 확인한다. 환경 변수·프로필·로그 위치를 확인하며 전체 신규 설치를 30분 안에 진행한다고 가정하지 않는다.</t>
        </is>
      </c>
      <c r="D9" s="61" t="n">
        <v>30</v>
      </c>
    </row>
    <row r="10" ht="60" customHeight="1" s="1">
      <c r="A10" s="64" t="inlineStr">
        <is>
          <t>실습</t>
        </is>
      </c>
      <c r="B10" s="55" t="inlineStr">
        <is>
          <t>설비 이상 발생부터 판단·승인·조치까지 전체 과정 경험하기</t>
        </is>
      </c>
      <c r="C10" s="53" t="inlineStr">
        <is>
          <t>HYD 포털에서 쿨러 열화 시나리오를 강사가 실행하여 센서·경보→에이전트 조치 제안→사람 승인→시스템 실행→효과 확인을 연결해서 보여준다. 세부 엔진 구현은 이후 프로세스 차시에 다룬다.</t>
        </is>
      </c>
      <c r="D10" s="54" t="n">
        <v>20</v>
      </c>
    </row>
    <row r="11" ht="60" customHeight="1" s="1">
      <c r="A11" s="63" t="inlineStr">
        <is>
          <t>이론</t>
        </is>
      </c>
      <c r="B11" s="62" t="inlineStr">
        <is>
          <t>설비 데이터에 의미와 관계를 부여하는 온톨로지 이해하기</t>
        </is>
      </c>
      <c r="C11" s="60" t="inlineStr">
        <is>
          <t>데이터·정보·지식의 차이, 단일 센서 수치로는 고장 원인과 조치가 결정되지 않는 이유, 설비·센서·부품·증상·원인·조치를 클래스와 관계로 표현하는 온톨로지의 목적을 설명한다.</t>
        </is>
      </c>
      <c r="D11" s="61" t="n">
        <v>50</v>
      </c>
    </row>
    <row r="12" ht="60" customHeight="1" s="1">
      <c r="A12" s="64" t="inlineStr">
        <is>
          <t>실습</t>
        </is>
      </c>
      <c r="B12" s="55" t="inlineStr">
        <is>
          <t>설비 이상과 원인·조치의 관계를 시각화하기</t>
        </is>
      </c>
      <c r="C12" s="53" t="inlineStr">
        <is>
          <t>arrows.app에서 설비·센서·부품·고장 유형·조치의 노드와 관계 방향을 그려본다. 관계가 표현하는 의미를 확인하고 다음 날 스키마 설계의 입력으로 보존한다.</t>
        </is>
      </c>
      <c r="D12" s="54" t="n">
        <v>30</v>
      </c>
    </row>
    <row r="13" ht="29" customHeight="1" s="1">
      <c r="A13" s="66" t="inlineStr">
        <is>
          <t>일차 합계</t>
        </is>
      </c>
      <c r="D13" s="49">
        <f>SUM(D6:D12)</f>
        <v/>
      </c>
    </row>
    <row r="14">
      <c r="A14" s="73" t="n"/>
      <c r="B14" s="73" t="n"/>
      <c r="C14" s="73" t="n"/>
      <c r="D14" s="73" t="n"/>
    </row>
    <row r="15" ht="39" customHeight="1" s="1">
      <c r="A15" s="43" t="inlineStr">
        <is>
          <t>02일차  |  설비의 지식 구조를 만들고 안전한 조치 기준 마련하기</t>
        </is>
      </c>
      <c r="D15" s="44" t="inlineStr">
        <is>
          <t>4H</t>
        </is>
      </c>
    </row>
    <row r="16" ht="29" customHeight="1" s="1">
      <c r="A16" s="49" t="inlineStr">
        <is>
          <t>구분</t>
        </is>
      </c>
      <c r="B16" s="49" t="inlineStr">
        <is>
          <t>제목</t>
        </is>
      </c>
      <c r="C16" s="49" t="inlineStr">
        <is>
          <t>상세 교육 내용</t>
        </is>
      </c>
      <c r="D16" s="49" t="inlineStr">
        <is>
          <t>시간(분)</t>
        </is>
      </c>
    </row>
    <row r="17" ht="60" customHeight="1" s="1">
      <c r="A17" s="56" t="inlineStr">
        <is>
          <t>이론</t>
        </is>
      </c>
      <c r="B17" s="55" t="inlineStr">
        <is>
          <t>클래스와 인스턴스를 구분해 현장 정보의 구조 이해하기</t>
        </is>
      </c>
      <c r="C17" s="53" t="inlineStr">
        <is>
          <t>클래스·인스턴스·속성·관계, 관계 방향, 카디널리티를 HYD 설비와 센서 실례로 설명한다. 같은 종류의 설비와 실제 설비 1대를 구별한다.</t>
        </is>
      </c>
      <c r="D17" s="54" t="n">
        <v>25</v>
      </c>
    </row>
    <row r="18" ht="60" customHeight="1" s="1">
      <c r="A18" s="63" t="inlineStr">
        <is>
          <t>이론</t>
        </is>
      </c>
      <c r="B18" s="62" t="inlineStr">
        <is>
          <t>일관된 지식 구조를 만들기 위한 스키마 설계 원리 이해하기</t>
        </is>
      </c>
      <c r="C18" s="60" t="inlineStr">
        <is>
          <t>고유 식별자, 자료형, 필수값, 레이블, 노드 간 관계·제약, 스키마와 인스턴스의 역할 차이를 설명한다. 중복 부품 명칭과 동일 설비 구분 문제를 예로 든다.</t>
        </is>
      </c>
      <c r="D18" s="61" t="n">
        <v>20</v>
      </c>
    </row>
    <row r="19" ht="60" customHeight="1" s="1">
      <c r="A19" s="56" t="inlineStr">
        <is>
          <t>이론</t>
        </is>
      </c>
      <c r="B19" s="55" t="inlineStr">
        <is>
          <t>그래프 DB에서 연결 관계를 조회하는 방법 이해하기</t>
        </is>
      </c>
      <c r="C19" s="53" t="inlineStr">
        <is>
          <t>Neo4j의 노드·관계·속성과 Cypher의 MATCH·WHERE·RETURN·CREATE·MERGE의 목적을 설명한다. 구조 조회와 실제 데이터 적재를 구분한다.</t>
        </is>
      </c>
      <c r="D19" s="54" t="n">
        <v>15</v>
      </c>
    </row>
    <row r="20" ht="60" customHeight="1" s="1">
      <c r="A20" s="65" t="inlineStr">
        <is>
          <t>실습</t>
        </is>
      </c>
      <c r="B20" s="62" t="inlineStr">
        <is>
          <t>그래프 DB에서 설비의 연결 관계 조회하기</t>
        </is>
      </c>
      <c r="C20" s="60" t="inlineStr">
        <is>
          <t>Neo4j Browser의 제공 그래프에서 MATCH/WHERE/RETURN으로 특정 설비의 센서·부품 관계를 조회하고 표·그래프 결과를 비교한다.</t>
        </is>
      </c>
      <c r="D20" s="61" t="n">
        <v>15</v>
      </c>
    </row>
    <row r="21" ht="60" customHeight="1" s="1">
      <c r="A21" s="64" t="inlineStr">
        <is>
          <t>실습</t>
        </is>
      </c>
      <c r="B21" s="55" t="inlineStr">
        <is>
          <t>기준 설비 지식의 실제 연결 구조 확인하기</t>
        </is>
      </c>
      <c r="C21" s="53" t="inlineStr">
        <is>
          <t>HYD 포털 지식 지도에서 설비·센서·고장 관계를 간단히 살펴보고, 학생이 작성하는 별도 랩 그래프와 포털 공용 기준 그래프가 자동 동기화되는 것은 아님을 설명한다.</t>
        </is>
      </c>
      <c r="D21" s="54" t="n">
        <v>10</v>
      </c>
    </row>
    <row r="22" ht="60" customHeight="1" s="1">
      <c r="A22" s="65" t="inlineStr">
        <is>
          <t>실습</t>
        </is>
      </c>
      <c r="B22" s="62" t="inlineStr">
        <is>
          <t>현장 정보를 구조화하는 온톨로지 직접 설계하기</t>
        </is>
      </c>
      <c r="C22" s="60" t="inlineStr">
        <is>
          <t>VS Code·Claude Code에서 제공된 설비 자료를 읽어 schema.json, 인스턴스 노드/관계 목록을 작성한다. 공유 부품과 복수 센서 관계를 포함하고 고유 ID·필수 속성을 점검한다.</t>
        </is>
      </c>
      <c r="D22" s="61" t="n">
        <v>40</v>
      </c>
    </row>
    <row r="23" ht="60" customHeight="1" s="1">
      <c r="A23" s="64" t="inlineStr">
        <is>
          <t>실습</t>
        </is>
      </c>
      <c r="B23" s="55" t="inlineStr">
        <is>
          <t>설계한 온톨로지를 그래프 DB에 구현하고 시각화하기</t>
        </is>
      </c>
      <c r="C23" s="53" t="inlineStr">
        <is>
          <t>생성한 스키마·인스턴스에서 Cypher를 작성하여 교육용 Neo4j에 적재·조회한다. 수동 모델링 결과와 저장된 노드·관계가 일치하는지 확인한다. 문서 인제스천은 마지막 날에 수행한다.</t>
        </is>
      </c>
      <c r="D23" s="54" t="n">
        <v>40</v>
      </c>
    </row>
    <row r="24" ht="60" customHeight="1" s="1">
      <c r="A24" s="63" t="inlineStr">
        <is>
          <t>이론</t>
        </is>
      </c>
      <c r="B24" s="62" t="inlineStr">
        <is>
          <t>작업 절차와 판단 조건이 다른 이유 이해하기</t>
        </is>
      </c>
      <c r="C24" s="60" t="inlineStr">
        <is>
          <t>SOP의 단계·안전 전제·금지 조건과 DMN의 입력 조건·결정표·출력 판단을 비교한다. 절차를 모두 규칙으로 대체할 수 없다는 점을 설명한다.</t>
        </is>
      </c>
      <c r="D24" s="61" t="n">
        <v>35</v>
      </c>
    </row>
    <row r="25" ht="60" customHeight="1" s="1">
      <c r="A25" s="64" t="inlineStr">
        <is>
          <t>실습</t>
        </is>
      </c>
      <c r="B25" s="55" t="inlineStr">
        <is>
          <t>제공된 작업 기준으로 조치 허용·제외 조건표 만들기</t>
        </is>
      </c>
      <c r="C25" s="53" t="inlineStr">
        <is>
          <t>제공 SOP 조건에서 온도·압력·설비 상태의 허용/금지 기준을 찾아 간단한 DMN 형식 표를 만든다. 임계값과 금지 조건이 중첩될 때 제외 사유를 기록한다.</t>
        </is>
      </c>
      <c r="D25" s="54" t="n">
        <v>40</v>
      </c>
    </row>
    <row r="26" ht="29" customHeight="1" s="1">
      <c r="A26" s="66" t="inlineStr">
        <is>
          <t>일차 합계</t>
        </is>
      </c>
      <c r="D26" s="49">
        <f>SUM(D17:D25)</f>
        <v/>
      </c>
    </row>
    <row r="27">
      <c r="A27" s="73" t="n"/>
      <c r="B27" s="73" t="n"/>
      <c r="C27" s="73" t="n"/>
      <c r="D27" s="73" t="n"/>
    </row>
    <row r="28" ht="39" customHeight="1" s="1">
      <c r="A28" s="43" t="inlineStr">
        <is>
          <t>03일차  |  조치의 성과를 비교하고 현장 자료를 판단 근거로 전환하기</t>
        </is>
      </c>
      <c r="D28" s="44" t="inlineStr">
        <is>
          <t>4H</t>
        </is>
      </c>
    </row>
    <row r="29" ht="29" customHeight="1" s="1">
      <c r="A29" s="49" t="inlineStr">
        <is>
          <t>구분</t>
        </is>
      </c>
      <c r="B29" s="49" t="inlineStr">
        <is>
          <t>제목</t>
        </is>
      </c>
      <c r="C29" s="49" t="inlineStr">
        <is>
          <t>상세 교육 내용</t>
        </is>
      </c>
      <c r="D29" s="49" t="inlineStr">
        <is>
          <t>시간(분)</t>
        </is>
      </c>
    </row>
    <row r="30" ht="60" customHeight="1" s="1">
      <c r="A30" s="56" t="inlineStr">
        <is>
          <t>이론</t>
        </is>
      </c>
      <c r="B30" s="55" t="inlineStr">
        <is>
          <t>조치의 효과를 비용과 성과 관점에서 평가하는 기준 이해하기</t>
        </is>
      </c>
      <c r="C30" s="53" t="inlineStr">
        <is>
          <t>BSC 4관점과 전략 목표·KPI의 역할, 안전을 만족한 후보 사이에서 예상 비용·생산 영향·품질·에너지 측면을 비교하는 이유, What-if 분석의 개념을 설명한다.</t>
        </is>
      </c>
      <c r="D30" s="54" t="n">
        <v>20</v>
      </c>
    </row>
    <row r="31" ht="60" customHeight="1" s="1">
      <c r="A31" s="65" t="inlineStr">
        <is>
          <t>실습</t>
        </is>
      </c>
      <c r="B31" s="62" t="inlineStr">
        <is>
          <t>운전 조건을 바꿔 조치의 우선순위와 성과 비교하기</t>
        </is>
      </c>
      <c r="C31" s="60" t="inlineStr">
        <is>
          <t>HYD 포털에서 제공된 조건·가중치에 따른 판단 결과를 조회하고 변경 입력 전후의 허용/제외 및 순위 차이를 확인한다. 화면에서 수정 가능한 항목은 수업 환경에서 사전 검증한다.</t>
        </is>
      </c>
      <c r="D31" s="61" t="n">
        <v>15</v>
      </c>
    </row>
    <row r="32" ht="60" customHeight="1" s="1">
      <c r="A32" s="64" t="inlineStr">
        <is>
          <t>실습</t>
        </is>
      </c>
      <c r="B32" s="55" t="inlineStr">
        <is>
          <t>여러 조건에서 적절한 조치를 선택하는 판단 기능 완성하기</t>
        </is>
      </c>
      <c r="C32" s="53" t="inlineStr">
        <is>
          <t>전날 SOP·DMN 표에 온도·압력·운전 상태의 조합을 추가하고, 허용/제외 결과와 금지 사유를 구조화된 출력으로 만드는 기능을 완성한다.</t>
        </is>
      </c>
      <c r="D32" s="54" t="n">
        <v>35</v>
      </c>
    </row>
    <row r="33" ht="60" customHeight="1" s="1">
      <c r="A33" s="63" t="inlineStr">
        <is>
          <t>이론</t>
        </is>
      </c>
      <c r="B33" s="62" t="inlineStr">
        <is>
          <t>현장 문서를 검토 가능한 지식으로 전환하는 전체 과정 이해하기</t>
        </is>
      </c>
      <c r="C33" s="60" t="inlineStr">
        <is>
          <t>원본 문서 확보→추출→클래스·관계 매핑→원문 대조·검토→승인→그래프 적재→조회, 출처·개정 기록의 원리를 설명한다. 2일차 샘플 인스턴스 적재와 본격 문서 인제스천의 차이를 구분한다.</t>
        </is>
      </c>
      <c r="D33" s="61" t="n">
        <v>30</v>
      </c>
    </row>
    <row r="34" ht="60" customHeight="1" s="1">
      <c r="A34" s="64" t="inlineStr">
        <is>
          <t>실습</t>
        </is>
      </c>
      <c r="B34" s="55" t="inlineStr">
        <is>
          <t>현장 매뉴얼을 검토해 근거 있는 지식으로 등록하기</t>
        </is>
      </c>
      <c r="C34" s="53" t="inlineStr">
        <is>
          <t>HYD 포털 지식 관리에서 수업용 매뉴얼을 등록하고 추출된 증상·원인·조치 후보를 원문과 대조하여 수정·검토한다. 검토 완료된 자료를 적재하고 지식 지도에서 출처 연결을 확인한다.</t>
        </is>
      </c>
      <c r="D34" s="54" t="n">
        <v>35</v>
      </c>
    </row>
    <row r="35" ht="60" customHeight="1" s="1">
      <c r="A35" s="65" t="inlineStr">
        <is>
          <t>실습</t>
        </is>
      </c>
      <c r="B35" s="62" t="inlineStr">
        <is>
          <t>표와 예외 조건이 포함된 기술 자료에서 지식 추출하기</t>
        </is>
      </c>
      <c r="C35" s="60" t="inlineStr">
        <is>
          <t>VS Code·Claude Code에서 제공된 기술 문서의 표·작업 단계·단위·금지 조건을 JSON으로 추출한다. 문서 ID·페이지·원문 인용을 보존하고 긍정·부정 조건의 혼동을 검토한다.</t>
        </is>
      </c>
      <c r="D35" s="61" t="n">
        <v>40</v>
      </c>
    </row>
    <row r="36" ht="60" customHeight="1" s="1">
      <c r="A36" s="64" t="inlineStr">
        <is>
          <t>실습</t>
        </is>
      </c>
      <c r="B36" s="55" t="inlineStr">
        <is>
          <t>검토한 지식을 기존 그래프에 반영하고 출처 확인하기</t>
        </is>
      </c>
      <c r="C36" s="53" t="inlineStr">
        <is>
          <t>검토·승인된 후보만 교육용 Neo4j에 적재하고 고장 유형→증상/원인→조치→출처 관계를 조회한다. 임의 원문 문장을 정답으로 적재하지 않는다.</t>
        </is>
      </c>
      <c r="D36" s="54" t="n">
        <v>35</v>
      </c>
    </row>
    <row r="37" ht="60" customHeight="1" s="1">
      <c r="A37" s="63" t="inlineStr">
        <is>
          <t>이론</t>
        </is>
      </c>
      <c r="B37" s="62" t="inlineStr">
        <is>
          <t>온톨로지 설계부터 지식 활용까지 전체 과정 정리하기 — Wrap-up</t>
        </is>
      </c>
      <c r="C37" s="60" t="inlineStr">
        <is>
          <t>온톨로지 WHY→클래스·스키마→그래프 DB→SOP·DMN→BSC·KPI→매뉴얼 인제스천의 역할과 다음 에이전트 학습으로 이어지는 지식 자산을 복습한다. 신규 실습 없음.</t>
        </is>
      </c>
      <c r="D37" s="61" t="n">
        <v>30</v>
      </c>
    </row>
    <row r="38" ht="29" customHeight="1" s="1">
      <c r="A38" s="66" t="inlineStr">
        <is>
          <t>일차 합계</t>
        </is>
      </c>
      <c r="D38" s="49">
        <f>SUM(D30:D37)</f>
        <v/>
      </c>
    </row>
    <row r="39">
      <c r="A39" s="50" t="n"/>
      <c r="B39" s="50" t="n"/>
      <c r="C39" s="50" t="n"/>
      <c r="D39" s="50" t="n"/>
    </row>
    <row r="40" ht="39" customHeight="1" s="1">
      <c r="A40" s="43" t="inlineStr">
        <is>
          <t>04일차  |  업무를 수행하는 AI를 만들고 다양한 도구 연결하기</t>
        </is>
      </c>
      <c r="D40" s="44" t="inlineStr">
        <is>
          <t>4H</t>
        </is>
      </c>
    </row>
    <row r="41" ht="29" customHeight="1" s="1">
      <c r="A41" s="49" t="inlineStr">
        <is>
          <t>구분</t>
        </is>
      </c>
      <c r="B41" s="49" t="inlineStr">
        <is>
          <t>제목</t>
        </is>
      </c>
      <c r="C41" s="49" t="inlineStr">
        <is>
          <t>상세 교육 내용</t>
        </is>
      </c>
      <c r="D41" s="49" t="inlineStr">
        <is>
          <t>시간(분)</t>
        </is>
      </c>
    </row>
    <row r="42" ht="60" customHeight="1" s="1">
      <c r="A42" s="56" t="inlineStr">
        <is>
          <t>이론</t>
        </is>
      </c>
      <c r="B42" s="55" t="inlineStr">
        <is>
          <t>실제 업무를 수행하는 AI의 구조 이해하기</t>
        </is>
      </c>
      <c r="C42" s="53" t="inlineStr">
        <is>
          <t>LLM·RAG·Agent의 목표·도구·반복 실행 차이, 온톨로지·업무 DB·SOP를 근거로 선택하는 과정과 실패 시 확인해야 할 실행 기록을 압축해 설명한다.</t>
        </is>
      </c>
      <c r="D42" s="54" t="n">
        <v>30</v>
      </c>
    </row>
    <row r="43" ht="60" customHeight="1" s="1">
      <c r="A43" s="65" t="inlineStr">
        <is>
          <t>실습</t>
        </is>
      </c>
      <c r="B43" s="62" t="inlineStr">
        <is>
          <t>나의 업무 에이전트 직접 구성하기</t>
        </is>
      </c>
      <c r="C43" s="60" t="inlineStr">
        <is>
          <t>HYD 포털에서 역할·목표·연결 도구를 정해 학생 에이전트를 만들고 질문, 근거, 호출 기록을 확인한다. 기준 에이전트의 답과 차이를 알아본다.</t>
        </is>
      </c>
      <c r="D43" s="61" t="n">
        <v>25</v>
      </c>
    </row>
    <row r="44" ht="60" customHeight="1" s="1">
      <c r="A44" s="64" t="inlineStr">
        <is>
          <t>실습</t>
        </is>
      </c>
      <c r="B44" s="55" t="inlineStr">
        <is>
          <t>설비 문제를 실제 후속 업무로 연결하기</t>
        </is>
      </c>
      <c r="C44" s="53" t="inlineStr">
        <is>
          <t>공용 온톨로지·SOP·센서 증거를 활용하여 고장 원인 후보와 점검 순서를 제안하는 에이전트를 VS Code에서 구성한다. 확인되지 않은 입력은 표시하고 복합 센서 증거를 추가로 비교한다.</t>
        </is>
      </c>
      <c r="D44" s="54" t="n">
        <v>45</v>
      </c>
    </row>
    <row r="45" ht="60" customHeight="1" s="1">
      <c r="A45" s="63" t="inlineStr">
        <is>
          <t>이론</t>
        </is>
      </c>
      <c r="B45" s="62" t="inlineStr">
        <is>
          <t>반복 업무를 재사용 가능한 능력으로 만들기</t>
        </is>
      </c>
      <c r="C45" s="60" t="inlineStr">
        <is>
          <t>SKILL.md의 목표·호출 조건·입출력·절차, 현장 SOP와 Agent Skill의 차이를 학습한다. 여러 업무에 같은 지침을 재사용하는 이유를 설명한다.</t>
        </is>
      </c>
      <c r="D45" s="61" t="n">
        <v>25</v>
      </c>
    </row>
    <row r="46" ht="60" customHeight="1" s="1">
      <c r="A46" s="64" t="inlineStr">
        <is>
          <t>실습</t>
        </is>
      </c>
      <c r="B46" s="55" t="inlineStr">
        <is>
          <t>회의 내용을 후속 작업으로 전환하는 지침 만들기</t>
        </is>
      </c>
      <c r="C46" s="53" t="inlineStr">
        <is>
          <t>샘플 회의록에서 결정사항·담당자·기한을 뽑아 실행 목록으로 만드는 SKILL.md를 작성한다. 담당자 중복·기한 미정 한두 상황을 추가하고 결과를 Markdown으로 기록한다.</t>
        </is>
      </c>
      <c r="D46" s="54" t="n">
        <v>45</v>
      </c>
    </row>
    <row r="47" ht="60" customHeight="1" s="1">
      <c r="A47" s="63" t="inlineStr">
        <is>
          <t>이론</t>
        </is>
      </c>
      <c r="B47" s="62" t="inlineStr">
        <is>
          <t>외부 시스템과 안전하게 연결하는 방법 이해하기</t>
        </is>
      </c>
      <c r="C47" s="60" t="inlineStr">
        <is>
          <t>MCP Host·Client·Server·Tool, stdio·HTTP, 입력 스키마·출력, 읽기/쓰기 권한·호출 실패, HYD 포털과 로컬 MCP 설정의 차이를 설명한다.</t>
        </is>
      </c>
      <c r="D47" s="61" t="n">
        <v>25</v>
      </c>
    </row>
    <row r="48" ht="69" customHeight="1" s="1">
      <c r="A48" s="64" t="inlineStr">
        <is>
          <t>실습</t>
        </is>
      </c>
      <c r="B48" s="55" t="inlineStr">
        <is>
          <t>여러 외부 도구를 연결해 실제 작업 처리하기</t>
        </is>
      </c>
      <c r="C48" s="53" t="inlineStr">
        <is>
          <t>HYD 내부 읽기 도구 연결을 확인하고, VS Code·Claude Code에서 사전 준비한 파일시스템·Git·시간 등 MCP 3종 이상을 호출한다. 파일 내용·수정 이력·시간을 조합한 작업 요약을 만들고 서버별 권한·실패를 비교한다.</t>
        </is>
      </c>
      <c r="D48" s="54" t="n">
        <v>45</v>
      </c>
    </row>
    <row r="49" ht="29" customHeight="1" s="1">
      <c r="A49" s="66" t="inlineStr">
        <is>
          <t>일차 합계</t>
        </is>
      </c>
      <c r="D49" s="49">
        <f>SUM(D42:D48)</f>
        <v/>
      </c>
    </row>
    <row r="50">
      <c r="A50" s="50" t="n"/>
      <c r="B50" s="50" t="n"/>
      <c r="C50" s="50" t="n"/>
      <c r="D50" s="50" t="n"/>
    </row>
    <row r="51" ht="39" customHeight="1" s="1">
      <c r="A51" s="43" t="inlineStr">
        <is>
          <t>05일차  |  사람과 협업하고 변경된 기능까지 검증하기</t>
        </is>
      </c>
      <c r="D51" s="44" t="inlineStr">
        <is>
          <t>4H</t>
        </is>
      </c>
    </row>
    <row r="52" ht="29" customHeight="1" s="1">
      <c r="A52" s="49" t="inlineStr">
        <is>
          <t>구분</t>
        </is>
      </c>
      <c r="B52" s="49" t="inlineStr">
        <is>
          <t>제목</t>
        </is>
      </c>
      <c r="C52" s="49" t="inlineStr">
        <is>
          <t>상세 교육 내용</t>
        </is>
      </c>
      <c r="D52" s="49" t="inlineStr">
        <is>
          <t>시간(분)</t>
        </is>
      </c>
    </row>
    <row r="53" ht="60" customHeight="1" s="1">
      <c r="A53" s="56" t="inlineStr">
        <is>
          <t>이론</t>
        </is>
      </c>
      <c r="B53" s="55" t="inlineStr">
        <is>
          <t>사람이 최종 판단해야 하는 상황 이해하기</t>
        </is>
      </c>
      <c r="C53" s="53" t="inlineStr">
        <is>
          <t>HITL의 승인·보류·거절, 역할별 책임·감사 기록, AI의 자체 검토와 사람 결정의 차이를 설명한다.</t>
        </is>
      </c>
      <c r="D53" s="54" t="n">
        <v>20</v>
      </c>
    </row>
    <row r="54" ht="60" customHeight="1" s="1">
      <c r="A54" s="65" t="inlineStr">
        <is>
          <t>실습</t>
        </is>
      </c>
      <c r="B54" s="62" t="inlineStr">
        <is>
          <t>사람 승인에 따라 업무가 달라지는 과정 확인하기</t>
        </is>
      </c>
      <c r="C54" s="60" t="inlineStr">
        <is>
          <t>HYD 처리 건·작업함에서 준비된 승인 작업과 권한 상태를 확인한다. 권한 제한과 승인·거절의 의미를 살펴본다.</t>
        </is>
      </c>
      <c r="D54" s="61" t="n">
        <v>15</v>
      </c>
    </row>
    <row r="55" ht="60" customHeight="1" s="1">
      <c r="A55" s="64" t="inlineStr">
        <is>
          <t>실습</t>
        </is>
      </c>
      <c r="B55" s="55" t="inlineStr">
        <is>
          <t>불명확한 요청을 확인하고 재처리하기</t>
        </is>
      </c>
      <c r="C55" s="53" t="inlineStr">
        <is>
          <t>전날 만든 업무 에이전트에 필수 정보 누락 시 보류→질문→추가 답변 반영→업무 재개의 흐름을 추가한다. 정보 없이 확정하지 않는 것을 확인한다.</t>
        </is>
      </c>
      <c r="D55" s="54" t="n">
        <v>35</v>
      </c>
    </row>
    <row r="56" ht="60" customHeight="1" s="1">
      <c r="A56" s="63" t="inlineStr">
        <is>
          <t>이론</t>
        </is>
      </c>
      <c r="B56" s="62" t="inlineStr">
        <is>
          <t>기존 기능을 보존하면서 요구사항 확장하기</t>
        </is>
      </c>
      <c r="C56" s="60" t="inlineStr">
        <is>
          <t>SDD의 입력/출력 계약·제약·수용 기준과 모호한 바이브 코딩 변경의 위험을 설명한다. spec.md에 지켜야 할 일반 업무 기능과 긴급 요청의 차이를 명시하는 이유를 연결한다.</t>
        </is>
      </c>
      <c r="D56" s="61" t="n">
        <v>30</v>
      </c>
    </row>
    <row r="57" ht="69" customHeight="1" s="1">
      <c r="A57" s="64" t="inlineStr">
        <is>
          <t>실습</t>
        </is>
      </c>
      <c r="B57" s="55" t="inlineStr">
        <is>
          <t>새로운 요구사항을 추가해도 기존 기능 유지하기</t>
        </is>
      </c>
      <c r="C57" s="53" t="inlineStr">
        <is>
          <t>기존 에이전트에 긴급 요청 분류 조건을 추가한다. 사전에 확인한 출력 계약/승인 기준 재현 사례를 비교한 후 spec.md를 보완하고 일반·긴급 입력 모두에서 기존 제약을 유지하도록 수정한다. 실패가 보편적으로 발생한다고 단정하지 않는다.</t>
        </is>
      </c>
      <c r="D57" s="54" t="n">
        <v>50</v>
      </c>
    </row>
    <row r="58" ht="60" customHeight="1" s="1">
      <c r="A58" s="63" t="inlineStr">
        <is>
          <t>이론</t>
        </is>
      </c>
      <c r="B58" s="62" t="inlineStr">
        <is>
          <t>에이전트의 행동을 시나리오로 검증하기</t>
        </is>
      </c>
      <c r="C58" s="60" t="inlineStr">
        <is>
          <t>BDD의 Given/When/Then, SDD와의 차이, 정상·누락·거절·경계 조건 및 회귀 검증을 설명한다.</t>
        </is>
      </c>
      <c r="D58" s="61" t="n">
        <v>20</v>
      </c>
    </row>
    <row r="59" ht="60" customHeight="1" s="1">
      <c r="A59" s="64" t="inlineStr">
        <is>
          <t>실습</t>
        </is>
      </c>
      <c r="B59" s="55" t="inlineStr">
        <is>
          <t>기존 기능과 추가 기능을 함께 검증하기</t>
        </is>
      </c>
      <c r="C59" s="53" t="inlineStr">
        <is>
          <t>같은 프로젝트와 spec.md에 정상·긴급·미입력·거절 조건을 Given/When/Then 시나리오로 작성하고 실행한다. 실제 실패 사례를 수정한 뒤 기존 기능을 함께 재검증한다.</t>
        </is>
      </c>
      <c r="D59" s="54" t="n">
        <v>40</v>
      </c>
    </row>
    <row r="60" ht="60" customHeight="1" s="1">
      <c r="A60" s="63" t="inlineStr">
        <is>
          <t>이론</t>
        </is>
      </c>
      <c r="B60" s="62" t="inlineStr">
        <is>
          <t>업무 에이전트의 제작과 검증 과정 정리하기 — Wrap-up</t>
        </is>
      </c>
      <c r="C60" s="60" t="inlineStr">
        <is>
          <t>Agent·Skill·MCP·HITL·SDD·BDD가 각각 해결하는 문제와 구현 산출물을 복습하고 BPMN 업무 연결을 예고한다. 새로운 실습 없음.</t>
        </is>
      </c>
      <c r="D60" s="61" t="n">
        <v>30</v>
      </c>
    </row>
    <row r="61" ht="29" customHeight="1" s="1">
      <c r="A61" s="66" t="inlineStr">
        <is>
          <t>일차 합계</t>
        </is>
      </c>
      <c r="D61" s="49">
        <f>SUM(D53:D60)</f>
        <v/>
      </c>
    </row>
    <row r="62">
      <c r="A62" s="50" t="n"/>
      <c r="B62" s="50" t="n"/>
      <c r="C62" s="50" t="n"/>
      <c r="D62" s="50" t="n"/>
    </row>
    <row r="63" ht="39" customHeight="1" s="1">
      <c r="A63" s="43" t="inlineStr">
        <is>
          <t>06일차  |  설비 이상 대응을 안전하게 실행하는 프로세스 완성하기</t>
        </is>
      </c>
      <c r="D63" s="44" t="inlineStr">
        <is>
          <t>4H</t>
        </is>
      </c>
    </row>
    <row r="64" ht="29" customHeight="1" s="1">
      <c r="A64" s="49" t="inlineStr">
        <is>
          <t>구분</t>
        </is>
      </c>
      <c r="B64" s="49" t="inlineStr">
        <is>
          <t>제목</t>
        </is>
      </c>
      <c r="C64" s="49" t="inlineStr">
        <is>
          <t>상세 교육 내용</t>
        </is>
      </c>
      <c r="D64" s="49" t="inlineStr">
        <is>
          <t>시간(분)</t>
        </is>
      </c>
    </row>
    <row r="65" ht="60" customHeight="1" s="1">
      <c r="A65" s="56" t="inlineStr">
        <is>
          <t>이론</t>
        </is>
      </c>
      <c r="B65" s="55" t="inlineStr">
        <is>
          <t>AI 작업과 비즈니스 프로세스의 차이 이해하기</t>
        </is>
      </c>
      <c r="C65" s="53" t="inlineStr">
        <is>
          <t>End-to-End 업무, 시작·입력·담당·완료와 BPM의 분석·설계·실행·모니터링·개선, 에이전트의 단일 작업과 오케스트레이션의 전체 흐름 책임을 설명한다.</t>
        </is>
      </c>
      <c r="D65" s="54" t="n">
        <v>20</v>
      </c>
    </row>
    <row r="66" ht="60" customHeight="1" s="1">
      <c r="A66" s="63" t="inlineStr">
        <is>
          <t>이론</t>
        </is>
      </c>
      <c r="B66" s="62" t="inlineStr">
        <is>
          <t>업무 흐름을 표현하는 공통 규칙 이해하기</t>
        </is>
      </c>
      <c r="C66" s="60" t="inlineStr">
        <is>
          <t>BPMN의 Event·Task·Gateway·Lane·Sequence Flow·Message Flow, 승인·거절·Timer·Boundary Event를 설비 이상 대응을 통해 설명한다.</t>
        </is>
      </c>
      <c r="D66" s="61" t="n">
        <v>20</v>
      </c>
    </row>
    <row r="67" ht="60" customHeight="1" s="1">
      <c r="A67" s="56" t="inlineStr">
        <is>
          <t>이론</t>
        </is>
      </c>
      <c r="B67" s="55" t="inlineStr">
        <is>
          <t>프로세스의 실행과 통제 구조 이해하기</t>
        </is>
      </c>
      <c r="C67" s="53" t="inlineStr">
        <is>
          <t>정의·인스턴스·프로세스 변수·Token, 프로세스 엔진, User/Service/Agent 작업, 상태·권한·배포·감사 기록의 의미를 설명한다.</t>
        </is>
      </c>
      <c r="D67" s="54" t="n">
        <v>20</v>
      </c>
    </row>
    <row r="68" ht="60" customHeight="1" s="1">
      <c r="A68" s="65" t="inlineStr">
        <is>
          <t>실습</t>
        </is>
      </c>
      <c r="B68" s="62" t="inlineStr">
        <is>
          <t>업무 설계 도구의 기본 사용법 익히기</t>
        </is>
      </c>
      <c r="C68" s="60" t="inlineStr">
        <is>
          <t>bpmn.io에서 요소 배치·연결·수정·속성 확인, .bpmn 저장·불러오기를 직접 실행한다.</t>
        </is>
      </c>
      <c r="D68" s="61" t="n">
        <v>20</v>
      </c>
    </row>
    <row r="69" ht="60" customHeight="1" s="1">
      <c r="A69" s="64" t="inlineStr">
        <is>
          <t>실습</t>
        </is>
      </c>
      <c r="B69" s="55" t="inlineStr">
        <is>
          <t>간단한 승인 업무 흐름 그려보기</t>
        </is>
      </c>
      <c r="C69" s="53" t="inlineStr">
        <is>
          <t>시작→요청 확인→승인 여부→승인/반려 종료를 그려 Event·Task·Gateway와 각 경로 연결을 확인한다.</t>
        </is>
      </c>
      <c r="D69" s="54" t="n">
        <v>15</v>
      </c>
    </row>
    <row r="70" ht="60" customHeight="1" s="1">
      <c r="A70" s="65" t="inlineStr">
        <is>
          <t>실습</t>
        </is>
      </c>
      <c r="B70" s="62" t="inlineStr">
        <is>
          <t>설비 이상을 조치까지 연결하는 흐름 설계하기</t>
        </is>
      </c>
      <c r="C70" s="60" t="inlineStr">
        <is>
          <t>쿨러 경보→진단·조치 제안 에이전트→운전원 승인→PLC 명령→효과 재확인→보고를 bpmn.io에서 작성하고 역할별 Lane을 구성한다.</t>
        </is>
      </c>
      <c r="D70" s="61" t="n">
        <v>40</v>
      </c>
    </row>
    <row r="71" ht="60" customHeight="1" s="1">
      <c r="A71" s="64" t="inlineStr">
        <is>
          <t>실습</t>
        </is>
      </c>
      <c r="B71" s="55" t="inlineStr">
        <is>
          <t>승인 조건과 예외를 반영해 안전한 흐름 만들기</t>
        </is>
      </c>
      <c r="C71" s="53" t="inlineStr">
        <is>
          <t>승인·거절 분기, 반려 종료, 승인 지연 알림 Timer를 구성한다. 거절 시 명령이 실행되지 않으며 알림이 사람 작업을 취소하지 않는 구조를 확인한다.</t>
        </is>
      </c>
      <c r="D71" s="54" t="n">
        <v>30</v>
      </c>
    </row>
    <row r="72" ht="60" customHeight="1" s="1">
      <c r="A72" s="65" t="inlineStr">
        <is>
          <t>실습</t>
        </is>
      </c>
      <c r="B72" s="62" t="inlineStr">
        <is>
          <t>작성한 흐름에 에이전트와 실행 기능 연결하기</t>
        </is>
      </c>
      <c r="C72" s="60" t="inlineStr">
        <is>
          <t>HYD에 BPMN을 가져와 쿨러 경보 시작 조건, 기존 에이전트, 승인 역할, PLC 명령·재관측·결과 작업을 매핑한다. 포털에 없는 시스템 설정은 수업 제공 mapping.json과 검증된 API 절차를 사용한다.</t>
        </is>
      </c>
      <c r="D72" s="61" t="n">
        <v>30</v>
      </c>
    </row>
    <row r="73" ht="60" customHeight="1" s="1">
      <c r="A73" s="64" t="inlineStr">
        <is>
          <t>실습</t>
        </is>
      </c>
      <c r="B73" s="55" t="inlineStr">
        <is>
          <t>연결 오류를 검사하고 실행 가능한 정의로 배포하기</t>
        </is>
      </c>
      <c r="C73" s="53" t="inlineStr">
        <is>
          <t>실제 사전 검사에서 잡히는 필수 작업 부품 누락·분기 조건 누락 사례를 확인하고 수정한다. 정상적으로 검사 통과한 정의를 등록·배포한다.</t>
        </is>
      </c>
      <c r="D73" s="54" t="n">
        <v>25</v>
      </c>
    </row>
    <row r="74" ht="60" customHeight="1" s="1">
      <c r="A74" s="65" t="inlineStr">
        <is>
          <t>실습</t>
        </is>
      </c>
      <c r="B74" s="62" t="inlineStr">
        <is>
          <t>실제 설비 이벤트로 프로세스의 처리 결과 검증하기</t>
        </is>
      </c>
      <c r="C74" s="60" t="inlineStr">
        <is>
          <t>쿨러 열화 버튼으로 자신의 프로세스 인스턴스를 시작하고 에이전트·승인·설비 명령·효과 확인·종료를 확인한다. 정상 처리 건과 승인 대기 상태를 구분한다.</t>
        </is>
      </c>
      <c r="D74" s="61" t="n">
        <v>20</v>
      </c>
    </row>
    <row r="75" ht="29" customHeight="1" s="1">
      <c r="A75" s="66" t="inlineStr">
        <is>
          <t>일차 합계</t>
        </is>
      </c>
      <c r="D75" s="49">
        <f>SUM(D65:D74)</f>
        <v/>
      </c>
    </row>
    <row r="76">
      <c r="A76" s="50" t="n"/>
      <c r="B76" s="50" t="n"/>
      <c r="C76" s="50" t="n"/>
      <c r="D76" s="50" t="n"/>
    </row>
    <row r="77" ht="39" customHeight="1" s="1">
      <c r="A77" s="43" t="inlineStr">
        <is>
          <t>07일차  |  정비와 구매 업무를 연결하고 프로세스의 실행 결과 검증하기</t>
        </is>
      </c>
      <c r="D77" s="44" t="inlineStr">
        <is>
          <t>4H</t>
        </is>
      </c>
    </row>
    <row r="78" ht="29" customHeight="1" s="1">
      <c r="A78" s="49" t="inlineStr">
        <is>
          <t>구분</t>
        </is>
      </c>
      <c r="B78" s="49" t="inlineStr">
        <is>
          <t>제목</t>
        </is>
      </c>
      <c r="C78" s="49" t="inlineStr">
        <is>
          <t>상세 교육 내용</t>
        </is>
      </c>
      <c r="D78" s="49" t="inlineStr">
        <is>
          <t>시간(분)</t>
        </is>
      </c>
    </row>
    <row r="79" ht="60" customHeight="1" s="1">
      <c r="A79" s="56" t="inlineStr">
        <is>
          <t>이론</t>
        </is>
      </c>
      <c r="B79" s="55" t="inlineStr">
        <is>
          <t>여러 업무의 시작 조건과 실행 결과를 일관되게 관리하기</t>
        </is>
      </c>
      <c r="C79" s="53" t="inlineStr">
        <is>
          <t>정기 점검 도래와 재고 부족 시작 이벤트, 승인자·시스템 차이, 프로세스 정의 재사용·인스턴스 상태·배포·오류·반려 기록을 압축 설명한다.</t>
        </is>
      </c>
      <c r="D79" s="54" t="n">
        <v>20</v>
      </c>
    </row>
    <row r="80" ht="60" customHeight="1" s="1">
      <c r="A80" s="65" t="inlineStr">
        <is>
          <t>실습</t>
        </is>
      </c>
      <c r="B80" s="62" t="inlineStr">
        <is>
          <t>정기 점검부터 작업지시까지 이어지는 프로세스 설계하기</t>
        </is>
      </c>
      <c r="C80" s="60" t="inlineStr">
        <is>
          <t>bpmn.io에서 정기 점검 도래→정비 계획 에이전트→설비보전팀장 승인·거절→CMMS 오더→생산팀 공지→종료를 그린다. 공통 역할·승인 구조에 기반해 작업과 분기 조건을 완성한다.</t>
        </is>
      </c>
      <c r="D80" s="61" t="n">
        <v>50</v>
      </c>
    </row>
    <row r="81" ht="60" customHeight="1" s="1">
      <c r="A81" s="64" t="inlineStr">
        <is>
          <t>실습</t>
        </is>
      </c>
      <c r="B81" s="55" t="inlineStr">
        <is>
          <t>정비 프로세스를 실행하고 승인 조건 검증하기</t>
        </is>
      </c>
      <c r="C81" s="53" t="inlineStr">
        <is>
          <t>HYD에 정비 BPMN을 연결·검사·배포하고 정기 점검 이벤트로 실행한다. 승인 시 작업지시·공지가 진행되고 반려 시 오더가 생성되지 않는 차이를 확인한다. 연결 값 파일 지원 범위를 준수한다.</t>
        </is>
      </c>
      <c r="D81" s="54" t="n">
        <v>45</v>
      </c>
    </row>
    <row r="82" ht="60" customHeight="1" s="1">
      <c r="A82" s="65" t="inlineStr">
        <is>
          <t>실습</t>
        </is>
      </c>
      <c r="B82" s="62" t="inlineStr">
        <is>
          <t>재고 부족부터 발주·입고까지 이어지는 프로세스 설계하기</t>
        </is>
      </c>
      <c r="C82" s="60" t="inlineStr">
        <is>
          <t>bpmn.io에서 재고 부족→기존 구매 에이전트→구매 담당자 승인·거절→ERP 발주→공급사 통지→즉시 입고 반영→종료를 작성한다. ERP와 재고 기능은 HYD 시뮬레이션으로 다룬다.</t>
        </is>
      </c>
      <c r="D82" s="61" t="n">
        <v>50</v>
      </c>
    </row>
    <row r="83" ht="60" customHeight="1" s="1">
      <c r="A83" s="64" t="inlineStr">
        <is>
          <t>실습</t>
        </is>
      </c>
      <c r="B83" s="55" t="inlineStr">
        <is>
          <t>구매 프로세스를 실행하고 처리 결과 검증하기</t>
        </is>
      </c>
      <c r="C83" s="53" t="inlineStr">
        <is>
          <t>작성한 BPMN을 매핑·사전 검사·배포하고 재고 보충 이벤트로 실행한다. 승인 시 발주·통지·재고 반영, 거절 시 발주 차단을 확인한다. 기존 처리 결과를 근거로 검증한다.</t>
        </is>
      </c>
      <c r="D83" s="54" t="n">
        <v>45</v>
      </c>
    </row>
    <row r="84" ht="60" customHeight="1" s="1">
      <c r="A84" s="63" t="inlineStr">
        <is>
          <t>이론</t>
        </is>
      </c>
      <c r="B84" s="62" t="inlineStr">
        <is>
          <t>프로세스 설계·실행·검증 과정 정리하기 — Wrap-up</t>
        </is>
      </c>
      <c r="C84" s="60" t="inlineStr">
        <is>
          <t>BPMN 모델, 엔진의 정의·인스턴스, 이벤트·에이전트·사람·시스템의 역할과 온톨로지부터 프로세스까지의 학습 연결을 복습한다. 신규 실습 없음.</t>
        </is>
      </c>
      <c r="D84" s="61" t="n">
        <v>30</v>
      </c>
    </row>
    <row r="85" ht="29" customHeight="1" s="1">
      <c r="A85" s="66" t="inlineStr">
        <is>
          <t>일차 합계</t>
        </is>
      </c>
      <c r="D85" s="49">
        <f>SUM(D79:D84)</f>
        <v/>
      </c>
    </row>
    <row r="86">
      <c r="A86" s="50" t="n"/>
      <c r="B86" s="50" t="n"/>
      <c r="C86" s="50" t="n"/>
      <c r="D86" s="50" t="n"/>
    </row>
    <row r="87" ht="39" customHeight="1" s="1">
      <c r="A87" s="43" t="inlineStr">
        <is>
          <t>08일차  |  배운 전 과정을 내 주제에 활용하고 지식 자산으로 마무리하기</t>
        </is>
      </c>
      <c r="D87" s="44" t="inlineStr">
        <is>
          <t>4H</t>
        </is>
      </c>
    </row>
    <row r="88" ht="29" customHeight="1" s="1">
      <c r="A88" s="49" t="inlineStr">
        <is>
          <t>구분</t>
        </is>
      </c>
      <c r="B88" s="49" t="inlineStr">
        <is>
          <t>제목</t>
        </is>
      </c>
      <c r="C88" s="49" t="inlineStr">
        <is>
          <t>상세 교육 내용</t>
        </is>
      </c>
      <c r="D88" s="49" t="inlineStr">
        <is>
          <t>시간(분)</t>
        </is>
      </c>
    </row>
    <row r="89" ht="60" customHeight="1" s="1">
      <c r="A89" s="56" t="inlineStr">
        <is>
          <t>이론</t>
        </is>
      </c>
      <c r="B89" s="55" t="inlineStr">
        <is>
          <t>현장 지식이 AI의 판단 근거가 되는 과정 복습하기</t>
        </is>
      </c>
      <c r="C89" s="53" t="inlineStr">
        <is>
          <t>온톨로지·스키마·그래프·SOP·DMN·BSC/KPI·매뉴얼 인제스천에서 만든 공용 지식이 에이전트 도구 조회로 어떻게 쓰이는지 되짚는다.</t>
        </is>
      </c>
      <c r="D89" s="54" t="n">
        <v>30</v>
      </c>
    </row>
    <row r="90" ht="60" customHeight="1" s="1">
      <c r="A90" s="63" t="inlineStr">
        <is>
          <t>이론</t>
        </is>
      </c>
      <c r="B90" s="62" t="inlineStr">
        <is>
          <t>에이전트가 사람과 시스템을 통해 업무를 완료하는 구조 복습하기</t>
        </is>
      </c>
      <c r="C90" s="60" t="inlineStr">
        <is>
          <t>Agent·Skill·MCP·HITL·SDD·BDD, BPMN 정의·인스턴스·작업 담당·승인·시스템 작업의 차이를 전체 처리 건 시나리오로 연결한다.</t>
        </is>
      </c>
      <c r="D90" s="61" t="n">
        <v>30</v>
      </c>
    </row>
    <row r="91" ht="60" customHeight="1" s="1">
      <c r="A91" s="64" t="inlineStr">
        <is>
          <t>실습</t>
        </is>
      </c>
      <c r="B91" s="55" t="inlineStr">
        <is>
          <t>내 주제의 자료와 업무 완료 조건 정의하기</t>
        </is>
      </c>
      <c r="C91" s="53" t="inlineStr">
        <is>
          <t>소규모 개인 업무 하나를 정하고 입력·지식 출처·에이전트 산출물·사람 확인·완료 기준을 작은 명세로 정리한다.</t>
        </is>
      </c>
      <c r="D91" s="54" t="n">
        <v>30</v>
      </c>
    </row>
    <row r="92" ht="60" customHeight="1" s="1">
      <c r="A92" s="65" t="inlineStr">
        <is>
          <t>실습</t>
        </is>
      </c>
      <c r="B92" s="62" t="inlineStr">
        <is>
          <t>개인 자료에서 작은 지식 구조 만들기</t>
        </is>
      </c>
      <c r="C92" s="60" t="inlineStr">
        <is>
          <t>개인 또는 제공 문서에서 클래스·속성·관계와 인스턴스를 뽑고 출처와 고유 식별자를 남긴다. 수업용 별도 이름 공간에서 확인한다.</t>
        </is>
      </c>
      <c r="D92" s="61" t="n">
        <v>30</v>
      </c>
    </row>
    <row r="93" ht="60" customHeight="1" s="1">
      <c r="A93" s="64" t="inlineStr">
        <is>
          <t>실습</t>
        </is>
      </c>
      <c r="B93" s="55" t="inlineStr">
        <is>
          <t>내 지식과 연결 도구로 업무 제안 에이전트 만들기</t>
        </is>
      </c>
      <c r="C93" s="53" t="inlineStr">
        <is>
          <t>제공 자료·지식 관계를 읽고 사용 가능한 MCP로 조회해 제안 결과를 생성한다. 근거 부족 및 권한 제한은 표시한다.</t>
        </is>
      </c>
      <c r="D93" s="54" t="n">
        <v>30</v>
      </c>
    </row>
    <row r="94" ht="60" customHeight="1" s="1">
      <c r="A94" s="65" t="inlineStr">
        <is>
          <t>실습</t>
        </is>
      </c>
      <c r="B94" s="62" t="inlineStr">
        <is>
          <t>직접 그린 작은 업무 프로세스 실행하기</t>
        </is>
      </c>
      <c r="C94" s="60" t="inlineStr">
        <is>
          <t>bpmn.io로 시작→에이전트→필요 시 사람 확인→결과 보고를 작성하고 검증된 HYD 연결 경로 안에서 실행한다. 임의 외부 쓰기 기능의 성공을 전제하지 않는다.</t>
        </is>
      </c>
      <c r="D94" s="61" t="n">
        <v>30</v>
      </c>
    </row>
    <row r="95" ht="60" customHeight="1" s="1">
      <c r="A95" s="65" t="inlineStr">
        <is>
          <t>실습</t>
        </is>
      </c>
      <c r="B95" s="62" t="inlineStr">
        <is>
          <t>ProcessGPT 시연으로 지식·에이전트·프로세스의 연결 확인하기</t>
        </is>
      </c>
      <c r="C95" s="60" t="inlineStr">
        <is>
          <t>[강사 시연] 지금까지 만든 지식·에이전트·프로세스와 HYD 포털보다 고도화된 제품인 ProcessGPT를 강사가 직접 보여 준다. ProcessGPT와 HYD의 관계, 프로세스 정의·실행 인스턴스·사람 작업·에이전트 활동 기능을 비교하면서 실제 제품과 수업용 구현의 경계를 설명한다.</t>
        </is>
      </c>
      <c r="D95" s="61" t="n">
        <v>40</v>
      </c>
    </row>
    <row r="96" ht="60" customHeight="1" s="1">
      <c r="A96" s="65" t="inlineStr">
        <is>
          <t>실습</t>
        </is>
      </c>
      <c r="B96" s="62" t="inlineStr">
        <is>
          <t>제작 결과를 Notion 학습노트에 기록하기</t>
        </is>
      </c>
      <c r="C96" s="60" t="inlineStr">
        <is>
          <t>첫날 만든 Notion 공간에 핵심 개념·실습 결과·참고 출처를 정리한다. 사전 검증된 Notion MCP 쓰기 권한이 있을 때만 연동을 시연하며 그렇지 않으면 준비한 Markdown을 직접 붙여 완성한다.</t>
        </is>
      </c>
      <c r="D96" s="61" t="n">
        <v>20</v>
      </c>
    </row>
    <row r="97" ht="29" customHeight="1" s="1">
      <c r="A97" s="66" t="inlineStr">
        <is>
          <t>일차 합계</t>
        </is>
      </c>
      <c r="D97" s="49">
        <f>SUM(D89:D96)</f>
        <v/>
      </c>
    </row>
    <row r="98">
      <c r="A98" s="50" t="n"/>
      <c r="B98" s="50" t="n"/>
      <c r="C98" s="50" t="n"/>
      <c r="D98" s="50" t="n"/>
    </row>
    <row r="99" ht="36" customHeight="1" s="1">
      <c r="A99" s="43" t="inlineStr">
        <is>
          <t>전체 온라인 강의 합계</t>
        </is>
      </c>
      <c r="D99" s="44">
        <f>SUM(D13,D26,D38,D49,D61,D75,D85,D97)</f>
        <v/>
      </c>
    </row>
    <row r="100">
      <c r="A100" s="50" t="n"/>
      <c r="B100" s="50" t="n"/>
      <c r="C100" s="50" t="n"/>
      <c r="D100" s="50" t="n"/>
    </row>
    <row r="101" ht="50" customHeight="1" s="1">
      <c r="A101" s="69" t="inlineStr">
        <is>
          <t>운영 유의: HYD BPMN은 포털의 일부 시스템 단계 설정 칸이 부족하여 제공 mapping.json·검증된 API 절차가 필요할 수 있음. 공용 서버에 여러 학생이 동시에 배포하면 마지막 배포 흐름이 경보를 수신하므로 학생별 환경 또는 순차 진행 필요.</t>
        </is>
      </c>
    </row>
    <row r="102">
      <c r="A102" s="50" t="n"/>
      <c r="B102" s="50" t="n"/>
      <c r="C102" s="50" t="n"/>
      <c r="D102" s="50" t="n"/>
    </row>
    <row r="103" ht="50" customHeight="1" s="1">
      <c r="A103" s="69" t="inlineStr">
        <is>
          <t>실습 사전검증: 외부 MCP(파일시스템·Git·시간) 설치·권한·접속, Notion 쓰기 권한, SDD 기능 변경 실패 재현 입력, 오프라인 수강생 실행 시간은 미실측이므로 강사 리허설 필요. 지원되지 않는 업무 기능은 실제 구현 완료로 표기하지 않음.</t>
        </is>
      </c>
    </row>
    <row r="104">
      <c r="A104" s="50" t="n"/>
      <c r="B104" s="50" t="n"/>
      <c r="C104" s="50" t="n"/>
      <c r="D104" s="50" t="n"/>
    </row>
    <row r="105" ht="50" customHeight="1" s="1">
      <c r="A105" s="69" t="inlineStr">
        <is>
          <t>HYD 근거: https://github.com/uengine-oss/hyd-iot-edu/tree/claude/hyd-handoff-work-xziutz/students/flows · https://github.com/uengine-oss/hyd-iot-edu/blob/claude/hyd-handoff-work-xziutz/docs/handoff/verification/2026-10-10/final-verify.md</t>
        </is>
      </c>
    </row>
    <row r="106">
      <c r="A106" s="50" t="n"/>
      <c r="B106" s="50" t="n"/>
      <c r="C106" s="50" t="n"/>
      <c r="D106" s="50" t="n"/>
    </row>
    <row r="107">
      <c r="A107" s="50" t="n"/>
      <c r="B107" s="50" t="n"/>
      <c r="C107" s="50" t="n"/>
      <c r="D107" s="50" t="n"/>
    </row>
    <row r="108">
      <c r="A108" s="50" t="n"/>
      <c r="B108" s="50" t="n"/>
      <c r="C108" s="50" t="n"/>
      <c r="D108" s="50" t="n"/>
    </row>
    <row r="109">
      <c r="A109" s="50" t="n"/>
      <c r="B109" s="50" t="n"/>
      <c r="C109" s="50" t="n"/>
      <c r="D109" s="50" t="n"/>
    </row>
    <row r="110">
      <c r="A110" s="50" t="n"/>
      <c r="B110" s="50" t="n"/>
      <c r="C110" s="50" t="n"/>
      <c r="D110" s="50" t="n"/>
    </row>
    <row r="111">
      <c r="A111" s="50" t="n"/>
      <c r="B111" s="50" t="n"/>
      <c r="C111" s="50" t="n"/>
      <c r="D111" s="50" t="n"/>
    </row>
    <row r="112">
      <c r="A112" s="50" t="n"/>
      <c r="B112" s="50" t="n"/>
      <c r="C112" s="50" t="n"/>
      <c r="D112" s="50" t="n"/>
    </row>
    <row r="113">
      <c r="A113" s="50" t="n"/>
      <c r="B113" s="50" t="n"/>
      <c r="C113" s="50" t="n"/>
      <c r="D113" s="50" t="n"/>
    </row>
    <row r="114">
      <c r="A114" s="50" t="n"/>
      <c r="B114" s="50" t="n"/>
      <c r="C114" s="50" t="n"/>
      <c r="D114" s="50" t="n"/>
    </row>
    <row r="115">
      <c r="A115" s="50" t="n"/>
      <c r="B115" s="50" t="n"/>
      <c r="C115" s="50" t="n"/>
      <c r="D115" s="50" t="n"/>
    </row>
    <row r="116">
      <c r="A116" s="50" t="n"/>
      <c r="B116" s="50" t="n"/>
      <c r="C116" s="50" t="n"/>
      <c r="D116" s="50" t="n"/>
    </row>
    <row r="117">
      <c r="A117" s="50" t="n"/>
      <c r="B117" s="50" t="n"/>
      <c r="C117" s="50" t="n"/>
      <c r="D117" s="50" t="n"/>
    </row>
    <row r="118">
      <c r="A118" s="50" t="n"/>
      <c r="B118" s="50" t="n"/>
      <c r="C118" s="50" t="n"/>
      <c r="D118" s="50" t="n"/>
    </row>
    <row r="119">
      <c r="A119" s="50" t="n"/>
      <c r="B119" s="50" t="n"/>
      <c r="C119" s="50" t="n"/>
      <c r="D119" s="50" t="n"/>
    </row>
    <row r="120">
      <c r="A120" s="50" t="n"/>
      <c r="B120" s="50" t="n"/>
      <c r="C120" s="50" t="n"/>
      <c r="D120" s="50" t="n"/>
    </row>
    <row r="121">
      <c r="A121" s="50" t="n"/>
      <c r="B121" s="50" t="n"/>
      <c r="C121" s="50" t="n"/>
      <c r="D121" s="50" t="n"/>
    </row>
    <row r="122">
      <c r="A122" s="50" t="n"/>
      <c r="B122" s="50" t="n"/>
      <c r="C122" s="50" t="n"/>
      <c r="D122" s="50" t="n"/>
    </row>
    <row r="123">
      <c r="A123" s="50" t="n"/>
      <c r="B123" s="50" t="n"/>
      <c r="C123" s="50" t="n"/>
      <c r="D123" s="50" t="n"/>
    </row>
    <row r="124">
      <c r="A124" s="50" t="n"/>
      <c r="B124" s="50" t="n"/>
      <c r="C124" s="50" t="n"/>
      <c r="D124" s="50" t="n"/>
    </row>
    <row r="125">
      <c r="A125" s="50" t="n"/>
      <c r="B125" s="50" t="n"/>
      <c r="C125" s="50" t="n"/>
      <c r="D125" s="50" t="n"/>
    </row>
    <row r="126">
      <c r="A126" s="50" t="n"/>
      <c r="B126" s="50" t="n"/>
      <c r="C126" s="50" t="n"/>
      <c r="D126" s="50" t="n"/>
    </row>
    <row r="127">
      <c r="A127" s="50" t="n"/>
      <c r="B127" s="50" t="n"/>
      <c r="C127" s="50" t="n"/>
      <c r="D127" s="50" t="n"/>
    </row>
    <row r="128">
      <c r="A128" s="50" t="n"/>
      <c r="B128" s="50" t="n"/>
      <c r="C128" s="50" t="n"/>
      <c r="D128" s="50" t="n"/>
    </row>
    <row r="129">
      <c r="A129" s="50" t="n"/>
      <c r="B129" s="50" t="n"/>
      <c r="C129" s="50" t="n"/>
      <c r="D129" s="50" t="n"/>
    </row>
    <row r="130">
      <c r="A130" s="50" t="n"/>
      <c r="B130" s="50" t="n"/>
      <c r="C130" s="50" t="n"/>
      <c r="D130" s="50" t="n"/>
    </row>
    <row r="131">
      <c r="A131" s="50" t="n"/>
      <c r="B131" s="50" t="n"/>
      <c r="C131" s="50" t="n"/>
      <c r="D131" s="50" t="n"/>
    </row>
    <row r="132">
      <c r="A132" s="50" t="n"/>
      <c r="B132" s="50" t="n"/>
      <c r="C132" s="50" t="n"/>
      <c r="D132" s="50" t="n"/>
    </row>
    <row r="133">
      <c r="A133" s="50" t="n"/>
      <c r="B133" s="50" t="n"/>
      <c r="C133" s="50" t="n"/>
      <c r="D133" s="50" t="n"/>
    </row>
    <row r="134">
      <c r="A134" s="50" t="n"/>
      <c r="B134" s="50" t="n"/>
      <c r="C134" s="50" t="n"/>
      <c r="D134" s="50" t="n"/>
    </row>
    <row r="135">
      <c r="A135" s="50" t="n"/>
      <c r="B135" s="50" t="n"/>
      <c r="C135" s="50" t="n"/>
      <c r="D135" s="50" t="n"/>
    </row>
    <row r="136">
      <c r="A136" s="50" t="n"/>
      <c r="B136" s="50" t="n"/>
      <c r="C136" s="50" t="n"/>
      <c r="D136" s="50" t="n"/>
    </row>
    <row r="137">
      <c r="A137" s="50" t="n"/>
      <c r="B137" s="50" t="n"/>
      <c r="C137" s="50" t="n"/>
      <c r="D137" s="50" t="n"/>
    </row>
    <row r="138">
      <c r="A138" s="50" t="n"/>
      <c r="B138" s="50" t="n"/>
      <c r="C138" s="50" t="n"/>
      <c r="D138" s="50" t="n"/>
    </row>
    <row r="139">
      <c r="A139" s="50" t="n"/>
      <c r="B139" s="50" t="n"/>
      <c r="C139" s="50" t="n"/>
      <c r="D139" s="50" t="n"/>
    </row>
    <row r="140">
      <c r="A140" s="50" t="n"/>
      <c r="B140" s="50" t="n"/>
      <c r="C140" s="50" t="n"/>
      <c r="D140" s="50" t="n"/>
    </row>
    <row r="141">
      <c r="A141" s="50" t="n"/>
      <c r="B141" s="50" t="n"/>
      <c r="C141" s="50" t="n"/>
      <c r="D141" s="50" t="n"/>
    </row>
    <row r="142">
      <c r="A142" s="50" t="n"/>
      <c r="B142" s="50" t="n"/>
      <c r="C142" s="50" t="n"/>
      <c r="D142" s="50" t="n"/>
    </row>
    <row r="143">
      <c r="A143" s="50" t="n"/>
      <c r="B143" s="50" t="n"/>
      <c r="C143" s="50" t="n"/>
      <c r="D143" s="50" t="n"/>
    </row>
    <row r="144">
      <c r="A144" s="50" t="n"/>
      <c r="B144" s="50" t="n"/>
      <c r="C144" s="50" t="n"/>
      <c r="D144" s="50" t="n"/>
    </row>
    <row r="145">
      <c r="A145" s="50" t="n"/>
      <c r="B145" s="50" t="n"/>
      <c r="C145" s="50" t="n"/>
      <c r="D145" s="50" t="n"/>
    </row>
    <row r="146">
      <c r="A146" s="50" t="n"/>
      <c r="B146" s="50" t="n"/>
      <c r="C146" s="50" t="n"/>
      <c r="D146" s="50" t="n"/>
    </row>
    <row r="147">
      <c r="A147" s="50" t="n"/>
      <c r="B147" s="50" t="n"/>
      <c r="C147" s="50" t="n"/>
      <c r="D147" s="50" t="n"/>
    </row>
    <row r="148">
      <c r="A148" s="50" t="n"/>
      <c r="B148" s="50" t="n"/>
      <c r="C148" s="50" t="n"/>
      <c r="D148" s="50" t="n"/>
    </row>
    <row r="149">
      <c r="A149" s="50" t="n"/>
      <c r="B149" s="50" t="n"/>
      <c r="C149" s="50" t="n"/>
      <c r="D149" s="50" t="n"/>
    </row>
    <row r="150">
      <c r="A150" s="50" t="n"/>
      <c r="B150" s="50" t="n"/>
      <c r="C150" s="50" t="n"/>
      <c r="D150" s="50" t="n"/>
    </row>
    <row r="151">
      <c r="A151" s="50" t="n"/>
      <c r="B151" s="50" t="n"/>
      <c r="C151" s="50" t="n"/>
      <c r="D151" s="50" t="n"/>
    </row>
    <row r="152">
      <c r="A152" s="50" t="n"/>
      <c r="B152" s="50" t="n"/>
      <c r="C152" s="50" t="n"/>
      <c r="D152" s="50" t="n"/>
    </row>
    <row r="153">
      <c r="A153" s="50" t="n"/>
      <c r="B153" s="50" t="n"/>
      <c r="C153" s="50" t="n"/>
      <c r="D153" s="50" t="n"/>
    </row>
    <row r="154">
      <c r="A154" s="50" t="n"/>
      <c r="B154" s="50" t="n"/>
      <c r="C154" s="50" t="n"/>
      <c r="D154" s="50" t="n"/>
    </row>
    <row r="155">
      <c r="A155" s="50" t="n"/>
      <c r="B155" s="50" t="n"/>
      <c r="C155" s="50" t="n"/>
      <c r="D155" s="50" t="n"/>
    </row>
    <row r="156">
      <c r="A156" s="50" t="n"/>
      <c r="B156" s="50" t="n"/>
      <c r="C156" s="50" t="n"/>
      <c r="D156" s="50" t="n"/>
    </row>
    <row r="157">
      <c r="A157" s="50" t="n"/>
      <c r="B157" s="50" t="n"/>
      <c r="C157" s="50" t="n"/>
      <c r="D157" s="50" t="n"/>
    </row>
    <row r="158">
      <c r="A158" s="50" t="n"/>
      <c r="B158" s="50" t="n"/>
      <c r="C158" s="50" t="n"/>
      <c r="D158" s="50" t="n"/>
    </row>
    <row r="159">
      <c r="A159" s="50" t="n"/>
      <c r="B159" s="50" t="n"/>
      <c r="C159" s="50" t="n"/>
      <c r="D159" s="50" t="n"/>
    </row>
    <row r="160">
      <c r="A160" s="50" t="n"/>
      <c r="B160" s="50" t="n"/>
      <c r="C160" s="50" t="n"/>
      <c r="D160" s="50" t="n"/>
    </row>
    <row r="161">
      <c r="A161" s="50" t="n"/>
      <c r="B161" s="50" t="n"/>
      <c r="C161" s="50" t="n"/>
      <c r="D161" s="50" t="n"/>
    </row>
    <row r="162">
      <c r="A162" s="50" t="n"/>
      <c r="B162" s="50" t="n"/>
      <c r="C162" s="50" t="n"/>
      <c r="D162" s="50" t="n"/>
    </row>
    <row r="163">
      <c r="A163" s="50" t="n"/>
      <c r="B163" s="50" t="n"/>
      <c r="C163" s="50" t="n"/>
      <c r="D163" s="50" t="n"/>
    </row>
    <row r="164">
      <c r="A164" s="50" t="n"/>
      <c r="B164" s="50" t="n"/>
      <c r="C164" s="50" t="n"/>
      <c r="D164" s="50" t="n"/>
    </row>
    <row r="165">
      <c r="A165" s="50" t="n"/>
      <c r="B165" s="50" t="n"/>
      <c r="C165" s="50" t="n"/>
      <c r="D165" s="50" t="n"/>
    </row>
    <row r="166">
      <c r="A166" s="50" t="n"/>
      <c r="B166" s="50" t="n"/>
      <c r="C166" s="50" t="n"/>
      <c r="D166" s="50" t="n"/>
    </row>
    <row r="167">
      <c r="A167" s="50" t="n"/>
      <c r="B167" s="50" t="n"/>
      <c r="C167" s="50" t="n"/>
      <c r="D167" s="50" t="n"/>
    </row>
    <row r="168">
      <c r="A168" s="50" t="n"/>
      <c r="B168" s="50" t="n"/>
      <c r="C168" s="50" t="n"/>
      <c r="D168" s="50" t="n"/>
    </row>
    <row r="169">
      <c r="A169" s="50" t="n"/>
      <c r="B169" s="50" t="n"/>
      <c r="C169" s="50" t="n"/>
      <c r="D169" s="50" t="n"/>
    </row>
    <row r="170">
      <c r="A170" s="50" t="n"/>
      <c r="B170" s="50" t="n"/>
      <c r="C170" s="50" t="n"/>
      <c r="D170" s="50" t="n"/>
    </row>
  </sheetData>
  <mergeCells count="22">
    <mergeCell ref="A99:C99"/>
    <mergeCell ref="A75:C75"/>
    <mergeCell ref="A26:C26"/>
    <mergeCell ref="A2:C2"/>
    <mergeCell ref="A85:C85"/>
    <mergeCell ref="A97:C97"/>
    <mergeCell ref="A4:C4"/>
    <mergeCell ref="A38:C38"/>
    <mergeCell ref="A28:C28"/>
    <mergeCell ref="A103:D103"/>
    <mergeCell ref="A13:C13"/>
    <mergeCell ref="A63:C63"/>
    <mergeCell ref="A40:C40"/>
    <mergeCell ref="A77:C77"/>
    <mergeCell ref="A15:C15"/>
    <mergeCell ref="A51:C51"/>
    <mergeCell ref="A49:C49"/>
    <mergeCell ref="A1:C1"/>
    <mergeCell ref="A105:D105"/>
    <mergeCell ref="A61:C61"/>
    <mergeCell ref="A101:D101"/>
    <mergeCell ref="A87:C8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70"/>
  <sheetViews>
    <sheetView workbookViewId="0">
      <pane ySplit="3" topLeftCell="A4" activePane="bottomLeft" state="frozen"/>
      <selection activeCell="A1" sqref="A1"/>
    </sheetView>
  </sheetViews>
  <sheetFormatPr baseColWidth="8" defaultRowHeight="15"/>
  <cols>
    <col width="12" customWidth="1" style="1" min="1" max="1"/>
    <col width="46" customWidth="1" style="1" min="2" max="2"/>
    <col width="108" customWidth="1" style="1" min="3" max="3"/>
    <col width="12" customWidth="1" style="1" min="4" max="4"/>
  </cols>
  <sheetData>
    <row r="1" ht="46" customHeight="1" s="1">
      <c r="A1" s="84" t="inlineStr">
        <is>
          <t>HYD 제조 AI  |  통합반 오프라인 정규 10회 상세 실라버스</t>
        </is>
      </c>
      <c r="D1" s="84" t="n"/>
    </row>
    <row r="2" ht="41" customHeight="1" s="1">
      <c r="A2" s="66" t="inlineStr">
        <is>
          <t>확정 편성 | 10회×240분 | 회차별 실제 수업 200분 + 휴식 40분(별도) | 이론·실습만 표기</t>
        </is>
      </c>
      <c r="D2" s="49">
        <f>SUM(D11,D20,D29,D39,D48,D57,D67,D76,D85,D95)</f>
        <v/>
      </c>
    </row>
    <row r="3" ht="12" customHeight="1" s="1">
      <c r="A3" s="73" t="n"/>
      <c r="B3" s="73" t="n"/>
      <c r="C3" s="73" t="n"/>
      <c r="D3" s="73" t="n"/>
    </row>
    <row r="4" ht="39" customHeight="1" s="1">
      <c r="A4" s="43" t="inlineStr">
        <is>
          <t>01회차  |  설비 정보를 서로 연결되는 지식으로 표현하기</t>
        </is>
      </c>
      <c r="D4" s="44" t="inlineStr">
        <is>
          <t>4H</t>
        </is>
      </c>
    </row>
    <row r="5" ht="29" customHeight="1" s="1">
      <c r="A5" s="49" t="inlineStr">
        <is>
          <t>구분</t>
        </is>
      </c>
      <c r="B5" s="49" t="inlineStr">
        <is>
          <t>제목</t>
        </is>
      </c>
      <c r="C5" s="49" t="inlineStr">
        <is>
          <t>상세 교육 내용</t>
        </is>
      </c>
      <c r="D5" s="49" t="inlineStr">
        <is>
          <t>시간(분)</t>
        </is>
      </c>
    </row>
    <row r="6" ht="60" customHeight="1" s="1">
      <c r="A6" s="56" t="inlineStr">
        <is>
          <t>이론</t>
        </is>
      </c>
      <c r="B6" s="55" t="inlineStr">
        <is>
          <t>데이터에 의미와 관계가 필요한 이유 이해하기</t>
        </is>
      </c>
      <c r="C6" s="53" t="inlineStr">
        <is>
          <t>수치·정보·지식의 차이, 왜 온톨로지가 필요한지, 설비·센서·부품·증상·원인·조치의 클래스·인스턴스·속성·관계 개념을 예시로 짧게 복습한다.</t>
        </is>
      </c>
      <c r="D6" s="54" t="n">
        <v>30</v>
      </c>
    </row>
    <row r="7" ht="60" customHeight="1" s="1">
      <c r="A7" s="65" t="inlineStr">
        <is>
          <t>실습</t>
        </is>
      </c>
      <c r="B7" s="62" t="inlineStr">
        <is>
          <t>설비 이상과 원인·조치의 관계 직접 표현하기</t>
        </is>
      </c>
      <c r="C7" s="60" t="inlineStr">
        <is>
          <t>arrows.app에서 쿨러·센서·부품·고장 유형·조치 노드를 놓고 관계 방향과 의미를 기입한다. 왜 단일 온도값으로 고장 조치를 단정할 수 없는지 연결도에서 확인한다.</t>
        </is>
      </c>
      <c r="D7" s="61" t="n">
        <v>40</v>
      </c>
    </row>
    <row r="8" ht="60" customHeight="1" s="1">
      <c r="A8" s="64" t="inlineStr">
        <is>
          <t>실습</t>
        </is>
      </c>
      <c r="B8" s="55" t="inlineStr">
        <is>
          <t>같은 기준으로 설비 관계를 구조화하기</t>
        </is>
      </c>
      <c r="C8" s="53" t="inlineStr">
        <is>
          <t>VS Code·Claude Code에서 제공된 설비·센서 목록을 클래스·인스턴스·식별자로 구분하고 schema.json 및 노드/관계 예제를 작성한다. 원래 관계도와 데이터 표현을 대조한다.</t>
        </is>
      </c>
      <c r="D8" s="54" t="n">
        <v>40</v>
      </c>
    </row>
    <row r="9" ht="60" customHeight="1" s="1">
      <c r="A9" s="65" t="inlineStr">
        <is>
          <t>실습</t>
        </is>
      </c>
      <c r="B9" s="62" t="inlineStr">
        <is>
          <t>그래프 DB에서 설비 연결 관계 확인하기</t>
        </is>
      </c>
      <c r="C9" s="60" t="inlineStr">
        <is>
          <t>교육용 Neo4j Browser에서 노드·관계·속성을 보고 MATCH/WHERE/RETURN으로 특정 설비의 센서·부품 관계를 조회한다. 기준 지식 지도와 별도 랩 그래프 차이를 확인한다.</t>
        </is>
      </c>
      <c r="D9" s="61" t="n">
        <v>45</v>
      </c>
    </row>
    <row r="10" ht="60" customHeight="1" s="1">
      <c r="A10" s="64" t="inlineStr">
        <is>
          <t>실습</t>
        </is>
      </c>
      <c r="B10" s="55" t="inlineStr">
        <is>
          <t>기준 지식과 나의 설계를 비교해 보완하기</t>
        </is>
      </c>
      <c r="C10" s="53" t="inlineStr">
        <is>
          <t>HYD 포털 지식 지도의 제공 관계를 확인하고 자신의 교육용 그래프에 누락된 관계·속성·방향을 보완한다. 자동 동기화를 가정하지 않고 수정한 schema.json을 보존한다.</t>
        </is>
      </c>
      <c r="D10" s="54" t="n">
        <v>45</v>
      </c>
    </row>
    <row r="11" ht="29" customHeight="1" s="1">
      <c r="A11" s="66" t="inlineStr">
        <is>
          <t>회차 합계 (실제 수업·휴식 별도)</t>
        </is>
      </c>
      <c r="D11" s="49">
        <f>SUM(D6:D10)</f>
        <v/>
      </c>
    </row>
    <row r="12" ht="36" customHeight="1" s="1">
      <c r="A12" s="74" t="n"/>
      <c r="B12" s="74" t="n"/>
      <c r="C12" s="74" t="n"/>
      <c r="D12" s="72" t="n"/>
    </row>
    <row r="13" ht="39" customHeight="1" s="1">
      <c r="A13" s="44" t="inlineStr">
        <is>
          <t>02회차  |  재사용 가능한 설비 지식 구조 직접 만들기</t>
        </is>
      </c>
      <c r="D13" s="44" t="inlineStr">
        <is>
          <t>4H</t>
        </is>
      </c>
    </row>
    <row r="14" ht="29" customHeight="1" s="1">
      <c r="A14" s="49" t="inlineStr">
        <is>
          <t>구분</t>
        </is>
      </c>
      <c r="B14" s="49" t="inlineStr">
        <is>
          <t>제목</t>
        </is>
      </c>
      <c r="C14" s="49" t="inlineStr">
        <is>
          <t>상세 교육 내용</t>
        </is>
      </c>
      <c r="D14" s="49" t="inlineStr">
        <is>
          <t>시간(분)</t>
        </is>
      </c>
    </row>
    <row r="15" ht="60" customHeight="1" s="1">
      <c r="A15" s="56" t="inlineStr">
        <is>
          <t>이론</t>
        </is>
      </c>
      <c r="B15" s="55" t="inlineStr">
        <is>
          <t>스키마와 실제 데이터의 차이 이해하기</t>
        </is>
      </c>
      <c r="C15" s="53" t="inlineStr">
        <is>
          <t>클래스·인스턴스, 식별자·자료형·필수값·카디널리티·제약·Cypher의 기본 역할을 공용 설비 데이터로 설명한다.</t>
        </is>
      </c>
      <c r="D15" s="54" t="n">
        <v>30</v>
      </c>
    </row>
    <row r="16" ht="60" customHeight="1" s="1">
      <c r="A16" s="65" t="inlineStr">
        <is>
          <t>실습</t>
        </is>
      </c>
      <c r="B16" s="62" t="inlineStr">
        <is>
          <t>설비 자료로 온톨로지 스키마 완성하기</t>
        </is>
      </c>
      <c r="C16" s="60" t="inlineStr">
        <is>
          <t>제공된 설비·부품·센서 자료에서 클래스별 속성·고유 ID·연결 방향과 중복 처리 규칙을 정의하고 schema.json을 보완한다.</t>
        </is>
      </c>
      <c r="D16" s="61" t="n">
        <v>40</v>
      </c>
    </row>
    <row r="17" ht="60" customHeight="1" s="1">
      <c r="A17" s="64" t="inlineStr">
        <is>
          <t>실습</t>
        </is>
      </c>
      <c r="B17" s="55" t="inlineStr">
        <is>
          <t>설계한 지식을 그래프 DB에 구현하기</t>
        </is>
      </c>
      <c r="C17" s="53" t="inlineStr">
        <is>
          <t>작성한 스키마·인스턴스에서 Cypher를 생성해 별도 Neo4j에 적재하고 MATCH 질의로 관계와 노드 수를 확인한다. ID 충돌과 엉뚱한 참조가 없도록 검사한다.</t>
        </is>
      </c>
      <c r="D17" s="54" t="n">
        <v>50</v>
      </c>
    </row>
    <row r="18" ht="60" customHeight="1" s="1">
      <c r="A18" s="65" t="inlineStr">
        <is>
          <t>실습</t>
        </is>
      </c>
      <c r="B18" s="62" t="inlineStr">
        <is>
          <t>새로운 설비에도 같은 지식 구조 적용하기</t>
        </is>
      </c>
      <c r="C18" s="60" t="inlineStr">
        <is>
          <t>기존 스키마를 유지한 채 새 설비 인스턴스를 추가해 공용 부품·복수 센서의 관계를 표현하고 질의 결과를 비교한다. 대형 신규 온톨로지를 다시 만들지 않는다.</t>
        </is>
      </c>
      <c r="D18" s="61" t="n">
        <v>40</v>
      </c>
    </row>
    <row r="19" ht="60" customHeight="1" s="1">
      <c r="A19" s="64" t="inlineStr">
        <is>
          <t>실습</t>
        </is>
      </c>
      <c r="B19" s="55" t="inlineStr">
        <is>
          <t>설비 지식에 안전한 작업 절차 연결하기</t>
        </is>
      </c>
      <c r="C19" s="53" t="inlineStr">
        <is>
          <t>제공된 SOP에서 작업 전제·필수 안전 확인·금지 조치를 추출하여 고장 유형·조치와 연결한다. 현장 문서 자동 추출은 온톨로지 마지막 회차로 남긴다.</t>
        </is>
      </c>
      <c r="D19" s="54" t="n">
        <v>40</v>
      </c>
    </row>
    <row r="20" ht="29" customHeight="1" s="1">
      <c r="A20" s="66" t="inlineStr">
        <is>
          <t>회차 합계 (실제 수업·휴식 별도)</t>
        </is>
      </c>
      <c r="D20" s="49">
        <f>SUM(D15:D19)</f>
        <v/>
      </c>
    </row>
    <row r="21" ht="29" customHeight="1" s="1">
      <c r="A21" s="75" t="n"/>
      <c r="B21" s="75" t="n"/>
      <c r="C21" s="75" t="n"/>
      <c r="D21" s="75" t="n"/>
    </row>
    <row r="22" ht="39" customHeight="1" s="1">
      <c r="A22" s="44" t="inlineStr">
        <is>
          <t>03회차  |  규칙과 성과를 고려해 적절한 조치 판단하기</t>
        </is>
      </c>
      <c r="D22" s="44" t="inlineStr">
        <is>
          <t>4H</t>
        </is>
      </c>
    </row>
    <row r="23" ht="29" customHeight="1" s="1">
      <c r="A23" s="49" t="inlineStr">
        <is>
          <t>구분</t>
        </is>
      </c>
      <c r="B23" s="49" t="inlineStr">
        <is>
          <t>제목</t>
        </is>
      </c>
      <c r="C23" s="49" t="inlineStr">
        <is>
          <t>상세 교육 내용</t>
        </is>
      </c>
      <c r="D23" s="49" t="inlineStr">
        <is>
          <t>시간(분)</t>
        </is>
      </c>
    </row>
    <row r="24" ht="60" customHeight="1" s="1">
      <c r="A24" s="56" t="inlineStr">
        <is>
          <t>이론</t>
        </is>
      </c>
      <c r="B24" s="55" t="inlineStr">
        <is>
          <t>안전한 조치와 좋은 조치를 구분하는 기준 이해하기</t>
        </is>
      </c>
      <c r="C24" s="53" t="inlineStr">
        <is>
          <t>SOP·DMN의 차이, 작업 금지 조건과 결정표, BSC 4관점·KPI·What-if의 목적을 핵심 예시로 정리한다.</t>
        </is>
      </c>
      <c r="D24" s="54" t="n">
        <v>30</v>
      </c>
    </row>
    <row r="25" ht="60" customHeight="1" s="1">
      <c r="A25" s="65" t="inlineStr">
        <is>
          <t>실습</t>
        </is>
      </c>
      <c r="B25" s="62" t="inlineStr">
        <is>
          <t>조치 절차와 조건을 판단 규칙으로 표현하기</t>
        </is>
      </c>
      <c r="C25" s="60" t="inlineStr">
        <is>
          <t>준비된 SOP의 허용·금지·경계 조건을 DMN 형태의 결정표로 변환하고 안전 제약에 따라 배제되는 조치 사유를 기록한다.</t>
        </is>
      </c>
      <c r="D25" s="61" t="n">
        <v>40</v>
      </c>
    </row>
    <row r="26" ht="60" customHeight="1" s="1">
      <c r="A26" s="64" t="inlineStr">
        <is>
          <t>실습</t>
        </is>
      </c>
      <c r="B26" s="55" t="inlineStr">
        <is>
          <t>실제 조건에 따라 조치 우선순위 비교하기</t>
        </is>
      </c>
      <c r="C26" s="53" t="inlineStr">
        <is>
          <t>HYD 포털의 판단·What-if 결과에서 조건 또는 가중치를 바꿔 허용 후보와 순위가 어떻게 달라지는지 확인한다. 수업용 화면에서 조작 가능한 항목을 사전 확인한다.</t>
        </is>
      </c>
      <c r="D26" s="54" t="n">
        <v>40</v>
      </c>
    </row>
    <row r="27" ht="60" customHeight="1" s="1">
      <c r="A27" s="65" t="inlineStr">
        <is>
          <t>실습</t>
        </is>
      </c>
      <c r="B27" s="62" t="inlineStr">
        <is>
          <t>복합 조건을 반영하는 판단 기능 만들기</t>
        </is>
      </c>
      <c r="C27" s="60" t="inlineStr">
        <is>
          <t>기존 결정표에 온도·압력·설비 상태 조합을 적용해 허용/제외 판단과 근거를 출력한다. 경계값·금지 조건 충돌을 처리한다.</t>
        </is>
      </c>
      <c r="D27" s="61" t="n">
        <v>45</v>
      </c>
    </row>
    <row r="28" ht="60" customHeight="1" s="1">
      <c r="A28" s="64" t="inlineStr">
        <is>
          <t>실습</t>
        </is>
      </c>
      <c r="B28" s="55" t="inlineStr">
        <is>
          <t>비용과 효과를 고려한 조치 선택 근거 완성하기</t>
        </is>
      </c>
      <c r="C28" s="53" t="inlineStr">
        <is>
          <t>안전 제약을 통과한 후보만 대상으로 비용·생산·품질·에너지 지표를 비교한 결과표와 추천 사유를 생성한다. 원인 추론과 업무 결정의 차이를 정리한다.</t>
        </is>
      </c>
      <c r="D28" s="54" t="n">
        <v>45</v>
      </c>
    </row>
    <row r="29" ht="29" customHeight="1" s="1">
      <c r="A29" s="49" t="inlineStr">
        <is>
          <t>회차 합계 (실제 수업·휴식 별도)</t>
        </is>
      </c>
      <c r="D29" s="49">
        <f>SUM(D24:D28)</f>
        <v/>
      </c>
    </row>
    <row r="30" ht="65" customHeight="1" s="1">
      <c r="A30" s="80" t="n"/>
      <c r="B30" s="77" t="n"/>
      <c r="C30" s="78" t="n"/>
      <c r="D30" s="79" t="n"/>
    </row>
    <row r="31" ht="39" customHeight="1" s="1">
      <c r="A31" s="44" t="inlineStr">
        <is>
          <t>04회차  |  현장 문서를 검토 가능한 지식으로 전환하기</t>
        </is>
      </c>
      <c r="D31" s="44" t="inlineStr">
        <is>
          <t>4H</t>
        </is>
      </c>
    </row>
    <row r="32" ht="29" customHeight="1" s="1">
      <c r="A32" s="49" t="inlineStr">
        <is>
          <t>구분</t>
        </is>
      </c>
      <c r="B32" s="49" t="inlineStr">
        <is>
          <t>제목</t>
        </is>
      </c>
      <c r="C32" s="49" t="inlineStr">
        <is>
          <t>상세 교육 내용</t>
        </is>
      </c>
      <c r="D32" s="49" t="inlineStr">
        <is>
          <t>시간(분)</t>
        </is>
      </c>
    </row>
    <row r="33" ht="60" customHeight="1" s="1">
      <c r="A33" s="56" t="inlineStr">
        <is>
          <t>이론</t>
        </is>
      </c>
      <c r="B33" s="55" t="inlineStr">
        <is>
          <t>문서의 내용을 신뢰할 수 있는 지식으로 만드는 과정 이해하기</t>
        </is>
      </c>
      <c r="C33" s="53" t="inlineStr">
        <is>
          <t>원문 등록→구조 추출→관계 매핑→원문 대조→검토/승인→그래프 적재→조회와 출처·개정 관리를 설명한다. 예제 인스턴스 적재와 본격 인제스천의 차이를 짚는다.</t>
        </is>
      </c>
      <c r="D33" s="54" t="n">
        <v>20</v>
      </c>
    </row>
    <row r="34" ht="60" customHeight="1" s="1">
      <c r="A34" s="65" t="inlineStr">
        <is>
          <t>실습</t>
        </is>
      </c>
      <c r="B34" s="62" t="inlineStr">
        <is>
          <t>매뉴얼을 등록하고 추출 결과 검토하기</t>
        </is>
      </c>
      <c r="C34" s="60" t="inlineStr">
        <is>
          <t>HYD 포털 지식 관리에서 수업용 매뉴얼을 등록해 고장 유형·증상·원인·조치 후보를 추출하고 실제 원문과 대조한다. 원문 근거가 없는 후보는 수정하거나 보류한다.</t>
        </is>
      </c>
      <c r="D34" s="61" t="n">
        <v>35</v>
      </c>
    </row>
    <row r="35" ht="60" customHeight="1" s="1">
      <c r="A35" s="64" t="inlineStr">
        <is>
          <t>실습</t>
        </is>
      </c>
      <c r="B35" s="55" t="inlineStr">
        <is>
          <t>기술 문서에서 필요한 지식 직접 추출하기</t>
        </is>
      </c>
      <c r="C35" s="53" t="inlineStr">
        <is>
          <t>VS Code·Claude Code로 표·작업 단계·단위·금지 조건을 JSON으로 구조화하고 원본 문서 ID·페이지·문장을 함께 저장한다. 오탈자·부정 조건 혼동을 점검한다.</t>
        </is>
      </c>
      <c r="D35" s="54" t="n">
        <v>40</v>
      </c>
    </row>
    <row r="36" ht="60" customHeight="1" s="1">
      <c r="A36" s="65" t="inlineStr">
        <is>
          <t>실습</t>
        </is>
      </c>
      <c r="B36" s="62" t="inlineStr">
        <is>
          <t>검토된 지식만 기존 그래프에 반영하기</t>
        </is>
      </c>
      <c r="C36" s="60" t="inlineStr">
        <is>
          <t>검토 완료 후보로 Cypher를 생성해 교육용 Neo4j에 적재한다. 기존 설비·고장 유형에 연결했는지 질의하고 출처가 보존됐는지 확인한다.</t>
        </is>
      </c>
      <c r="D36" s="61" t="n">
        <v>45</v>
      </c>
    </row>
    <row r="37" ht="60" customHeight="1" s="1">
      <c r="A37" s="64" t="inlineStr">
        <is>
          <t>실습</t>
        </is>
      </c>
      <c r="B37" s="55" t="inlineStr">
        <is>
          <t>지식 개정에 따른 변경 결과 확인하기</t>
        </is>
      </c>
      <c r="C37" s="53" t="inlineStr">
        <is>
          <t>정비 절차의 변경된 조건 한 건을 적용하여 이전·새 기준과 출처를 구별한다. 중복 적재 여부와 추가 질의 결과를 확인한다.</t>
        </is>
      </c>
      <c r="D37" s="54" t="n">
        <v>30</v>
      </c>
    </row>
    <row r="38" ht="60" customHeight="1" s="1">
      <c r="A38" s="63" t="inlineStr">
        <is>
          <t>이론</t>
        </is>
      </c>
      <c r="B38" s="62" t="inlineStr">
        <is>
          <t>온톨로지 전체 학습 내용 정리하기 — Wrap-up</t>
        </is>
      </c>
      <c r="C38" s="60" t="inlineStr">
        <is>
          <t>온톨로지 WHY, 클래스·스키마·그래프, SOP·DMN·KPI, 매뉴얼 인제스천의 결과와 다음 에이전트 과정에서 재사용할 자산을 복습한다. 신규 실습 없음.</t>
        </is>
      </c>
      <c r="D38" s="61" t="n">
        <v>30</v>
      </c>
    </row>
    <row r="39" ht="29" customHeight="1" s="1">
      <c r="A39" s="66" t="inlineStr">
        <is>
          <t>회차 합계 (실제 수업·휴식 별도)</t>
        </is>
      </c>
      <c r="D39" s="49">
        <f>SUM(D33:D38)</f>
        <v/>
      </c>
    </row>
    <row r="40">
      <c r="A40" s="50" t="n"/>
      <c r="B40" s="50" t="n"/>
      <c r="C40" s="50" t="n"/>
      <c r="D40" s="50" t="n"/>
    </row>
    <row r="41" ht="39" customHeight="1" s="1">
      <c r="A41" s="43" t="inlineStr">
        <is>
          <t>05회차  |  현장 문제를 직접 해결하는 AI 에이전트 만들기</t>
        </is>
      </c>
      <c r="D41" s="44" t="inlineStr">
        <is>
          <t>4H</t>
        </is>
      </c>
    </row>
    <row r="42" ht="29" customHeight="1" s="1">
      <c r="A42" s="49" t="inlineStr">
        <is>
          <t>구분</t>
        </is>
      </c>
      <c r="B42" s="49" t="inlineStr">
        <is>
          <t>제목</t>
        </is>
      </c>
      <c r="C42" s="49" t="inlineStr">
        <is>
          <t>상세 교육 내용</t>
        </is>
      </c>
      <c r="D42" s="49" t="inlineStr">
        <is>
          <t>시간(분)</t>
        </is>
      </c>
    </row>
    <row r="43" ht="60" customHeight="1" s="1">
      <c r="A43" s="56" t="inlineStr">
        <is>
          <t>이론</t>
        </is>
      </c>
      <c r="B43" s="55" t="inlineStr">
        <is>
          <t>AI 에이전트의 업무 수행 구조 이해하기</t>
        </is>
      </c>
      <c r="C43" s="53" t="inlineStr">
        <is>
          <t>LLM·RAG·Agent의 차이, 목표·도구·실행·확인·종료, 온톨로지·업무 DB와 SOP 활용, 근거가 없을 때의 처리 원칙을 온라인보다 짧게 설명한다.</t>
        </is>
      </c>
      <c r="D43" s="54" t="n">
        <v>30</v>
      </c>
    </row>
    <row r="44" ht="60" customHeight="1" s="1">
      <c r="A44" s="65" t="inlineStr">
        <is>
          <t>실습</t>
        </is>
      </c>
      <c r="B44" s="62" t="inlineStr">
        <is>
          <t>나의 업무 에이전트 등록하고 실행하기</t>
        </is>
      </c>
      <c r="C44" s="60" t="inlineStr">
        <is>
          <t>HYD 포털에서 학생 에이전트 이름·역할·읽기 도구를 설정하고 질문한 뒤 결과와 호출 근거를 확인한다. 이후 VS Code에서 같은 업무 문제에 적용할 입력을 확보한다.</t>
        </is>
      </c>
      <c r="D44" s="61" t="n">
        <v>20</v>
      </c>
    </row>
    <row r="45" ht="60" customHeight="1" s="1">
      <c r="A45" s="64" t="inlineStr">
        <is>
          <t>실습</t>
        </is>
      </c>
      <c r="B45" s="55" t="inlineStr">
        <is>
          <t>설비 이상 원인을 추론하는 에이전트 직접 제작하기</t>
        </is>
      </c>
      <c r="C45" s="53" t="inlineStr">
        <is>
          <t>VS Code·Claude Code에서 공용 온톨로지·SOP·센서 샘플을 읽어 후보 원인·추가 점검 항목과 근거를 구조화해 출력하는 에이전트를 만든다.</t>
        </is>
      </c>
      <c r="D45" s="54" t="n">
        <v>50</v>
      </c>
    </row>
    <row r="46" ht="60" customHeight="1" s="1">
      <c r="A46" s="65" t="inlineStr">
        <is>
          <t>실습</t>
        </is>
      </c>
      <c r="B46" s="62" t="inlineStr">
        <is>
          <t>여러 증거를 비교해 점검 우선순위 결정하기</t>
        </is>
      </c>
      <c r="C46" s="60" t="inlineStr">
        <is>
          <t>앞서 만든 에이전트에 서로 다른 센서값과 고장 후보를 적용한다. 증거 부족·충돌 상황에서는 추가 확인을 요청하고 점검 순서 및 근거를 보완한다.</t>
        </is>
      </c>
      <c r="D46" s="61" t="n">
        <v>50</v>
      </c>
    </row>
    <row r="47" ht="60" customHeight="1" s="1">
      <c r="A47" s="64" t="inlineStr">
        <is>
          <t>실습</t>
        </is>
      </c>
      <c r="B47" s="55" t="inlineStr">
        <is>
          <t>품질 문제를 후속 업무로 연결하기</t>
        </is>
      </c>
      <c r="C47" s="53" t="inlineStr">
        <is>
          <t>수업용 불량 접수 텍스트에 따라 불량 유형, 필요한 확인 정보, 담당 업무, 대응 초안을 작성하는 별도 응용을 직접 구현한다. 품질 원인이 미확정일 때 단정하지 않도록 수정한다.</t>
        </is>
      </c>
      <c r="D47" s="54" t="n">
        <v>50</v>
      </c>
    </row>
    <row r="48" ht="29" customHeight="1" s="1">
      <c r="A48" s="66" t="inlineStr">
        <is>
          <t>회차 합계 (실제 수업·휴식 별도)</t>
        </is>
      </c>
      <c r="D48" s="49">
        <f>SUM(D43:D47)</f>
        <v/>
      </c>
    </row>
    <row r="49">
      <c r="A49" s="50" t="n"/>
      <c r="B49" s="50" t="n"/>
      <c r="C49" s="50" t="n"/>
      <c r="D49" s="50" t="n"/>
    </row>
    <row r="50" ht="39" customHeight="1" s="1">
      <c r="A50" s="43" t="inlineStr">
        <is>
          <t>06회차  |  여러 도구를 연결하고 반복 업무를 자동화하기</t>
        </is>
      </c>
      <c r="D50" s="44" t="inlineStr">
        <is>
          <t>4H</t>
        </is>
      </c>
    </row>
    <row r="51" ht="29" customHeight="1" s="1">
      <c r="A51" s="49" t="inlineStr">
        <is>
          <t>구분</t>
        </is>
      </c>
      <c r="B51" s="49" t="inlineStr">
        <is>
          <t>제목</t>
        </is>
      </c>
      <c r="C51" s="49" t="inlineStr">
        <is>
          <t>상세 교육 내용</t>
        </is>
      </c>
      <c r="D51" s="49" t="inlineStr">
        <is>
          <t>시간(분)</t>
        </is>
      </c>
    </row>
    <row r="52" ht="60" customHeight="1" s="1">
      <c r="A52" s="56" t="inlineStr">
        <is>
          <t>이론</t>
        </is>
      </c>
      <c r="B52" s="55" t="inlineStr">
        <is>
          <t>반복 업무를 스킬과 연결 도구로 확장하기</t>
        </is>
      </c>
      <c r="C52" s="53" t="inlineStr">
        <is>
          <t>SKILL.md와 SOP 차이, MCP Host·Client·Server·Tool, stdio·HTTP 연결, 입력 형식과 읽기 권한·호출 실패를 핵심 사례로 복습한다.</t>
        </is>
      </c>
      <c r="D52" s="54" t="n">
        <v>30</v>
      </c>
    </row>
    <row r="53" ht="60" customHeight="1" s="1">
      <c r="A53" s="65" t="inlineStr">
        <is>
          <t>실습</t>
        </is>
      </c>
      <c r="B53" s="62" t="inlineStr">
        <is>
          <t>업무 도구를 연결하고 호출 결과 확인하기</t>
        </is>
      </c>
      <c r="C53" s="60" t="inlineStr">
        <is>
          <t>HYD 포털의 준비된 MCP 읽기 도구를 시험해 입력 스키마·조회 결과·호출 기록을 확인한다. 포털에서 로컬 파일 도구를 그대로 호출할 수 있다고 가정하지 않는다.</t>
        </is>
      </c>
      <c r="D53" s="61" t="n">
        <v>20</v>
      </c>
    </row>
    <row r="54" ht="60" customHeight="1" s="1">
      <c r="A54" s="64" t="inlineStr">
        <is>
          <t>실습</t>
        </is>
      </c>
      <c r="B54" s="55" t="inlineStr">
        <is>
          <t>여러 MCP를 직접 연결하고 비교하기</t>
        </is>
      </c>
      <c r="C54" s="53" t="inlineStr">
        <is>
          <t>VS Code에서 사전 준비된 파일시스템·Git·시간 MCP 서버 3종 이상을 연결하여 도구 이름·필수 인수·결과를 시험한다. 권한 오류와 서버 미연결 시 동작을 점검한다.</t>
        </is>
      </c>
      <c r="D54" s="54" t="n">
        <v>50</v>
      </c>
    </row>
    <row r="55" ht="60" customHeight="1" s="1">
      <c r="A55" s="65" t="inlineStr">
        <is>
          <t>실습</t>
        </is>
      </c>
      <c r="B55" s="62" t="inlineStr">
        <is>
          <t>회의 내용을 실행 항목으로 변환하는 스킬 만들기</t>
        </is>
      </c>
      <c r="C55" s="60" t="inlineStr">
        <is>
          <t>SKILL.md를 작성하고 회의록에서 결정사항·담당자·기한을 구조화하여 작업 목록을 만든다. 담당 미정·중복 항목은 별도로 표시한다.</t>
        </is>
      </c>
      <c r="D55" s="61" t="n">
        <v>50</v>
      </c>
    </row>
    <row r="56" ht="60" customHeight="1" s="1">
      <c r="A56" s="64" t="inlineStr">
        <is>
          <t>실습</t>
        </is>
      </c>
      <c r="B56" s="55" t="inlineStr">
        <is>
          <t>여러 도구를 조합해 업무 결과 완성하기</t>
        </is>
      </c>
      <c r="C56" s="53" t="inlineStr">
        <is>
          <t>회의록 파일 읽기→Git으로 변경된 자료 확인→업무 항목 생성·저장까지 한 요청으로 연결한다. 실제 도구 실패 시 미완료 항목을 표시하고 수정 후 재실행한다.</t>
        </is>
      </c>
      <c r="D56" s="54" t="n">
        <v>50</v>
      </c>
    </row>
    <row r="57" ht="29" customHeight="1" s="1">
      <c r="A57" s="66" t="inlineStr">
        <is>
          <t>회차 합계 (실제 수업·휴식 별도)</t>
        </is>
      </c>
      <c r="D57" s="49">
        <f>SUM(D52:D56)</f>
        <v/>
      </c>
    </row>
    <row r="58">
      <c r="A58" s="50" t="n"/>
      <c r="B58" s="50" t="n"/>
      <c r="C58" s="50" t="n"/>
      <c r="D58" s="50" t="n"/>
    </row>
    <row r="59" ht="39" customHeight="1" s="1">
      <c r="A59" s="43" t="inlineStr">
        <is>
          <t>07회차  |  사람의 확인과 검증을 통해 신뢰할 수 있는 AI 완성하기</t>
        </is>
      </c>
      <c r="D59" s="44" t="inlineStr">
        <is>
          <t>4H</t>
        </is>
      </c>
    </row>
    <row r="60" ht="29" customHeight="1" s="1">
      <c r="A60" s="49" t="inlineStr">
        <is>
          <t>구분</t>
        </is>
      </c>
      <c r="B60" s="49" t="inlineStr">
        <is>
          <t>제목</t>
        </is>
      </c>
      <c r="C60" s="49" t="inlineStr">
        <is>
          <t>상세 교육 내용</t>
        </is>
      </c>
      <c r="D60" s="49" t="inlineStr">
        <is>
          <t>시간(분)</t>
        </is>
      </c>
    </row>
    <row r="61" ht="60" customHeight="1" s="1">
      <c r="A61" s="56" t="inlineStr">
        <is>
          <t>이론</t>
        </is>
      </c>
      <c r="B61" s="55" t="inlineStr">
        <is>
          <t>사람 승인과 명세·행동 검증의 핵심 이해하기</t>
        </is>
      </c>
      <c r="C61" s="53" t="inlineStr">
        <is>
          <t>HITL의 승인·보류·거절, SDD의 입출력·불변 조건, BDD의 Given/When/Then 및 회귀 검증을 에이전트 기능 변경 사례로 압축 설명한다.</t>
        </is>
      </c>
      <c r="D61" s="54" t="n">
        <v>30</v>
      </c>
    </row>
    <row r="62" ht="60" customHeight="1" s="1">
      <c r="A62" s="65" t="inlineStr">
        <is>
          <t>실습</t>
        </is>
      </c>
      <c r="B62" s="62" t="inlineStr">
        <is>
          <t>사람이 개입하는 업무 상태 확인하기</t>
        </is>
      </c>
      <c r="C62" s="60" t="inlineStr">
        <is>
          <t>HYD 포털에서 준비된 처리 건의 사람 승인 대기와 역할 제한을 확인한다. AI 검토와 실제 승인 결정을 구분한다.</t>
        </is>
      </c>
      <c r="D62" s="61" t="n">
        <v>10</v>
      </c>
    </row>
    <row r="63" ht="60" customHeight="1" s="1">
      <c r="A63" s="64" t="inlineStr">
        <is>
          <t>실습</t>
        </is>
      </c>
      <c r="B63" s="55" t="inlineStr">
        <is>
          <t>정보가 부족하면 사람에게 묻는 에이전트 만들기</t>
        </is>
      </c>
      <c r="C63" s="53" t="inlineStr">
        <is>
          <t>기존 업무 에이전트에 필수 입력 누락 시 보류·추가 질문·응답 반영·재개를 구현하고 미승인 상태에서 확정되지 않도록 한다.</t>
        </is>
      </c>
      <c r="D63" s="54" t="n">
        <v>30</v>
      </c>
    </row>
    <row r="64" ht="60" customHeight="1" s="1">
      <c r="A64" s="65" t="inlineStr">
        <is>
          <t>실습</t>
        </is>
      </c>
      <c r="B64" s="62" t="inlineStr">
        <is>
          <t>새로운 요구사항을 추가해도 기존 기능 유지하기</t>
        </is>
      </c>
      <c r="C64" s="60" t="inlineStr">
        <is>
          <t>기존 업무에 긴급 조건을 추가할 때 사전 검증한 실패/계약 변화 사례를 비교한다. spec.md에 일반 요청·긴급 요청·승인 제약을 적고 기존 기능을 보존하도록 코드를 수정한다.</t>
        </is>
      </c>
      <c r="D64" s="61" t="n">
        <v>50</v>
      </c>
    </row>
    <row r="65" ht="60" customHeight="1" s="1">
      <c r="A65" s="64" t="inlineStr">
        <is>
          <t>실습</t>
        </is>
      </c>
      <c r="B65" s="55" t="inlineStr">
        <is>
          <t>새 기능과 기존 기능을 함께 검증하기</t>
        </is>
      </c>
      <c r="C65" s="53" t="inlineStr">
        <is>
          <t>동일 프로젝트에서 정상·긴급·미입력·거절 Given/When/Then을 실행해 오류를 수정하고 회귀 검증한다. 실제 실패가 없으면 임의로 오류를 만들지 않는다.</t>
        </is>
      </c>
      <c r="D65" s="54" t="n">
        <v>50</v>
      </c>
    </row>
    <row r="66" ht="60" customHeight="1" s="1">
      <c r="A66" s="63" t="inlineStr">
        <is>
          <t>이론</t>
        </is>
      </c>
      <c r="B66" s="62" t="inlineStr">
        <is>
          <t>에이전트 제작·활용·검증 과정 정리하기 — Wrap-up</t>
        </is>
      </c>
      <c r="C66" s="60" t="inlineStr">
        <is>
          <t>Agent·Skill·MCP·HITL·SDD·BDD의 역할과 직접 만든 에이전트·스킬·테스트 결과를 복습한다. 신규 실습 없음.</t>
        </is>
      </c>
      <c r="D66" s="61" t="n">
        <v>30</v>
      </c>
    </row>
    <row r="67" ht="29" customHeight="1" s="1">
      <c r="A67" s="66" t="inlineStr">
        <is>
          <t>회차 합계 (실제 수업·휴식 별도)</t>
        </is>
      </c>
      <c r="D67" s="49">
        <f>SUM(D61:D66)</f>
        <v/>
      </c>
    </row>
    <row r="68">
      <c r="A68" s="50" t="n"/>
      <c r="B68" s="50" t="n"/>
      <c r="C68" s="50" t="n"/>
      <c r="D68" s="50" t="n"/>
    </row>
    <row r="69" ht="39" customHeight="1" s="1">
      <c r="A69" s="43" t="inlineStr">
        <is>
          <t>08회차  |  설비 이상 대응 업무를 직접 설계하고 실행 준비 완료하기</t>
        </is>
      </c>
      <c r="D69" s="44" t="inlineStr">
        <is>
          <t>4H</t>
        </is>
      </c>
    </row>
    <row r="70" ht="29" customHeight="1" s="1">
      <c r="A70" s="49" t="inlineStr">
        <is>
          <t>구분</t>
        </is>
      </c>
      <c r="B70" s="49" t="inlineStr">
        <is>
          <t>제목</t>
        </is>
      </c>
      <c r="C70" s="49" t="inlineStr">
        <is>
          <t>상세 교육 내용</t>
        </is>
      </c>
      <c r="D70" s="49" t="inlineStr">
        <is>
          <t>시간(분)</t>
        </is>
      </c>
    </row>
    <row r="71" ht="60" customHeight="1" s="1">
      <c r="A71" s="56" t="inlineStr">
        <is>
          <t>이론</t>
        </is>
      </c>
      <c r="B71" s="55" t="inlineStr">
        <is>
          <t>비즈니스 프로세스를 실행 가능한 업무로 설계하기</t>
        </is>
      </c>
      <c r="C71" s="53" t="inlineStr">
        <is>
          <t>BPM·BPMN·오케스트레이션의 차이, End-to-End 업무·정의/인스턴스, Event·Task·Gateway·Lane, 승인·거절·시스템 연결을 짧게 설명한다.</t>
        </is>
      </c>
      <c r="D71" s="54" t="n">
        <v>25</v>
      </c>
    </row>
    <row r="72" ht="60" customHeight="1" s="1">
      <c r="A72" s="65" t="inlineStr">
        <is>
          <t>실습</t>
        </is>
      </c>
      <c r="B72" s="62" t="inlineStr">
        <is>
          <t>업무 설계 도구로 간단한 승인 흐름 그려보기</t>
        </is>
      </c>
      <c r="C72" s="60" t="inlineStr">
        <is>
          <t>bpmn.io를 직접 열어 팔레트·요소 배치·연결·속성·저장/다시 열기를 익힌 후 시작→정비 요청→승인 여부→승인/반려 종료를 작성한다.</t>
        </is>
      </c>
      <c r="D72" s="61" t="n">
        <v>35</v>
      </c>
    </row>
    <row r="73" ht="60" customHeight="1" s="1">
      <c r="A73" s="64" t="inlineStr">
        <is>
          <t>실습</t>
        </is>
      </c>
      <c r="B73" s="55" t="inlineStr">
        <is>
          <t>설비 이상 대응 프로세스 설계하기</t>
        </is>
      </c>
      <c r="C73" s="53" t="inlineStr">
        <is>
          <t>bpmn.io에서 쿨러 경보→에이전트 진단·제안→운전원 승인→PLC 조치→재확인·결과 보고를 Lane별로 그려 파일을 완성한다.</t>
        </is>
      </c>
      <c r="D73" s="54" t="n">
        <v>45</v>
      </c>
    </row>
    <row r="74" ht="60" customHeight="1" s="1">
      <c r="A74" s="65" t="inlineStr">
        <is>
          <t>실습</t>
        </is>
      </c>
      <c r="B74" s="62" t="inlineStr">
        <is>
          <t>사람 승인에 따라 안전하게 달라지는 흐름 완성하기</t>
        </is>
      </c>
      <c r="C74" s="60" t="inlineStr">
        <is>
          <t>승인/거절 Gateway, 승인 지연 Timer, 정상·반려 End Event를 추가한다. 거절 시 시스템 명령이 발행되는 경로가 없도록 연결을 검토한다.</t>
        </is>
      </c>
      <c r="D74" s="61" t="n">
        <v>45</v>
      </c>
    </row>
    <row r="75" ht="60" customHeight="1" s="1">
      <c r="A75" s="64" t="inlineStr">
        <is>
          <t>실습</t>
        </is>
      </c>
      <c r="B75" s="55" t="inlineStr">
        <is>
          <t>설계한 프로세스를 실제 실행 환경에 연결하기</t>
        </is>
      </c>
      <c r="C75" s="53" t="inlineStr">
        <is>
          <t>HYD 가져오기→시작 경보·기존 에이전트·승인 역할·시스템 Task 매핑→사전 검사·등록·배포를 수행한다. 화면에 없는 시스템 설정은 제공된 mapping.json 및 검증된 API 보완 절차를 사용한다.</t>
        </is>
      </c>
      <c r="D75" s="54" t="n">
        <v>50</v>
      </c>
    </row>
    <row r="76" ht="29" customHeight="1" s="1">
      <c r="A76" s="66" t="inlineStr">
        <is>
          <t>회차 합계 (실제 수업·휴식 별도)</t>
        </is>
      </c>
      <c r="D76" s="49">
        <f>SUM(D71:D75)</f>
        <v/>
      </c>
    </row>
    <row r="77">
      <c r="A77" s="50" t="n"/>
      <c r="B77" s="50" t="n"/>
      <c r="C77" s="50" t="n"/>
      <c r="D77" s="50" t="n"/>
    </row>
    <row r="78" ht="39" customHeight="1" s="1">
      <c r="A78" s="43" t="inlineStr">
        <is>
          <t>09회차  |  실제 설비 이벤트로 프로세스의 실행과 안전성 검증하기</t>
        </is>
      </c>
      <c r="D78" s="44" t="inlineStr">
        <is>
          <t>4H</t>
        </is>
      </c>
    </row>
    <row r="79" ht="29" customHeight="1" s="1">
      <c r="A79" s="49" t="inlineStr">
        <is>
          <t>구분</t>
        </is>
      </c>
      <c r="B79" s="49" t="inlineStr">
        <is>
          <t>제목</t>
        </is>
      </c>
      <c r="C79" s="49" t="inlineStr">
        <is>
          <t>상세 교육 내용</t>
        </is>
      </c>
      <c r="D79" s="49" t="inlineStr">
        <is>
          <t>시간(분)</t>
        </is>
      </c>
    </row>
    <row r="80" ht="60" customHeight="1" s="1">
      <c r="A80" s="56" t="inlineStr">
        <is>
          <t>이론</t>
        </is>
      </c>
      <c r="B80" s="55" t="inlineStr">
        <is>
          <t>실행 중인 프로세스를 통제하고 관리하기</t>
        </is>
      </c>
      <c r="C80" s="53" t="inlineStr">
        <is>
          <t>작업 상태·승인 대기·반려·지연 알림·실행 기록, 프로세스 정의 버전과 인스턴스 추적, 오류 발생 시 책임 구분을 설명한다.</t>
        </is>
      </c>
      <c r="D80" s="54" t="n">
        <v>20</v>
      </c>
    </row>
    <row r="81" ht="60" customHeight="1" s="1">
      <c r="A81" s="65" t="inlineStr">
        <is>
          <t>실습</t>
        </is>
      </c>
      <c r="B81" s="62" t="inlineStr">
        <is>
          <t>설비 이벤트로 내가 만든 프로세스 실행하기</t>
        </is>
      </c>
      <c r="C81" s="60" t="inlineStr">
        <is>
          <t>전회차 배포한 쿨러 흐름에 열화 경보를 발생시켜 에이전트→운전원 승인→PLC 명령→유온 재확인→결과 보고까지 실행하고 처리 건 단계 상태를 기록한다.</t>
        </is>
      </c>
      <c r="D81" s="61" t="n">
        <v>45</v>
      </c>
    </row>
    <row r="82" ht="60" customHeight="1" s="1">
      <c r="A82" s="64" t="inlineStr">
        <is>
          <t>실습</t>
        </is>
      </c>
      <c r="B82" s="55" t="inlineStr">
        <is>
          <t>승인 거절과 지연 상황 처리하기</t>
        </is>
      </c>
      <c r="C82" s="53" t="inlineStr">
        <is>
          <t>거절 시 설비 명령 없이 반려 종료되는 결과와, 무응답 시 지연 알림만 발생하고 승인 작업은 계속 대기하는 결과를 구분한다. 같은 경보 재실행에 필요한 복구 상태도 확인한다.</t>
        </is>
      </c>
      <c r="D82" s="54" t="n">
        <v>45</v>
      </c>
    </row>
    <row r="83" ht="60" customHeight="1" s="1">
      <c r="A83" s="65" t="inlineStr">
        <is>
          <t>실습</t>
        </is>
      </c>
      <c r="B83" s="62" t="inlineStr">
        <is>
          <t>실행 과정에서 발견한 문제 해결하기</t>
        </is>
      </c>
      <c r="C83" s="60" t="inlineStr">
        <is>
          <t>처리 건의 작업·승인·실행 기록을 읽어 어떤 값이 다음 단계에 전달됐는지 추적한다. 제공된 잘못된 작업 부품·분기 조건 예제를 사전 검사로 검출하고 해당 설정을 바로잡는다.</t>
        </is>
      </c>
      <c r="D83" s="61" t="n">
        <v>45</v>
      </c>
    </row>
    <row r="84" ht="60" customHeight="1" s="1">
      <c r="A84" s="64" t="inlineStr">
        <is>
          <t>실습</t>
        </is>
      </c>
      <c r="B84" s="55" t="inlineStr">
        <is>
          <t>수정한 프로세스를 다시 실행하고 정상화하기</t>
        </is>
      </c>
      <c r="C84" s="53" t="inlineStr">
        <is>
          <t>고친 정의를 재검사·배포 후 실행해 정상 종료와 반려 차단을 확인한다. 수업 끝에 경보→학생 흐름 연결을 기준 흐름으로 되돌리고 파일·결과를 보존한다.</t>
        </is>
      </c>
      <c r="D84" s="54" t="n">
        <v>45</v>
      </c>
    </row>
    <row r="85" ht="29" customHeight="1" s="1">
      <c r="A85" s="66" t="inlineStr">
        <is>
          <t>회차 합계 (실제 수업·휴식 별도)</t>
        </is>
      </c>
      <c r="D85" s="49">
        <f>SUM(D80:D84)</f>
        <v/>
      </c>
    </row>
    <row r="86">
      <c r="A86" s="50" t="n"/>
      <c r="B86" s="50" t="n"/>
      <c r="C86" s="50" t="n"/>
      <c r="D86" s="50" t="n"/>
    </row>
    <row r="87" ht="39" customHeight="1" s="1">
      <c r="A87" s="43" t="inlineStr">
        <is>
          <t>10회차  |  하나의 설비 대응 경험을 정비·구매 업무까지 확장하기</t>
        </is>
      </c>
      <c r="D87" s="44" t="inlineStr">
        <is>
          <t>4H</t>
        </is>
      </c>
    </row>
    <row r="88" ht="29" customHeight="1" s="1">
      <c r="A88" s="49" t="inlineStr">
        <is>
          <t>구분</t>
        </is>
      </c>
      <c r="B88" s="49" t="inlineStr">
        <is>
          <t>제목</t>
        </is>
      </c>
      <c r="C88" s="49" t="inlineStr">
        <is>
          <t>상세 교육 내용</t>
        </is>
      </c>
      <c r="D88" s="49" t="inlineStr">
        <is>
          <t>시간(분)</t>
        </is>
      </c>
    </row>
    <row r="89" ht="60" customHeight="1" s="1">
      <c r="A89" s="56" t="inlineStr">
        <is>
          <t>이론</t>
        </is>
      </c>
      <c r="B89" s="55" t="inlineStr">
        <is>
          <t>설비 제어에서 정비·구매까지 프로세스 활용 범위 넓히기</t>
        </is>
      </c>
      <c r="C89" s="53" t="inlineStr">
        <is>
          <t>설비 경보와 정기 점검 도래·재고 부족의 시작 조건, 담당 역할, CMMS·ERP 실행과 결과의 차이를 복습한다.</t>
        </is>
      </c>
      <c r="D89" s="54" t="n">
        <v>20</v>
      </c>
    </row>
    <row r="90" ht="60" customHeight="1" s="1">
      <c r="A90" s="65" t="inlineStr">
        <is>
          <t>실습</t>
        </is>
      </c>
      <c r="B90" s="62" t="inlineStr">
        <is>
          <t>정기 점검부터 작업지시까지 업무 흐름 설계하기</t>
        </is>
      </c>
      <c r="C90" s="60" t="inlineStr">
        <is>
          <t>bpmn.io에서 정기 점검 도래→정비 계획 에이전트→설비보전팀장 승인/거절→CMMS 오더→생산팀 공지→종료를 그린다.</t>
        </is>
      </c>
      <c r="D90" s="61" t="n">
        <v>40</v>
      </c>
    </row>
    <row r="91" ht="60" customHeight="1" s="1">
      <c r="A91" s="64" t="inlineStr">
        <is>
          <t>실습</t>
        </is>
      </c>
      <c r="B91" s="55" t="inlineStr">
        <is>
          <t>정비 업무를 실제 시스템에서 실행하기</t>
        </is>
      </c>
      <c r="C91" s="53" t="inlineStr">
        <is>
          <t>HYD에 정비 BPMN을 매핑·검사·배포하고 정기 점검 이벤트로 실행한다. 승인 시 정비 오더·공지, 반려 시 오더 미생성을 확인한다.</t>
        </is>
      </c>
      <c r="D91" s="54" t="n">
        <v>35</v>
      </c>
    </row>
    <row r="92" ht="60" customHeight="1" s="1">
      <c r="A92" s="65" t="inlineStr">
        <is>
          <t>실습</t>
        </is>
      </c>
      <c r="B92" s="62" t="inlineStr">
        <is>
          <t>재고 부족부터 구매·입고까지 업무 흐름 설계하기</t>
        </is>
      </c>
      <c r="C92" s="60" t="inlineStr">
        <is>
          <t>bpmn.io에서 재고 부족→구매 에이전트→구매 담당자 승인/거절→ERP 발주→공급사 통지→즉시 입고 반영→종료를 작성한다.</t>
        </is>
      </c>
      <c r="D92" s="61" t="n">
        <v>40</v>
      </c>
    </row>
    <row r="93" ht="60" customHeight="1" s="1">
      <c r="A93" s="64" t="inlineStr">
        <is>
          <t>실습</t>
        </is>
      </c>
      <c r="B93" s="55" t="inlineStr">
        <is>
          <t>구매 업무를 실제 시스템에서 실행하기</t>
        </is>
      </c>
      <c r="C93" s="53" t="inlineStr">
        <is>
          <t>구매 BPMN 연결·사전 검사·배포 후 재고 보충 이벤트를 실행하여 발주·통지·시뮬레이션 입고·완료 기록을 확인한다.</t>
        </is>
      </c>
      <c r="D93" s="54" t="n">
        <v>35</v>
      </c>
    </row>
    <row r="94" ht="60" customHeight="1" s="1">
      <c r="A94" s="63" t="inlineStr">
        <is>
          <t>이론</t>
        </is>
      </c>
      <c r="B94" s="62" t="inlineStr">
        <is>
          <t>AI 기반 프로세스 오케스트레이션 전체 정리하기 — Wrap-up</t>
        </is>
      </c>
      <c r="C94" s="60" t="inlineStr">
        <is>
          <t>온톨로지·SOP·DMN·업무 DB→에이전트·Skill·MCP→BPMN→사람 승인→기업 시스템 실행의 전체 학습 흐름을 복습한다. 신규 실습 없음.</t>
        </is>
      </c>
      <c r="D94" s="61" t="n">
        <v>30</v>
      </c>
    </row>
    <row r="95" ht="29" customHeight="1" s="1">
      <c r="A95" s="66" t="inlineStr">
        <is>
          <t>회차 합계 (실제 수업·휴식 별도)</t>
        </is>
      </c>
      <c r="D95" s="49">
        <f>SUM(D89:D94)</f>
        <v/>
      </c>
    </row>
    <row r="96">
      <c r="A96" s="50" t="n"/>
      <c r="B96" s="50" t="n"/>
      <c r="C96" s="50" t="n"/>
      <c r="D96" s="50" t="n"/>
    </row>
    <row r="97" ht="36" customHeight="1" s="1">
      <c r="A97" s="43" t="inlineStr">
        <is>
          <t>전체 수업 합계 (휴식 제외)</t>
        </is>
      </c>
      <c r="D97" s="44">
        <f>SUM(D11,D20,D29,D39,D48,D57,D67,D76,D85,D95)</f>
        <v/>
      </c>
    </row>
    <row r="98" ht="30" customHeight="1" s="1">
      <c r="A98" s="120" t="inlineStr">
        <is>
          <t>휴식 시간 (회차별 40분 × 10회)</t>
        </is>
      </c>
      <c r="D98" s="120">
        <f>40*10</f>
        <v/>
      </c>
    </row>
    <row r="99" ht="30" customHeight="1" s="1">
      <c r="A99" s="120" t="inlineStr">
        <is>
          <t>총 운영 시간 (수업 + 휴식)</t>
        </is>
      </c>
      <c r="D99" s="120">
        <f>D97+D98</f>
        <v/>
      </c>
    </row>
    <row r="100">
      <c r="A100" s="50" t="n"/>
      <c r="B100" s="50" t="n"/>
      <c r="C100" s="50" t="n"/>
      <c r="D100" s="50" t="n"/>
    </row>
    <row r="101" ht="50" customHeight="1" s="1">
      <c r="A101" s="69" t="inlineStr">
        <is>
          <t>운영 유의: HYD BPMN은 포털의 일부 시스템 단계 설정 칸이 부족하여 제공 mapping.json·검증된 API 절차가 필요할 수 있음. 공용 서버에 여러 학생이 동시에 배포하면 마지막 배포 흐름이 경보를 수신하므로 학생별 환경 또는 순차 진행 필요.</t>
        </is>
      </c>
    </row>
    <row r="102">
      <c r="A102" s="50" t="n"/>
      <c r="B102" s="50" t="n"/>
      <c r="C102" s="50" t="n"/>
      <c r="D102" s="50" t="n"/>
    </row>
    <row r="103" ht="50" customHeight="1" s="1">
      <c r="A103" s="69" t="inlineStr">
        <is>
          <t>실습 사전검증: 외부 MCP(파일시스템·Git·시간) 설치·권한·접속, Notion 쓰기 권한, SDD 기능 변경 실패 재현 입력, 오프라인 수강생 실행 시간은 미실측이므로 강사 리허설 필요. 지원되지 않는 업무 기능은 실제 구현 완료로 표기하지 않음.</t>
        </is>
      </c>
    </row>
    <row r="104">
      <c r="A104" s="50" t="n"/>
      <c r="B104" s="50" t="n"/>
      <c r="C104" s="50" t="n"/>
      <c r="D104" s="50" t="n"/>
    </row>
    <row r="105" ht="50" customHeight="1" s="1">
      <c r="A105" s="69" t="inlineStr">
        <is>
          <t>HYD 근거: https://github.com/uengine-oss/hyd-iot-edu/tree/claude/hyd-handoff-work-xziutz/students/flows · https://github.com/uengine-oss/hyd-iot-edu/blob/claude/hyd-handoff-work-xziutz/docs/handoff/verification/2026-10-10/final-verify.md</t>
        </is>
      </c>
    </row>
    <row r="106">
      <c r="A106" s="50" t="n"/>
      <c r="B106" s="50" t="n"/>
      <c r="C106" s="50" t="n"/>
      <c r="D106" s="50" t="n"/>
    </row>
    <row r="107">
      <c r="A107" s="50" t="n"/>
      <c r="B107" s="50" t="n"/>
      <c r="C107" s="50" t="n"/>
      <c r="D107" s="50" t="n"/>
    </row>
    <row r="108">
      <c r="A108" s="50" t="n"/>
      <c r="B108" s="50" t="n"/>
      <c r="C108" s="50" t="n"/>
      <c r="D108" s="50" t="n"/>
    </row>
    <row r="109">
      <c r="A109" s="50" t="n"/>
      <c r="B109" s="50" t="n"/>
      <c r="C109" s="50" t="n"/>
      <c r="D109" s="50" t="n"/>
    </row>
    <row r="110">
      <c r="A110" s="50" t="n"/>
      <c r="B110" s="50" t="n"/>
      <c r="C110" s="50" t="n"/>
      <c r="D110" s="50" t="n"/>
    </row>
    <row r="111">
      <c r="A111" s="50" t="n"/>
      <c r="B111" s="50" t="n"/>
      <c r="C111" s="50" t="n"/>
      <c r="D111" s="50" t="n"/>
    </row>
    <row r="112">
      <c r="A112" s="50" t="n"/>
      <c r="B112" s="50" t="n"/>
      <c r="C112" s="50" t="n"/>
      <c r="D112" s="50" t="n"/>
    </row>
    <row r="113">
      <c r="A113" s="50" t="n"/>
      <c r="B113" s="50" t="n"/>
      <c r="C113" s="50" t="n"/>
      <c r="D113" s="50" t="n"/>
    </row>
    <row r="114">
      <c r="A114" s="50" t="n"/>
      <c r="B114" s="50" t="n"/>
      <c r="C114" s="50" t="n"/>
      <c r="D114" s="50" t="n"/>
    </row>
    <row r="115">
      <c r="A115" s="50" t="n"/>
      <c r="B115" s="50" t="n"/>
      <c r="C115" s="50" t="n"/>
      <c r="D115" s="50" t="n"/>
    </row>
    <row r="116">
      <c r="A116" s="50" t="n"/>
      <c r="B116" s="50" t="n"/>
      <c r="C116" s="50" t="n"/>
      <c r="D116" s="50" t="n"/>
    </row>
    <row r="117">
      <c r="A117" s="50" t="n"/>
      <c r="B117" s="50" t="n"/>
      <c r="C117" s="50" t="n"/>
      <c r="D117" s="50" t="n"/>
    </row>
    <row r="118">
      <c r="A118" s="50" t="n"/>
      <c r="B118" s="50" t="n"/>
      <c r="C118" s="50" t="n"/>
      <c r="D118" s="50" t="n"/>
    </row>
    <row r="119">
      <c r="A119" s="50" t="n"/>
      <c r="B119" s="50" t="n"/>
      <c r="C119" s="50" t="n"/>
      <c r="D119" s="50" t="n"/>
    </row>
    <row r="120">
      <c r="A120" s="50" t="n"/>
      <c r="B120" s="50" t="n"/>
      <c r="C120" s="50" t="n"/>
      <c r="D120" s="50" t="n"/>
    </row>
    <row r="121">
      <c r="A121" s="50" t="n"/>
      <c r="B121" s="50" t="n"/>
      <c r="C121" s="50" t="n"/>
      <c r="D121" s="50" t="n"/>
    </row>
    <row r="122">
      <c r="A122" s="50" t="n"/>
      <c r="B122" s="50" t="n"/>
      <c r="C122" s="50" t="n"/>
      <c r="D122" s="50" t="n"/>
    </row>
    <row r="123">
      <c r="A123" s="50" t="n"/>
      <c r="B123" s="50" t="n"/>
      <c r="C123" s="50" t="n"/>
      <c r="D123" s="50" t="n"/>
    </row>
    <row r="124">
      <c r="A124" s="50" t="n"/>
      <c r="B124" s="50" t="n"/>
      <c r="C124" s="50" t="n"/>
      <c r="D124" s="50" t="n"/>
    </row>
    <row r="125">
      <c r="A125" s="50" t="n"/>
      <c r="B125" s="50" t="n"/>
      <c r="C125" s="50" t="n"/>
      <c r="D125" s="50" t="n"/>
    </row>
    <row r="126">
      <c r="A126" s="50" t="n"/>
      <c r="B126" s="50" t="n"/>
      <c r="C126" s="50" t="n"/>
      <c r="D126" s="50" t="n"/>
    </row>
    <row r="127">
      <c r="A127" s="50" t="n"/>
      <c r="B127" s="50" t="n"/>
      <c r="C127" s="50" t="n"/>
      <c r="D127" s="50" t="n"/>
    </row>
    <row r="128">
      <c r="A128" s="50" t="n"/>
      <c r="B128" s="50" t="n"/>
      <c r="C128" s="50" t="n"/>
      <c r="D128" s="50" t="n"/>
    </row>
    <row r="129">
      <c r="A129" s="50" t="n"/>
      <c r="B129" s="50" t="n"/>
      <c r="C129" s="50" t="n"/>
      <c r="D129" s="50" t="n"/>
    </row>
    <row r="130">
      <c r="A130" s="50" t="n"/>
      <c r="B130" s="50" t="n"/>
      <c r="C130" s="50" t="n"/>
      <c r="D130" s="50" t="n"/>
    </row>
    <row r="131">
      <c r="A131" s="50" t="n"/>
      <c r="B131" s="50" t="n"/>
      <c r="C131" s="50" t="n"/>
      <c r="D131" s="50" t="n"/>
    </row>
    <row r="132">
      <c r="A132" s="50" t="n"/>
      <c r="B132" s="50" t="n"/>
      <c r="C132" s="50" t="n"/>
      <c r="D132" s="50" t="n"/>
    </row>
    <row r="133">
      <c r="A133" s="50" t="n"/>
      <c r="B133" s="50" t="n"/>
      <c r="C133" s="50" t="n"/>
      <c r="D133" s="50" t="n"/>
    </row>
    <row r="134">
      <c r="A134" s="50" t="n"/>
      <c r="B134" s="50" t="n"/>
      <c r="C134" s="50" t="n"/>
      <c r="D134" s="50" t="n"/>
    </row>
    <row r="135">
      <c r="A135" s="50" t="n"/>
      <c r="B135" s="50" t="n"/>
      <c r="C135" s="50" t="n"/>
      <c r="D135" s="50" t="n"/>
    </row>
    <row r="136">
      <c r="A136" s="50" t="n"/>
      <c r="B136" s="50" t="n"/>
      <c r="C136" s="50" t="n"/>
      <c r="D136" s="50" t="n"/>
    </row>
    <row r="137">
      <c r="A137" s="50" t="n"/>
      <c r="B137" s="50" t="n"/>
      <c r="C137" s="50" t="n"/>
      <c r="D137" s="50" t="n"/>
    </row>
    <row r="138">
      <c r="A138" s="50" t="n"/>
      <c r="B138" s="50" t="n"/>
      <c r="C138" s="50" t="n"/>
      <c r="D138" s="50" t="n"/>
    </row>
    <row r="139">
      <c r="A139" s="50" t="n"/>
      <c r="B139" s="50" t="n"/>
      <c r="C139" s="50" t="n"/>
      <c r="D139" s="50" t="n"/>
    </row>
    <row r="140">
      <c r="A140" s="50" t="n"/>
      <c r="B140" s="50" t="n"/>
      <c r="C140" s="50" t="n"/>
      <c r="D140" s="50" t="n"/>
    </row>
    <row r="141">
      <c r="A141" s="50" t="n"/>
      <c r="B141" s="50" t="n"/>
      <c r="C141" s="50" t="n"/>
      <c r="D141" s="50" t="n"/>
    </row>
    <row r="142">
      <c r="A142" s="50" t="n"/>
      <c r="B142" s="50" t="n"/>
      <c r="C142" s="50" t="n"/>
      <c r="D142" s="50" t="n"/>
    </row>
    <row r="143">
      <c r="A143" s="50" t="n"/>
      <c r="B143" s="50" t="n"/>
      <c r="C143" s="50" t="n"/>
      <c r="D143" s="50" t="n"/>
    </row>
    <row r="144">
      <c r="A144" s="50" t="n"/>
      <c r="B144" s="50" t="n"/>
      <c r="C144" s="50" t="n"/>
      <c r="D144" s="50" t="n"/>
    </row>
    <row r="145">
      <c r="A145" s="50" t="n"/>
      <c r="B145" s="50" t="n"/>
      <c r="C145" s="50" t="n"/>
      <c r="D145" s="50" t="n"/>
    </row>
    <row r="146">
      <c r="A146" s="50" t="n"/>
      <c r="B146" s="50" t="n"/>
      <c r="C146" s="50" t="n"/>
      <c r="D146" s="50" t="n"/>
    </row>
    <row r="147">
      <c r="A147" s="50" t="n"/>
      <c r="B147" s="50" t="n"/>
      <c r="C147" s="50" t="n"/>
      <c r="D147" s="50" t="n"/>
    </row>
    <row r="148">
      <c r="A148" s="50" t="n"/>
      <c r="B148" s="50" t="n"/>
      <c r="C148" s="50" t="n"/>
      <c r="D148" s="50" t="n"/>
    </row>
    <row r="149">
      <c r="A149" s="50" t="n"/>
      <c r="B149" s="50" t="n"/>
      <c r="C149" s="50" t="n"/>
      <c r="D149" s="50" t="n"/>
    </row>
    <row r="150">
      <c r="A150" s="50" t="n"/>
      <c r="B150" s="50" t="n"/>
      <c r="C150" s="50" t="n"/>
      <c r="D150" s="50" t="n"/>
    </row>
    <row r="151">
      <c r="A151" s="50" t="n"/>
      <c r="B151" s="50" t="n"/>
      <c r="C151" s="50" t="n"/>
      <c r="D151" s="50" t="n"/>
    </row>
    <row r="152">
      <c r="A152" s="50" t="n"/>
      <c r="B152" s="50" t="n"/>
      <c r="C152" s="50" t="n"/>
      <c r="D152" s="50" t="n"/>
    </row>
    <row r="153">
      <c r="A153" s="50" t="n"/>
      <c r="B153" s="50" t="n"/>
      <c r="C153" s="50" t="n"/>
      <c r="D153" s="50" t="n"/>
    </row>
    <row r="154">
      <c r="A154" s="50" t="n"/>
      <c r="B154" s="50" t="n"/>
      <c r="C154" s="50" t="n"/>
      <c r="D154" s="50" t="n"/>
    </row>
    <row r="155">
      <c r="A155" s="50" t="n"/>
      <c r="B155" s="50" t="n"/>
      <c r="C155" s="50" t="n"/>
      <c r="D155" s="50" t="n"/>
    </row>
    <row r="156">
      <c r="A156" s="50" t="n"/>
      <c r="B156" s="50" t="n"/>
      <c r="C156" s="50" t="n"/>
      <c r="D156" s="50" t="n"/>
    </row>
    <row r="157">
      <c r="A157" s="50" t="n"/>
      <c r="B157" s="50" t="n"/>
      <c r="C157" s="50" t="n"/>
      <c r="D157" s="50" t="n"/>
    </row>
    <row r="158">
      <c r="A158" s="50" t="n"/>
      <c r="B158" s="50" t="n"/>
      <c r="C158" s="50" t="n"/>
      <c r="D158" s="50" t="n"/>
    </row>
    <row r="159">
      <c r="A159" s="50" t="n"/>
      <c r="B159" s="50" t="n"/>
      <c r="C159" s="50" t="n"/>
      <c r="D159" s="50" t="n"/>
    </row>
    <row r="160">
      <c r="A160" s="50" t="n"/>
      <c r="B160" s="50" t="n"/>
      <c r="C160" s="50" t="n"/>
      <c r="D160" s="50" t="n"/>
    </row>
    <row r="161">
      <c r="A161" s="50" t="n"/>
      <c r="B161" s="50" t="n"/>
      <c r="C161" s="50" t="n"/>
      <c r="D161" s="50" t="n"/>
    </row>
    <row r="162">
      <c r="A162" s="50" t="n"/>
      <c r="B162" s="50" t="n"/>
      <c r="C162" s="50" t="n"/>
      <c r="D162" s="50" t="n"/>
    </row>
    <row r="163">
      <c r="A163" s="50" t="n"/>
      <c r="B163" s="50" t="n"/>
      <c r="C163" s="50" t="n"/>
      <c r="D163" s="50" t="n"/>
    </row>
    <row r="164">
      <c r="A164" s="50" t="n"/>
      <c r="B164" s="50" t="n"/>
      <c r="C164" s="50" t="n"/>
      <c r="D164" s="50" t="n"/>
    </row>
    <row r="165">
      <c r="A165" s="50" t="n"/>
      <c r="B165" s="50" t="n"/>
      <c r="C165" s="50" t="n"/>
      <c r="D165" s="50" t="n"/>
    </row>
    <row r="166">
      <c r="A166" s="50" t="n"/>
      <c r="B166" s="50" t="n"/>
      <c r="C166" s="50" t="n"/>
      <c r="D166" s="50" t="n"/>
    </row>
    <row r="167">
      <c r="A167" s="50" t="n"/>
      <c r="B167" s="50" t="n"/>
      <c r="C167" s="50" t="n"/>
      <c r="D167" s="50" t="n"/>
    </row>
    <row r="168">
      <c r="A168" s="50" t="n"/>
      <c r="B168" s="50" t="n"/>
      <c r="C168" s="50" t="n"/>
      <c r="D168" s="50" t="n"/>
    </row>
    <row r="169">
      <c r="A169" s="50" t="n"/>
      <c r="B169" s="50" t="n"/>
      <c r="C169" s="50" t="n"/>
      <c r="D169" s="50" t="n"/>
    </row>
    <row r="170">
      <c r="A170" s="50" t="n"/>
      <c r="B170" s="50" t="n"/>
      <c r="C170" s="50" t="n"/>
      <c r="D170" s="50" t="n"/>
    </row>
  </sheetData>
  <mergeCells count="28">
    <mergeCell ref="A99:C99"/>
    <mergeCell ref="A41:C41"/>
    <mergeCell ref="A50:C50"/>
    <mergeCell ref="A57:C57"/>
    <mergeCell ref="A95:C95"/>
    <mergeCell ref="A2:C2"/>
    <mergeCell ref="A76:C76"/>
    <mergeCell ref="A85:C85"/>
    <mergeCell ref="A22:C22"/>
    <mergeCell ref="A97:C97"/>
    <mergeCell ref="A29:C29"/>
    <mergeCell ref="A4:C4"/>
    <mergeCell ref="A20:C20"/>
    <mergeCell ref="A103:D103"/>
    <mergeCell ref="A13:C13"/>
    <mergeCell ref="A31:C31"/>
    <mergeCell ref="A67:C67"/>
    <mergeCell ref="A39:C39"/>
    <mergeCell ref="A59:C59"/>
    <mergeCell ref="A48:C48"/>
    <mergeCell ref="A98:C98"/>
    <mergeCell ref="A11:C11"/>
    <mergeCell ref="A1:C1"/>
    <mergeCell ref="A105:D105"/>
    <mergeCell ref="A101:D101"/>
    <mergeCell ref="A78:C78"/>
    <mergeCell ref="A69:C69"/>
    <mergeCell ref="A87:C87"/>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170"/>
  <sheetViews>
    <sheetView workbookViewId="0">
      <pane ySplit="3" topLeftCell="A4" activePane="bottomLeft" state="frozen"/>
      <selection activeCell="A1" sqref="A1"/>
    </sheetView>
  </sheetViews>
  <sheetFormatPr baseColWidth="8" defaultRowHeight="15"/>
  <cols>
    <col width="12" customWidth="1" style="1" min="1" max="1"/>
    <col width="46" customWidth="1" style="1" min="2" max="2"/>
    <col width="108" customWidth="1" style="1" min="3" max="3"/>
    <col width="12" customWidth="1" style="1" min="4" max="4"/>
  </cols>
  <sheetData>
    <row r="1" ht="46" customHeight="1" s="1">
      <c r="A1" s="84" t="inlineStr">
        <is>
          <t>HYD 제조 AI  |  실전반 오프라인 정규 9회 상세 실라버스</t>
        </is>
      </c>
      <c r="D1" s="84" t="n"/>
    </row>
    <row r="2" ht="41" customHeight="1" s="1">
      <c r="A2" s="66" t="inlineStr">
        <is>
          <t>확정 편성 | 9회×240분 | 회차별 실제 수업 200분 + 휴식 40분(별도) | 이론·실습만 표기</t>
        </is>
      </c>
      <c r="D2" s="49">
        <f>SUM(D11,D20,D30,D39,D48,D58,D67,D76,D86)</f>
        <v/>
      </c>
    </row>
    <row r="3" ht="12" customHeight="1" s="1">
      <c r="A3" s="73" t="n"/>
      <c r="B3" s="73" t="n"/>
      <c r="C3" s="73" t="n"/>
      <c r="D3" s="73" t="n"/>
    </row>
    <row r="4" ht="39" customHeight="1" s="1">
      <c r="A4" s="43" t="inlineStr">
        <is>
          <t>01회차  |  설비 데이터를 공통 지식으로 설계하고 연결하기</t>
        </is>
      </c>
      <c r="D4" s="44" t="inlineStr">
        <is>
          <t>4H</t>
        </is>
      </c>
    </row>
    <row r="5" ht="29" customHeight="1" s="1">
      <c r="A5" s="49" t="inlineStr">
        <is>
          <t>구분</t>
        </is>
      </c>
      <c r="B5" s="49" t="inlineStr">
        <is>
          <t>제목</t>
        </is>
      </c>
      <c r="C5" s="49" t="inlineStr">
        <is>
          <t>상세 교육 내용</t>
        </is>
      </c>
      <c r="D5" s="49" t="inlineStr">
        <is>
          <t>시간(분)</t>
        </is>
      </c>
    </row>
    <row r="6" ht="60" customHeight="1" s="1">
      <c r="A6" s="56" t="inlineStr">
        <is>
          <t>이론</t>
        </is>
      </c>
      <c r="B6" s="55" t="inlineStr">
        <is>
          <t>온톨로지와 그래프 구조를 업무에 적용하는 원리 이해하기</t>
        </is>
      </c>
      <c r="C6" s="53" t="inlineStr">
        <is>
          <t>왜 개별 설비 수치만으로 조치할 수 없는지, 클래스·인스턴스·스키마·노드·관계·Cypher의 핵심 정의와 활용 순서를 압축 설명한다.</t>
        </is>
      </c>
      <c r="D6" s="54" t="n">
        <v>30</v>
      </c>
    </row>
    <row r="7" ht="60" customHeight="1" s="1">
      <c r="A7" s="65" t="inlineStr">
        <is>
          <t>실습</t>
        </is>
      </c>
      <c r="B7" s="62" t="inlineStr">
        <is>
          <t>설비 이상을 지식 관계도로 직접 표현하기</t>
        </is>
      </c>
      <c r="C7" s="60" t="inlineStr">
        <is>
          <t>arrows.app에서 설비·센서·증상·원인·조치의 의미 관계를 작성하고 속성·방향을 확인한다. 만든 관계도를 이후 스키마 작성의 참고 자료로 쓴다.</t>
        </is>
      </c>
      <c r="D7" s="61" t="n">
        <v>40</v>
      </c>
    </row>
    <row r="8" ht="60" customHeight="1" s="1">
      <c r="A8" s="64" t="inlineStr">
        <is>
          <t>실습</t>
        </is>
      </c>
      <c r="B8" s="55" t="inlineStr">
        <is>
          <t>설비·부품·센서의 공통 모델 설계하기</t>
        </is>
      </c>
      <c r="C8" s="53" t="inlineStr">
        <is>
          <t>VS Code·Claude Code에서 고유 식별자·자료형·필수 속성·관계 방향을 포함한 schema.json과 인스턴스를 구성한다. 공유 부품과 복수 센서 사례를 추가한다.</t>
        </is>
      </c>
      <c r="D8" s="54" t="n">
        <v>40</v>
      </c>
    </row>
    <row r="9" ht="60" customHeight="1" s="1">
      <c r="A9" s="65" t="inlineStr">
        <is>
          <t>실습</t>
        </is>
      </c>
      <c r="B9" s="62" t="inlineStr">
        <is>
          <t>설계한 관계를 그래프 DB에 구현하기</t>
        </is>
      </c>
      <c r="C9" s="60" t="inlineStr">
        <is>
          <t>Neo4j에 Cypher로 노드·관계를 적재하고 MATCH/WHERE/RETURN으로 원인·설비·부품을 조회한다. 제공 기준 그래프와 랩 그래프를 혼동하지 않는다.</t>
        </is>
      </c>
      <c r="D9" s="61" t="n">
        <v>45</v>
      </c>
    </row>
    <row r="10" ht="60" customHeight="1" s="1">
      <c r="A10" s="64" t="inlineStr">
        <is>
          <t>실습</t>
        </is>
      </c>
      <c r="B10" s="55" t="inlineStr">
        <is>
          <t>실제 지식 구조와 비교해 설계 개선하기</t>
        </is>
      </c>
      <c r="C10" s="53" t="inlineStr">
        <is>
          <t>HYD 포털 지식 지도와 학생 모델을 비교해 공용 부품·복수 관계·중복 식별자 등 실제 제약을 반영한다. 만든 스키마 파일을 수정·보존한다.</t>
        </is>
      </c>
      <c r="D10" s="54" t="n">
        <v>45</v>
      </c>
    </row>
    <row r="11" ht="29" customHeight="1" s="1">
      <c r="A11" s="66" t="inlineStr">
        <is>
          <t>회차 합계 (실제 수업·휴식 별도)</t>
        </is>
      </c>
      <c r="D11" s="49">
        <f>SUM(D6:D10)</f>
        <v/>
      </c>
    </row>
    <row r="12" ht="36" customHeight="1" s="1">
      <c r="A12" s="74" t="n"/>
      <c r="B12" s="74" t="n"/>
      <c r="C12" s="74" t="n"/>
      <c r="D12" s="72" t="n"/>
    </row>
    <row r="13" ht="39" customHeight="1" s="1">
      <c r="A13" s="44" t="inlineStr">
        <is>
          <t>02회차  |  작업 조건과 성과를 함께 고려하는 판단 기능 만들기</t>
        </is>
      </c>
      <c r="D13" s="44" t="inlineStr">
        <is>
          <t>4H</t>
        </is>
      </c>
    </row>
    <row r="14" ht="29" customHeight="1" s="1">
      <c r="A14" s="49" t="inlineStr">
        <is>
          <t>구분</t>
        </is>
      </c>
      <c r="B14" s="49" t="inlineStr">
        <is>
          <t>제목</t>
        </is>
      </c>
      <c r="C14" s="49" t="inlineStr">
        <is>
          <t>상세 교육 내용</t>
        </is>
      </c>
      <c r="D14" s="49" t="inlineStr">
        <is>
          <t>시간(분)</t>
        </is>
      </c>
    </row>
    <row r="15" ht="60" customHeight="1" s="1">
      <c r="A15" s="56" t="inlineStr">
        <is>
          <t>이론</t>
        </is>
      </c>
      <c r="B15" s="55" t="inlineStr">
        <is>
          <t>조치 절차·판단 규칙·성과 목표의 차이 이해하기</t>
        </is>
      </c>
      <c r="C15" s="53" t="inlineStr">
        <is>
          <t>SOP 단계와 안전 조건, DMN 결정표, BSC/KPI와 What-if의 정의 및 관계를 압축 설명한다.</t>
        </is>
      </c>
      <c r="D15" s="54" t="n">
        <v>30</v>
      </c>
    </row>
    <row r="16" ht="60" customHeight="1" s="1">
      <c r="A16" s="65" t="inlineStr">
        <is>
          <t>실습</t>
        </is>
      </c>
      <c r="B16" s="62" t="inlineStr">
        <is>
          <t>기존 지식 구조에 작업 절차 연결하기</t>
        </is>
      </c>
      <c r="C16" s="60" t="inlineStr">
        <is>
          <t>전날 작성한 그래프에 제공 SOP의 작업 전제·금지 조건·완료 기준을 조치·고장 유형과 연결해 조회한다.</t>
        </is>
      </c>
      <c r="D16" s="61" t="n">
        <v>40</v>
      </c>
    </row>
    <row r="17" ht="60" customHeight="1" s="1">
      <c r="A17" s="64" t="inlineStr">
        <is>
          <t>실습</t>
        </is>
      </c>
      <c r="B17" s="55" t="inlineStr">
        <is>
          <t>복합 조건의 판단 기준 작성하기</t>
        </is>
      </c>
      <c r="C17" s="53" t="inlineStr">
        <is>
          <t>온도·압력·설비 상태가 동시에 걸리는 결정을 DMN 형태로 작성하고 조건 충돌·경계값·금지 우선순위를 표시한다.</t>
        </is>
      </c>
      <c r="D17" s="54" t="n">
        <v>45</v>
      </c>
    </row>
    <row r="18" ht="60" customHeight="1" s="1">
      <c r="A18" s="65" t="inlineStr">
        <is>
          <t>실습</t>
        </is>
      </c>
      <c r="B18" s="62" t="inlineStr">
        <is>
          <t>조치 허용·제외 기능 실행하기</t>
        </is>
      </c>
      <c r="C18" s="60" t="inlineStr">
        <is>
          <t>결정표를 바탕으로 허용/제외와 사유를 출력하는 작은 판단 코드를 구현하고 정상·금지·경계 조합을 실행한다.</t>
        </is>
      </c>
      <c r="D18" s="61" t="n">
        <v>40</v>
      </c>
    </row>
    <row r="19" ht="60" customHeight="1" s="1">
      <c r="A19" s="64" t="inlineStr">
        <is>
          <t>실습</t>
        </is>
      </c>
      <c r="B19" s="55" t="inlineStr">
        <is>
          <t>조치의 효과를 성과 지표와 연결하기</t>
        </is>
      </c>
      <c r="C19" s="53" t="inlineStr">
        <is>
          <t>안전 제약을 통과한 조치만 BSC/KPI·예상 비용·생산 영향을 비교한다. 저렴하지만 안전 기준에 걸린 조치가 추천에서 제외되는지를 확인한다.</t>
        </is>
      </c>
      <c r="D19" s="54" t="n">
        <v>45</v>
      </c>
    </row>
    <row r="20" ht="29" customHeight="1" s="1">
      <c r="A20" s="66" t="inlineStr">
        <is>
          <t>회차 합계 (실제 수업·휴식 별도)</t>
        </is>
      </c>
      <c r="D20" s="49">
        <f>SUM(D15:D19)</f>
        <v/>
      </c>
    </row>
    <row r="21" ht="29" customHeight="1" s="1">
      <c r="A21" s="75" t="n"/>
      <c r="B21" s="75" t="n"/>
      <c r="C21" s="75" t="n"/>
      <c r="D21" s="75" t="n"/>
    </row>
    <row r="22" ht="39" customHeight="1" s="1">
      <c r="A22" s="44" t="inlineStr">
        <is>
          <t>03회차  |  매뉴얼의 지식을 검증하고 재사용 가능한 자산으로 만들기</t>
        </is>
      </c>
      <c r="D22" s="44" t="inlineStr">
        <is>
          <t>4H</t>
        </is>
      </c>
    </row>
    <row r="23" ht="29" customHeight="1" s="1">
      <c r="A23" s="49" t="inlineStr">
        <is>
          <t>구분</t>
        </is>
      </c>
      <c r="B23" s="49" t="inlineStr">
        <is>
          <t>제목</t>
        </is>
      </c>
      <c r="C23" s="49" t="inlineStr">
        <is>
          <t>상세 교육 내용</t>
        </is>
      </c>
      <c r="D23" s="49" t="inlineStr">
        <is>
          <t>시간(분)</t>
        </is>
      </c>
    </row>
    <row r="24" ht="60" customHeight="1" s="1">
      <c r="A24" s="56" t="inlineStr">
        <is>
          <t>이론</t>
        </is>
      </c>
      <c r="B24" s="55" t="inlineStr">
        <is>
          <t>현장 문서를 검증된 지식으로 전환하는 방법 이해하기</t>
        </is>
      </c>
      <c r="C24" s="53" t="inlineStr">
        <is>
          <t>매뉴얼 등록·추출·원문 대조·검토·승인·적재·출처 관리와 예시 그래프 입력의 차이를 설명한다.</t>
        </is>
      </c>
      <c r="D24" s="54" t="n">
        <v>20</v>
      </c>
    </row>
    <row r="25" ht="60" customHeight="1" s="1">
      <c r="A25" s="65" t="inlineStr">
        <is>
          <t>실습</t>
        </is>
      </c>
      <c r="B25" s="62" t="inlineStr">
        <is>
          <t>매뉴얼을 등록하고 추출 후보 확인하기</t>
        </is>
      </c>
      <c r="C25" s="60" t="inlineStr">
        <is>
          <t>HYD 포털 지식 관리에 수업용 정비 문서를 등록하고 추출된 증상·원인·조치 후보를 원문과 비교한다. 출처가 없는 후보는 보류한다.</t>
        </is>
      </c>
      <c r="D25" s="61" t="n">
        <v>40</v>
      </c>
    </row>
    <row r="26" ht="60" customHeight="1" s="1">
      <c r="A26" s="64" t="inlineStr">
        <is>
          <t>실습</t>
        </is>
      </c>
      <c r="B26" s="55" t="inlineStr">
        <is>
          <t>예외 조건을 포함해 지식 추출하기</t>
        </is>
      </c>
      <c r="C26" s="53" t="inlineStr">
        <is>
          <t>VS Code·Claude Code로 표·단위·금지 조건·작업 순서를 JSON으로 추출하고 문서 ID·페이지·인용을 보존한다.</t>
        </is>
      </c>
      <c r="D26" s="54" t="n">
        <v>40</v>
      </c>
    </row>
    <row r="27" ht="60" customHeight="1" s="1">
      <c r="A27" s="65" t="inlineStr">
        <is>
          <t>실습</t>
        </is>
      </c>
      <c r="B27" s="62" t="inlineStr">
        <is>
          <t>검토 완료된 지식만 그래프에 반영하기</t>
        </is>
      </c>
      <c r="C27" s="60" t="inlineStr">
        <is>
          <t>승인된 지식 후보를 기존 교육용 Neo4j 스키마에 맞춰 적재한다. 중복 식별자, 잘못된 연결·출처를 점검한다.</t>
        </is>
      </c>
      <c r="D27" s="61" t="n">
        <v>35</v>
      </c>
    </row>
    <row r="28" ht="60" customHeight="1" s="1">
      <c r="A28" s="64" t="inlineStr">
        <is>
          <t>실습</t>
        </is>
      </c>
      <c r="B28" s="55" t="inlineStr">
        <is>
          <t>개정 자료를 반영하고 근거 확인하기</t>
        </is>
      </c>
      <c r="C28" s="53" t="inlineStr">
        <is>
          <t>정비 조건 한 건의 개정 전·후를 식별해 관계/출처가 함께 남는지 확인하고 기존 지식과의 충돌을 정리한다.</t>
        </is>
      </c>
      <c r="D28" s="54" t="n">
        <v>35</v>
      </c>
    </row>
    <row r="29" ht="60" customHeight="1" s="1">
      <c r="A29" s="63" t="inlineStr">
        <is>
          <t>이론</t>
        </is>
      </c>
      <c r="B29" s="62" t="inlineStr">
        <is>
          <t>온톨로지와 판단 지식의 전체 흐름 정리하기 — Wrap-up</t>
        </is>
      </c>
      <c r="C29" s="60" t="inlineStr">
        <is>
          <t>WHY→모델→그래프→SOP·DMN→BSC·KPI→인제스천 및 다음 에이전트 활용 연결을 복습한다. 새 실습 없음.</t>
        </is>
      </c>
      <c r="D29" s="61" t="n">
        <v>30</v>
      </c>
    </row>
    <row r="30" ht="29" customHeight="1" s="1">
      <c r="A30" s="66" t="inlineStr">
        <is>
          <t>회차 합계 (실제 수업·휴식 별도)</t>
        </is>
      </c>
      <c r="D30" s="49">
        <f>SUM(D24:D29)</f>
        <v/>
      </c>
    </row>
    <row r="31">
      <c r="A31" s="50" t="n"/>
      <c r="B31" s="50" t="n"/>
      <c r="C31" s="50" t="n"/>
      <c r="D31" s="50" t="n"/>
    </row>
    <row r="32" ht="39" customHeight="1" s="1">
      <c r="A32" s="43" t="inlineStr">
        <is>
          <t>04회차  |  다양한 정보를 활용해 업무 문제를 해결하는 AI 만들기</t>
        </is>
      </c>
      <c r="D32" s="44" t="inlineStr">
        <is>
          <t>4H</t>
        </is>
      </c>
    </row>
    <row r="33" ht="29" customHeight="1" s="1">
      <c r="A33" s="49" t="inlineStr">
        <is>
          <t>구분</t>
        </is>
      </c>
      <c r="B33" s="49" t="inlineStr">
        <is>
          <t>제목</t>
        </is>
      </c>
      <c r="C33" s="49" t="inlineStr">
        <is>
          <t>상세 교육 내용</t>
        </is>
      </c>
      <c r="D33" s="49" t="inlineStr">
        <is>
          <t>시간(분)</t>
        </is>
      </c>
    </row>
    <row r="34" ht="60" customHeight="1" s="1">
      <c r="A34" s="56" t="inlineStr">
        <is>
          <t>이론</t>
        </is>
      </c>
      <c r="B34" s="55" t="inlineStr">
        <is>
          <t>AI 에이전트의 목표·추론·도구 실행 구조 이해하기</t>
        </is>
      </c>
      <c r="C34" s="53" t="inlineStr">
        <is>
          <t>LLM·RAG·Agent의 차이, 근거·도구 호출·실행·종료, 온톨로지·DB 재사용 원리와 실패 시 기록을 설명한다.</t>
        </is>
      </c>
      <c r="D34" s="54" t="n">
        <v>30</v>
      </c>
    </row>
    <row r="35" ht="60" customHeight="1" s="1">
      <c r="A35" s="65" t="inlineStr">
        <is>
          <t>실습</t>
        </is>
      </c>
      <c r="B35" s="62" t="inlineStr">
        <is>
          <t>나의 업무 에이전트 직접 구성하기</t>
        </is>
      </c>
      <c r="C35" s="60" t="inlineStr">
        <is>
          <t>HYD 포털에서 학생 에이전트를 만들고 목표·도구를 지정하여 질문·근거·실행 결과를 확인한다.</t>
        </is>
      </c>
      <c r="D35" s="61" t="n">
        <v>20</v>
      </c>
    </row>
    <row r="36" ht="60" customHeight="1" s="1">
      <c r="A36" s="64" t="inlineStr">
        <is>
          <t>실습</t>
        </is>
      </c>
      <c r="B36" s="55" t="inlineStr">
        <is>
          <t>설비의 원인과 점검 순서를 추론하기</t>
        </is>
      </c>
      <c r="C36" s="53" t="inlineStr">
        <is>
          <t>기존 온톨로지·SOP·센서 데이터로 후보 고장 원인과 다음 점검 순서를 제시하는 에이전트를 직접 구현한다.</t>
        </is>
      </c>
      <c r="D36" s="54" t="n">
        <v>50</v>
      </c>
    </row>
    <row r="37" ht="60" customHeight="1" s="1">
      <c r="A37" s="65" t="inlineStr">
        <is>
          <t>실습</t>
        </is>
      </c>
      <c r="B37" s="62" t="inlineStr">
        <is>
          <t>복합 조건으로 판단 기능 확장하기</t>
        </is>
      </c>
      <c r="C37" s="60" t="inlineStr">
        <is>
          <t>서로 충돌하는 센서 증거·입력 누락·품질 이슈가 섞인 경우를 적용한다. 가설과 확정 근거를 나누고 필요한 추가 점검을 선택한다.</t>
        </is>
      </c>
      <c r="D37" s="61" t="n">
        <v>50</v>
      </c>
    </row>
    <row r="38" ht="60" customHeight="1" s="1">
      <c r="A38" s="64" t="inlineStr">
        <is>
          <t>실습</t>
        </is>
      </c>
      <c r="B38" s="55" t="inlineStr">
        <is>
          <t>여러 출처의 정보를 연결해 하나의 업무 결정을 지원하기</t>
        </is>
      </c>
      <c r="C38" s="53" t="inlineStr">
        <is>
          <t>데이터 패브릭 관점으로 설비·정비 이력·부품 자료를 조합한다. 실제 연결 가능한 읽기 도구 또는 제공 샘플을 통해 점검 조치와 필요 부품·업무 요청을 묶어 출력한다.</t>
        </is>
      </c>
      <c r="D38" s="54" t="n">
        <v>50</v>
      </c>
    </row>
    <row r="39" ht="29" customHeight="1" s="1">
      <c r="A39" s="66" t="inlineStr">
        <is>
          <t>회차 합계 (실제 수업·휴식 별도)</t>
        </is>
      </c>
      <c r="D39" s="49">
        <f>SUM(D34:D38)</f>
        <v/>
      </c>
    </row>
    <row r="40">
      <c r="A40" s="50" t="n"/>
      <c r="B40" s="50" t="n"/>
      <c r="C40" s="50" t="n"/>
      <c r="D40" s="50" t="n"/>
    </row>
    <row r="41" ht="39" customHeight="1" s="1">
      <c r="A41" s="43" t="inlineStr">
        <is>
          <t>05회차  |  업무 지침과 외부 도구를 조합해 자동화하기</t>
        </is>
      </c>
      <c r="D41" s="44" t="inlineStr">
        <is>
          <t>4H</t>
        </is>
      </c>
    </row>
    <row r="42" ht="29" customHeight="1" s="1">
      <c r="A42" s="49" t="inlineStr">
        <is>
          <t>구분</t>
        </is>
      </c>
      <c r="B42" s="49" t="inlineStr">
        <is>
          <t>제목</t>
        </is>
      </c>
      <c r="C42" s="49" t="inlineStr">
        <is>
          <t>상세 교육 내용</t>
        </is>
      </c>
      <c r="D42" s="49" t="inlineStr">
        <is>
          <t>시간(분)</t>
        </is>
      </c>
    </row>
    <row r="43" ht="60" customHeight="1" s="1">
      <c r="A43" s="56" t="inlineStr">
        <is>
          <t>이론</t>
        </is>
      </c>
      <c r="B43" s="55" t="inlineStr">
        <is>
          <t>업무 지침과 여러 연결 도구의 차이 이해하기</t>
        </is>
      </c>
      <c r="C43" s="53" t="inlineStr">
        <is>
          <t>SKILL.md·SOP 차이, MCP Host·Client·Server·Tool·권한·입출력·실패 처리의 핵심을 설명한다.</t>
        </is>
      </c>
      <c r="D43" s="54" t="n">
        <v>30</v>
      </c>
    </row>
    <row r="44" ht="60" customHeight="1" s="1">
      <c r="A44" s="65" t="inlineStr">
        <is>
          <t>실습</t>
        </is>
      </c>
      <c r="B44" s="62" t="inlineStr">
        <is>
          <t>기존 업무 도구의 호출 결과 확인하기</t>
        </is>
      </c>
      <c r="C44" s="60" t="inlineStr">
        <is>
          <t>HYD 포털에서 업무 MCP 읽기 도구의 연결 검사·호출 결과를 확인한다. 수강생 도구 등록은 허용된 읽기 범위에서 시험한다.</t>
        </is>
      </c>
      <c r="D44" s="61" t="n">
        <v>20</v>
      </c>
    </row>
    <row r="45" ht="60" customHeight="1" s="1">
      <c r="A45" s="64" t="inlineStr">
        <is>
          <t>실습</t>
        </is>
      </c>
      <c r="B45" s="55" t="inlineStr">
        <is>
          <t>여러 MCP 서버를 직접 연결하고 조합하기</t>
        </is>
      </c>
      <c r="C45" s="53" t="inlineStr">
        <is>
          <t>VS Code·Claude Code에서 파일시스템·Git·시간 서버를 각각 연결하고 파일 정보·변경 기록·시간을 묶는 호출을 실습한다. 실패와 접근 권한을 확인한다.</t>
        </is>
      </c>
      <c r="D45" s="54" t="n">
        <v>50</v>
      </c>
    </row>
    <row r="46" ht="60" customHeight="1" s="1">
      <c r="A46" s="65" t="inlineStr">
        <is>
          <t>실습</t>
        </is>
      </c>
      <c r="B46" s="62" t="inlineStr">
        <is>
          <t>회의 내용을 후속 업무로 전환하는 스킬 제작하기</t>
        </is>
      </c>
      <c r="C46" s="60" t="inlineStr">
        <is>
          <t>SKILL.md를 작성하고 회의록의 결정사항·담당자·기한을 구조화해 Markdown 업무 목록을 만든다.</t>
        </is>
      </c>
      <c r="D46" s="61" t="n">
        <v>50</v>
      </c>
    </row>
    <row r="47" ht="60" customHeight="1" s="1">
      <c r="A47" s="64" t="inlineStr">
        <is>
          <t>실습</t>
        </is>
      </c>
      <c r="B47" s="55" t="inlineStr">
        <is>
          <t>복합 조건에서도 일관된 결과 만들기</t>
        </is>
      </c>
      <c r="C47" s="53" t="inlineStr">
        <is>
          <t>담당자 중복·기한 미정·기존 작업과의 중복을 처리하는 지침을 추가한다. 실제 도구 접근 실패 시 미확정 작업을 표시하고 실행 결과를 보완한다.</t>
        </is>
      </c>
      <c r="D47" s="54" t="n">
        <v>50</v>
      </c>
    </row>
    <row r="48" ht="29" customHeight="1" s="1">
      <c r="A48" s="66" t="inlineStr">
        <is>
          <t>회차 합계 (실제 수업·휴식 별도)</t>
        </is>
      </c>
      <c r="D48" s="49">
        <f>SUM(D43:D47)</f>
        <v/>
      </c>
    </row>
    <row r="49">
      <c r="A49" s="50" t="n"/>
      <c r="B49" s="50" t="n"/>
      <c r="C49" s="50" t="n"/>
      <c r="D49" s="50" t="n"/>
    </row>
    <row r="50" ht="39" customHeight="1" s="1">
      <c r="A50" s="43" t="inlineStr">
        <is>
          <t>06회차  |  요구사항이 변해도 안전하게 작동하는 AI 완성하기</t>
        </is>
      </c>
      <c r="D50" s="44" t="inlineStr">
        <is>
          <t>4H</t>
        </is>
      </c>
    </row>
    <row r="51" ht="29" customHeight="1" s="1">
      <c r="A51" s="49" t="inlineStr">
        <is>
          <t>구분</t>
        </is>
      </c>
      <c r="B51" s="49" t="inlineStr">
        <is>
          <t>제목</t>
        </is>
      </c>
      <c r="C51" s="49" t="inlineStr">
        <is>
          <t>상세 교육 내용</t>
        </is>
      </c>
      <c r="D51" s="49" t="inlineStr">
        <is>
          <t>시간(분)</t>
        </is>
      </c>
    </row>
    <row r="52" ht="60" customHeight="1" s="1">
      <c r="A52" s="56" t="inlineStr">
        <is>
          <t>이론</t>
        </is>
      </c>
      <c r="B52" s="55" t="inlineStr">
        <is>
          <t>사람 승인과 요구사항 기반 검증의 핵심 이해하기</t>
        </is>
      </c>
      <c r="C52" s="53" t="inlineStr">
        <is>
          <t>HITL의 승인·보류·거절, SDD 입력/출력·불변 조건, BDD의 Given/When/Then을 같은 업무 에이전트 예제로 연결한다.</t>
        </is>
      </c>
      <c r="D52" s="54" t="n">
        <v>30</v>
      </c>
    </row>
    <row r="53" ht="60" customHeight="1" s="1">
      <c r="A53" s="65" t="inlineStr">
        <is>
          <t>실습</t>
        </is>
      </c>
      <c r="B53" s="62" t="inlineStr">
        <is>
          <t>사람의 승인과 보류 상태 확인하기</t>
        </is>
      </c>
      <c r="C53" s="60" t="inlineStr">
        <is>
          <t>포털의 기존 처리 건에서 사람 승인 대기·권한 제한을 확인하고 AI의 자체 검토와 구분한다.</t>
        </is>
      </c>
      <c r="D53" s="61" t="n">
        <v>10</v>
      </c>
    </row>
    <row r="54" ht="60" customHeight="1" s="1">
      <c r="A54" s="64" t="inlineStr">
        <is>
          <t>실습</t>
        </is>
      </c>
      <c r="B54" s="55" t="inlineStr">
        <is>
          <t>필요한 정보를 확인한 후 작업 재개하기</t>
        </is>
      </c>
      <c r="C54" s="53" t="inlineStr">
        <is>
          <t>기존 요청 에이전트에 필수 정보 누락 시 보류→추가 질문→응답 반영→재개를 구현한다.</t>
        </is>
      </c>
      <c r="D54" s="54" t="n">
        <v>30</v>
      </c>
    </row>
    <row r="55" ht="60" customHeight="1" s="1">
      <c r="A55" s="65" t="inlineStr">
        <is>
          <t>실습</t>
        </is>
      </c>
      <c r="B55" s="62" t="inlineStr">
        <is>
          <t>새로운 요구사항을 추가해도 기존 기능 유지하기</t>
        </is>
      </c>
      <c r="C55" s="60" t="inlineStr">
        <is>
          <t>기존 일반 정비 요청에 긴급 요청 조건을 추가한다. 사전 확인된 계약 변화 예제로 실패를 살펴본 뒤 spec.md를 보완하고 기존 출력·승인 기준을 보존하도록 수정한다.</t>
        </is>
      </c>
      <c r="D55" s="61" t="n">
        <v>50</v>
      </c>
    </row>
    <row r="56" ht="60" customHeight="1" s="1">
      <c r="A56" s="64" t="inlineStr">
        <is>
          <t>실습</t>
        </is>
      </c>
      <c r="B56" s="55" t="inlineStr">
        <is>
          <t>복합·예외 조건까지 실제 동작 검증하기</t>
        </is>
      </c>
      <c r="C56" s="53" t="inlineStr">
        <is>
          <t>정상·긴급·복합·정보 누락·거절·도구 실패를 Given/When/Then으로 실행하고 실패 수정 후 기존 요청까지 회귀 검증한다.</t>
        </is>
      </c>
      <c r="D56" s="54" t="n">
        <v>50</v>
      </c>
    </row>
    <row r="57" ht="60" customHeight="1" s="1">
      <c r="A57" s="63" t="inlineStr">
        <is>
          <t>이론</t>
        </is>
      </c>
      <c r="B57" s="62" t="inlineStr">
        <is>
          <t>에이전트 제작과 검증 과정 정리하기 — Wrap-up</t>
        </is>
      </c>
      <c r="C57" s="60" t="inlineStr">
        <is>
          <t>Agent·Skill·MCP·HITL·SDD·BDD의 가치와 산출물, 다음 프로세스 활용 연결을 복습한다. 신규 실습 없음.</t>
        </is>
      </c>
      <c r="D57" s="61" t="n">
        <v>30</v>
      </c>
    </row>
    <row r="58" ht="29" customHeight="1" s="1">
      <c r="A58" s="66" t="inlineStr">
        <is>
          <t>회차 합계 (실제 수업·휴식 별도)</t>
        </is>
      </c>
      <c r="D58" s="49">
        <f>SUM(D52:D57)</f>
        <v/>
      </c>
    </row>
    <row r="59">
      <c r="A59" s="50" t="n"/>
      <c r="B59" s="50" t="n"/>
      <c r="C59" s="50" t="n"/>
      <c r="D59" s="50" t="n"/>
    </row>
    <row r="60" ht="39" customHeight="1" s="1">
      <c r="A60" s="43" t="inlineStr">
        <is>
          <t>07회차  |  다양한 업무를 연결하는 AI 프로세스 직접 만들기</t>
        </is>
      </c>
      <c r="D60" s="44" t="inlineStr">
        <is>
          <t>4H</t>
        </is>
      </c>
    </row>
    <row r="61" ht="29" customHeight="1" s="1">
      <c r="A61" s="49" t="inlineStr">
        <is>
          <t>구분</t>
        </is>
      </c>
      <c r="B61" s="49" t="inlineStr">
        <is>
          <t>제목</t>
        </is>
      </c>
      <c r="C61" s="49" t="inlineStr">
        <is>
          <t>상세 교육 내용</t>
        </is>
      </c>
      <c r="D61" s="49" t="inlineStr">
        <is>
          <t>시간(분)</t>
        </is>
      </c>
    </row>
    <row r="62" ht="60" customHeight="1" s="1">
      <c r="A62" s="56" t="inlineStr">
        <is>
          <t>이론</t>
        </is>
      </c>
      <c r="B62" s="55" t="inlineStr">
        <is>
          <t>AI와 사람이 협업하는 비즈니스 프로세스 이해하기</t>
        </is>
      </c>
      <c r="C62" s="53" t="inlineStr">
        <is>
          <t>BPM·BPMN·프로세스 오케스트레이션의 구분, 정의·인스턴스, Event·Task·Gateway·Lane, 승인·거절의 의미를 짧게 설명한다.</t>
        </is>
      </c>
      <c r="D62" s="54" t="n">
        <v>25</v>
      </c>
    </row>
    <row r="63" ht="60" customHeight="1" s="1">
      <c r="A63" s="65" t="inlineStr">
        <is>
          <t>실습</t>
        </is>
      </c>
      <c r="B63" s="62" t="inlineStr">
        <is>
          <t>업무 설계 도구로 프로세스 직접 작성하기</t>
        </is>
      </c>
      <c r="C63" s="60" t="inlineStr">
        <is>
          <t>bpmn.io의 기본 화면·팔레트·연결·속성·.bpmn 파일 저장을 익히고 작은 승인 업무 흐름을 직접 작도한다.</t>
        </is>
      </c>
      <c r="D63" s="61" t="n">
        <v>35</v>
      </c>
    </row>
    <row r="64" ht="60" customHeight="1" s="1">
      <c r="A64" s="64" t="inlineStr">
        <is>
          <t>실습</t>
        </is>
      </c>
      <c r="B64" s="55" t="inlineStr">
        <is>
          <t>설비 이상 대응 프로세스 설계하기</t>
        </is>
      </c>
      <c r="C64" s="53" t="inlineStr">
        <is>
          <t>쿨러 열화 시작→에이전트 판단→운전원 승인→PLC 조치→유온 재확인→종료를 Lane별로 작성한다.</t>
        </is>
      </c>
      <c r="D64" s="54" t="n">
        <v>45</v>
      </c>
    </row>
    <row r="65" ht="60" customHeight="1" s="1">
      <c r="A65" s="65" t="inlineStr">
        <is>
          <t>실습</t>
        </is>
      </c>
      <c r="B65" s="62" t="inlineStr">
        <is>
          <t>승인·거절·지연 조건까지 포함한 흐름 완성하기</t>
        </is>
      </c>
      <c r="C65" s="60" t="inlineStr">
        <is>
          <t>Gateway·정상/반려 End Event·승인 지연 Boundary Timer를 구성하고 거절 경로에서 설비 명령이 실행되지 않도록 확인한다.</t>
        </is>
      </c>
      <c r="D65" s="61" t="n">
        <v>45</v>
      </c>
    </row>
    <row r="66" ht="60" customHeight="1" s="1">
      <c r="A66" s="64" t="inlineStr">
        <is>
          <t>실습</t>
        </is>
      </c>
      <c r="B66" s="55" t="inlineStr">
        <is>
          <t>실제 에이전트와 시스템을 연결해 배포하기</t>
        </is>
      </c>
      <c r="C66" s="53" t="inlineStr">
        <is>
          <t>HYD 포털 BPMN 가져오기, 에이전트·승인 역할·PLC·재확인 작업 매핑, 사전 검사·등록·배포를 수행한다. 포털에 입력란이 없는 시스템 값은 제공된 mapping.json과 API 절차로 보완한다.</t>
        </is>
      </c>
      <c r="D66" s="54" t="n">
        <v>50</v>
      </c>
    </row>
    <row r="67" ht="29" customHeight="1" s="1">
      <c r="A67" s="66" t="inlineStr">
        <is>
          <t>회차 합계 (실제 수업·휴식 별도)</t>
        </is>
      </c>
      <c r="D67" s="49">
        <f>SUM(D62:D66)</f>
        <v/>
      </c>
    </row>
    <row r="68">
      <c r="A68" s="50" t="n"/>
      <c r="B68" s="50" t="n"/>
      <c r="C68" s="50" t="n"/>
      <c r="D68" s="50" t="n"/>
    </row>
    <row r="69" ht="39" customHeight="1" s="1">
      <c r="A69" s="43" t="inlineStr">
        <is>
          <t>08회차  |  설비 업무 프로세스의 실행과 안전성 검증하기</t>
        </is>
      </c>
      <c r="D69" s="44" t="inlineStr">
        <is>
          <t>4H</t>
        </is>
      </c>
    </row>
    <row r="70" ht="29" customHeight="1" s="1">
      <c r="A70" s="49" t="inlineStr">
        <is>
          <t>구분</t>
        </is>
      </c>
      <c r="B70" s="49" t="inlineStr">
        <is>
          <t>제목</t>
        </is>
      </c>
      <c r="C70" s="49" t="inlineStr">
        <is>
          <t>상세 교육 내용</t>
        </is>
      </c>
      <c r="D70" s="49" t="inlineStr">
        <is>
          <t>시간(분)</t>
        </is>
      </c>
    </row>
    <row r="71" ht="60" customHeight="1" s="1">
      <c r="A71" s="56" t="inlineStr">
        <is>
          <t>이론</t>
        </is>
      </c>
      <c r="B71" s="55" t="inlineStr">
        <is>
          <t>프로세스 실행 상태와 예외 처리 원리 이해하기</t>
        </is>
      </c>
      <c r="C71" s="53" t="inlineStr">
        <is>
          <t>승인 권한, 실행 대기·거절·지연·종료, 정의 버전과 처리 건 이력·변수 전달의 의미를 압축한다.</t>
        </is>
      </c>
      <c r="D71" s="54" t="n">
        <v>20</v>
      </c>
    </row>
    <row r="72" ht="60" customHeight="1" s="1">
      <c r="A72" s="65" t="inlineStr">
        <is>
          <t>실습</t>
        </is>
      </c>
      <c r="B72" s="62" t="inlineStr">
        <is>
          <t>실제 설비 이벤트부터 업무 완료까지 실행하기</t>
        </is>
      </c>
      <c r="C72" s="60" t="inlineStr">
        <is>
          <t>자신이 배포한 쿨러 흐름을 경보로 실행하여 에이전트→사람 승인→PLC 명령→재관측→완료를 확인한다.</t>
        </is>
      </c>
      <c r="D72" s="61" t="n">
        <v>45</v>
      </c>
    </row>
    <row r="73" ht="60" customHeight="1" s="1">
      <c r="A73" s="64" t="inlineStr">
        <is>
          <t>실습</t>
        </is>
      </c>
      <c r="B73" s="55" t="inlineStr">
        <is>
          <t>승인 거절·지연·권한 제한 검증하기</t>
        </is>
      </c>
      <c r="C73" s="53" t="inlineStr">
        <is>
          <t>사전 제공된 역할·상태에서 권한 없는 계정의 승인 제한, 거절 시 조치 차단, 시간 경과 시 지연 알림과 대기 상태 유지 등을 비교한다.</t>
        </is>
      </c>
      <c r="D73" s="54" t="n">
        <v>45</v>
      </c>
    </row>
    <row r="74" ht="60" customHeight="1" s="1">
      <c r="A74" s="65" t="inlineStr">
        <is>
          <t>실습</t>
        </is>
      </c>
      <c r="B74" s="62" t="inlineStr">
        <is>
          <t>잘못된 프로세스 설정을 수정하기</t>
        </is>
      </c>
      <c r="C74" s="60" t="inlineStr">
        <is>
          <t>준비된 누락된 작업 부품·Gateway 분기 조건을 가져오기 사전 검사로 확인하고 수정한다. 존재하지 않는 오류를 임의로 가정하지 않는다.</t>
        </is>
      </c>
      <c r="D74" s="61" t="n">
        <v>45</v>
      </c>
    </row>
    <row r="75" ht="60" customHeight="1" s="1">
      <c r="A75" s="64" t="inlineStr">
        <is>
          <t>실습</t>
        </is>
      </c>
      <c r="B75" s="55" t="inlineStr">
        <is>
          <t>개선한 흐름을 재배포하고 안전한 실행 확인하기</t>
        </is>
      </c>
      <c r="C75" s="53" t="inlineStr">
        <is>
          <t>수정 후 재검사·배포하여 승인·반려 결과를 확인하고 마지막에는 기준 흐름으로 되돌린다. 저장한 .bpmn·매핑·처리 결과를 비교 근거로 보존한다.</t>
        </is>
      </c>
      <c r="D75" s="54" t="n">
        <v>45</v>
      </c>
    </row>
    <row r="76" ht="29" customHeight="1" s="1">
      <c r="A76" s="66" t="inlineStr">
        <is>
          <t>회차 합계 (실제 수업·휴식 별도)</t>
        </is>
      </c>
      <c r="D76" s="49">
        <f>SUM(D71:D75)</f>
        <v/>
      </c>
    </row>
    <row r="77">
      <c r="A77" s="50" t="n"/>
      <c r="B77" s="50" t="n"/>
      <c r="C77" s="50" t="n"/>
      <c r="D77" s="50" t="n"/>
    </row>
    <row r="78" ht="39" customHeight="1" s="1">
      <c r="A78" s="43" t="inlineStr">
        <is>
          <t>09회차  |  정비와 구매 업무를 실제 프로세스로 확장하기</t>
        </is>
      </c>
      <c r="D78" s="44" t="inlineStr">
        <is>
          <t>4H</t>
        </is>
      </c>
    </row>
    <row r="79" ht="29" customHeight="1" s="1">
      <c r="A79" s="49" t="inlineStr">
        <is>
          <t>구분</t>
        </is>
      </c>
      <c r="B79" s="49" t="inlineStr">
        <is>
          <t>제목</t>
        </is>
      </c>
      <c r="C79" s="49" t="inlineStr">
        <is>
          <t>상세 교육 내용</t>
        </is>
      </c>
      <c r="D79" s="49" t="inlineStr">
        <is>
          <t>시간(분)</t>
        </is>
      </c>
    </row>
    <row r="80" ht="60" customHeight="1" s="1">
      <c r="A80" s="56" t="inlineStr">
        <is>
          <t>이론</t>
        </is>
      </c>
      <c r="B80" s="55" t="inlineStr">
        <is>
          <t>다양한 기업 업무에 프로세스 적용하기</t>
        </is>
      </c>
      <c r="C80" s="53" t="inlineStr">
        <is>
          <t>설비 제어와 정비·구매가 다른 시작 이벤트·승인자·시스템·완료 결과를 가진다는 점을 설명한다. 세 프로세스의 공통 패턴을 재사용한다.</t>
        </is>
      </c>
      <c r="D80" s="54" t="n">
        <v>20</v>
      </c>
    </row>
    <row r="81" ht="60" customHeight="1" s="1">
      <c r="A81" s="65" t="inlineStr">
        <is>
          <t>실습</t>
        </is>
      </c>
      <c r="B81" s="62" t="inlineStr">
        <is>
          <t>정기 점검 프로세스 직접 설계하기</t>
        </is>
      </c>
      <c r="C81" s="60" t="inlineStr">
        <is>
          <t>bpmn.io에서 정비 도래→정비 계획 에이전트→설비보전팀장 승인/반려→CMMS 작업지시→생산팀 공지→종료를 그린다.</t>
        </is>
      </c>
      <c r="D81" s="61" t="n">
        <v>40</v>
      </c>
    </row>
    <row r="82" ht="60" customHeight="1" s="1">
      <c r="A82" s="64" t="inlineStr">
        <is>
          <t>실습</t>
        </is>
      </c>
      <c r="B82" s="55" t="inlineStr">
        <is>
          <t>정비 프로세스 실행 및 승인 조건 검증하기</t>
        </is>
      </c>
      <c r="C82" s="53" t="inlineStr">
        <is>
          <t>HYD에 정비 흐름을 연결·검사·배포하고 정기 점검 이벤트로 실행한다. 승인 시 오더·공지, 반려 시 오더 미생성을 확인한다.</t>
        </is>
      </c>
      <c r="D82" s="54" t="n">
        <v>35</v>
      </c>
    </row>
    <row r="83" ht="60" customHeight="1" s="1">
      <c r="A83" s="65" t="inlineStr">
        <is>
          <t>실습</t>
        </is>
      </c>
      <c r="B83" s="62" t="inlineStr">
        <is>
          <t>재고 보충 프로세스 직접 설계하기</t>
        </is>
      </c>
      <c r="C83" s="60" t="inlineStr">
        <is>
          <t>bpmn.io에서 재고 부족→구매 에이전트→구매 담당 승인/반려→ERP 발주→공급사 통지→입고 반영→종료를 작성한다.</t>
        </is>
      </c>
      <c r="D83" s="61" t="n">
        <v>40</v>
      </c>
    </row>
    <row r="84" ht="60" customHeight="1" s="1">
      <c r="A84" s="64" t="inlineStr">
        <is>
          <t>실습</t>
        </is>
      </c>
      <c r="B84" s="55" t="inlineStr">
        <is>
          <t>구매 프로세스 실행 및 처리 조건 검증하기</t>
        </is>
      </c>
      <c r="C84" s="53" t="inlineStr">
        <is>
          <t>HYD에 구매 흐름을 연결·배포해 재고 보충 이벤트로 실행하고 발주·통지·시뮬레이션상 입고·재고 반영을 확인한다. 반려 시 발주 차단도 확인한다.</t>
        </is>
      </c>
      <c r="D84" s="54" t="n">
        <v>35</v>
      </c>
    </row>
    <row r="85" ht="60" customHeight="1" s="1">
      <c r="A85" s="63" t="inlineStr">
        <is>
          <t>이론</t>
        </is>
      </c>
      <c r="B85" s="62" t="inlineStr">
        <is>
          <t>AI와 사람·기업 시스템이 협력하는 프로세스 전체 정리하기 — Wrap-up</t>
        </is>
      </c>
      <c r="C85" s="60" t="inlineStr">
        <is>
          <t>온톨로지·SOP·DMN·업무 DB→에이전트·Skill·MCP→BPMN→승인·기업 시스템 업무 실행의 통합 흐름을 복습한다. 신규 실습 없음.</t>
        </is>
      </c>
      <c r="D85" s="61" t="n">
        <v>30</v>
      </c>
    </row>
    <row r="86" ht="29" customHeight="1" s="1">
      <c r="A86" s="66" t="inlineStr">
        <is>
          <t>회차 합계 (실제 수업·휴식 별도)</t>
        </is>
      </c>
      <c r="D86" s="49">
        <f>SUM(D80:D85)</f>
        <v/>
      </c>
    </row>
    <row r="87">
      <c r="A87" s="50" t="n"/>
      <c r="B87" s="50" t="n"/>
      <c r="C87" s="50" t="n"/>
      <c r="D87" s="50" t="n"/>
    </row>
    <row r="88" ht="36" customHeight="1" s="1">
      <c r="A88" s="43" t="inlineStr">
        <is>
          <t>전체 수업 합계 (휴식 제외)</t>
        </is>
      </c>
      <c r="D88" s="44">
        <f>SUM(D11,D20,D30,D39,D48,D58,D67,D76,D86)</f>
        <v/>
      </c>
    </row>
    <row r="89" ht="30" customHeight="1" s="1">
      <c r="A89" s="120" t="inlineStr">
        <is>
          <t>휴식 시간 (회차별 40분 × 9회)</t>
        </is>
      </c>
      <c r="D89" s="120">
        <f>40*9</f>
        <v/>
      </c>
    </row>
    <row r="90" ht="30" customHeight="1" s="1">
      <c r="A90" s="120" t="inlineStr">
        <is>
          <t>총 운영 시간 (수업 + 휴식)</t>
        </is>
      </c>
      <c r="D90" s="120">
        <f>D88+D89</f>
        <v/>
      </c>
    </row>
    <row r="91">
      <c r="A91" s="50" t="n"/>
      <c r="B91" s="50" t="n"/>
      <c r="C91" s="50" t="n"/>
      <c r="D91" s="50" t="n"/>
    </row>
    <row r="92" ht="50" customHeight="1" s="1">
      <c r="A92" s="69" t="inlineStr">
        <is>
          <t>운영 유의: HYD BPMN은 포털의 일부 시스템 단계 설정 칸이 부족하여 제공 mapping.json·검증된 API 절차가 필요할 수 있음. 공용 서버에 여러 학생이 동시에 배포하면 마지막 배포 흐름이 경보를 수신하므로 학생별 환경 또는 순차 진행 필요.</t>
        </is>
      </c>
    </row>
    <row r="93">
      <c r="A93" s="50" t="n"/>
      <c r="B93" s="50" t="n"/>
      <c r="C93" s="50" t="n"/>
      <c r="D93" s="50" t="n"/>
    </row>
    <row r="94" ht="50" customHeight="1" s="1">
      <c r="A94" s="69" t="inlineStr">
        <is>
          <t>실습 사전검증: 외부 MCP(파일시스템·Git·시간) 설치·권한·접속, Notion 쓰기 권한, SDD 기능 변경 실패 재현 입력, 오프라인 수강생 실행 시간은 미실측이므로 강사 리허설 필요. 지원되지 않는 업무 기능은 실제 구현 완료로 표기하지 않음.</t>
        </is>
      </c>
    </row>
    <row r="95">
      <c r="A95" s="50" t="n"/>
      <c r="B95" s="50" t="n"/>
      <c r="C95" s="50" t="n"/>
      <c r="D95" s="50" t="n"/>
    </row>
    <row r="96" ht="50" customHeight="1" s="1">
      <c r="A96" s="69" t="inlineStr">
        <is>
          <t>HYD 근거: https://github.com/uengine-oss/hyd-iot-edu/tree/claude/hyd-handoff-work-xziutz/students/flows · https://github.com/uengine-oss/hyd-iot-edu/blob/claude/hyd-handoff-work-xziutz/docs/handoff/verification/2026-10-10/final-verify.md</t>
        </is>
      </c>
    </row>
    <row r="97">
      <c r="A97" s="50" t="n"/>
      <c r="B97" s="50" t="n"/>
      <c r="C97" s="50" t="n"/>
      <c r="D97" s="50" t="n"/>
    </row>
    <row r="98">
      <c r="A98" s="50" t="n"/>
      <c r="B98" s="50" t="n"/>
      <c r="C98" s="50" t="n"/>
      <c r="D98" s="50" t="n"/>
    </row>
    <row r="99">
      <c r="A99" s="50" t="n"/>
      <c r="B99" s="50" t="n"/>
      <c r="C99" s="50" t="n"/>
      <c r="D99" s="50" t="n"/>
    </row>
    <row r="100">
      <c r="A100" s="50" t="n"/>
      <c r="B100" s="50" t="n"/>
      <c r="C100" s="50" t="n"/>
      <c r="D100" s="50" t="n"/>
    </row>
    <row r="101">
      <c r="A101" s="50" t="n"/>
      <c r="B101" s="50" t="n"/>
      <c r="C101" s="50" t="n"/>
      <c r="D101" s="50" t="n"/>
    </row>
    <row r="102">
      <c r="A102" s="50" t="n"/>
      <c r="B102" s="50" t="n"/>
      <c r="C102" s="50" t="n"/>
      <c r="D102" s="50" t="n"/>
    </row>
    <row r="103">
      <c r="A103" s="50" t="n"/>
      <c r="B103" s="50" t="n"/>
      <c r="C103" s="50" t="n"/>
      <c r="D103" s="50" t="n"/>
    </row>
    <row r="104">
      <c r="A104" s="50" t="n"/>
      <c r="B104" s="50" t="n"/>
      <c r="C104" s="50" t="n"/>
      <c r="D104" s="50" t="n"/>
    </row>
    <row r="105">
      <c r="A105" s="50" t="n"/>
      <c r="B105" s="50" t="n"/>
      <c r="C105" s="50" t="n"/>
      <c r="D105" s="50" t="n"/>
    </row>
    <row r="106">
      <c r="A106" s="50" t="n"/>
      <c r="B106" s="50" t="n"/>
      <c r="C106" s="50" t="n"/>
      <c r="D106" s="50" t="n"/>
    </row>
    <row r="107">
      <c r="A107" s="50" t="n"/>
      <c r="B107" s="50" t="n"/>
      <c r="C107" s="50" t="n"/>
      <c r="D107" s="50" t="n"/>
    </row>
    <row r="108">
      <c r="A108" s="50" t="n"/>
      <c r="B108" s="50" t="n"/>
      <c r="C108" s="50" t="n"/>
      <c r="D108" s="50" t="n"/>
    </row>
    <row r="109">
      <c r="A109" s="50" t="n"/>
      <c r="B109" s="50" t="n"/>
      <c r="C109" s="50" t="n"/>
      <c r="D109" s="50" t="n"/>
    </row>
    <row r="110">
      <c r="A110" s="50" t="n"/>
      <c r="B110" s="50" t="n"/>
      <c r="C110" s="50" t="n"/>
      <c r="D110" s="50" t="n"/>
    </row>
    <row r="111">
      <c r="A111" s="50" t="n"/>
      <c r="B111" s="50" t="n"/>
      <c r="C111" s="50" t="n"/>
      <c r="D111" s="50" t="n"/>
    </row>
    <row r="112">
      <c r="A112" s="50" t="n"/>
      <c r="B112" s="50" t="n"/>
      <c r="C112" s="50" t="n"/>
      <c r="D112" s="50" t="n"/>
    </row>
    <row r="113">
      <c r="A113" s="50" t="n"/>
      <c r="B113" s="50" t="n"/>
      <c r="C113" s="50" t="n"/>
      <c r="D113" s="50" t="n"/>
    </row>
    <row r="114">
      <c r="A114" s="50" t="n"/>
      <c r="B114" s="50" t="n"/>
      <c r="C114" s="50" t="n"/>
      <c r="D114" s="50" t="n"/>
    </row>
    <row r="115">
      <c r="A115" s="50" t="n"/>
      <c r="B115" s="50" t="n"/>
      <c r="C115" s="50" t="n"/>
      <c r="D115" s="50" t="n"/>
    </row>
    <row r="116">
      <c r="A116" s="50" t="n"/>
      <c r="B116" s="50" t="n"/>
      <c r="C116" s="50" t="n"/>
      <c r="D116" s="50" t="n"/>
    </row>
    <row r="117">
      <c r="A117" s="50" t="n"/>
      <c r="B117" s="50" t="n"/>
      <c r="C117" s="50" t="n"/>
      <c r="D117" s="50" t="n"/>
    </row>
    <row r="118">
      <c r="A118" s="50" t="n"/>
      <c r="B118" s="50" t="n"/>
      <c r="C118" s="50" t="n"/>
      <c r="D118" s="50" t="n"/>
    </row>
    <row r="119">
      <c r="A119" s="50" t="n"/>
      <c r="B119" s="50" t="n"/>
      <c r="C119" s="50" t="n"/>
      <c r="D119" s="50" t="n"/>
    </row>
    <row r="120">
      <c r="A120" s="50" t="n"/>
      <c r="B120" s="50" t="n"/>
      <c r="C120" s="50" t="n"/>
      <c r="D120" s="50" t="n"/>
    </row>
    <row r="121">
      <c r="A121" s="50" t="n"/>
      <c r="B121" s="50" t="n"/>
      <c r="C121" s="50" t="n"/>
      <c r="D121" s="50" t="n"/>
    </row>
    <row r="122">
      <c r="A122" s="50" t="n"/>
      <c r="B122" s="50" t="n"/>
      <c r="C122" s="50" t="n"/>
      <c r="D122" s="50" t="n"/>
    </row>
    <row r="123">
      <c r="A123" s="50" t="n"/>
      <c r="B123" s="50" t="n"/>
      <c r="C123" s="50" t="n"/>
      <c r="D123" s="50" t="n"/>
    </row>
    <row r="124">
      <c r="A124" s="50" t="n"/>
      <c r="B124" s="50" t="n"/>
      <c r="C124" s="50" t="n"/>
      <c r="D124" s="50" t="n"/>
    </row>
    <row r="125">
      <c r="A125" s="50" t="n"/>
      <c r="B125" s="50" t="n"/>
      <c r="C125" s="50" t="n"/>
      <c r="D125" s="50" t="n"/>
    </row>
    <row r="126">
      <c r="A126" s="50" t="n"/>
      <c r="B126" s="50" t="n"/>
      <c r="C126" s="50" t="n"/>
      <c r="D126" s="50" t="n"/>
    </row>
    <row r="127">
      <c r="A127" s="50" t="n"/>
      <c r="B127" s="50" t="n"/>
      <c r="C127" s="50" t="n"/>
      <c r="D127" s="50" t="n"/>
    </row>
    <row r="128">
      <c r="A128" s="50" t="n"/>
      <c r="B128" s="50" t="n"/>
      <c r="C128" s="50" t="n"/>
      <c r="D128" s="50" t="n"/>
    </row>
    <row r="129">
      <c r="A129" s="50" t="n"/>
      <c r="B129" s="50" t="n"/>
      <c r="C129" s="50" t="n"/>
      <c r="D129" s="50" t="n"/>
    </row>
    <row r="130">
      <c r="A130" s="50" t="n"/>
      <c r="B130" s="50" t="n"/>
      <c r="C130" s="50" t="n"/>
      <c r="D130" s="50" t="n"/>
    </row>
    <row r="131">
      <c r="A131" s="50" t="n"/>
      <c r="B131" s="50" t="n"/>
      <c r="C131" s="50" t="n"/>
      <c r="D131" s="50" t="n"/>
    </row>
    <row r="132">
      <c r="A132" s="50" t="n"/>
      <c r="B132" s="50" t="n"/>
      <c r="C132" s="50" t="n"/>
      <c r="D132" s="50" t="n"/>
    </row>
    <row r="133">
      <c r="A133" s="50" t="n"/>
      <c r="B133" s="50" t="n"/>
      <c r="C133" s="50" t="n"/>
      <c r="D133" s="50" t="n"/>
    </row>
    <row r="134">
      <c r="A134" s="50" t="n"/>
      <c r="B134" s="50" t="n"/>
      <c r="C134" s="50" t="n"/>
      <c r="D134" s="50" t="n"/>
    </row>
    <row r="135">
      <c r="A135" s="50" t="n"/>
      <c r="B135" s="50" t="n"/>
      <c r="C135" s="50" t="n"/>
      <c r="D135" s="50" t="n"/>
    </row>
    <row r="136">
      <c r="A136" s="50" t="n"/>
      <c r="B136" s="50" t="n"/>
      <c r="C136" s="50" t="n"/>
      <c r="D136" s="50" t="n"/>
    </row>
    <row r="137">
      <c r="A137" s="50" t="n"/>
      <c r="B137" s="50" t="n"/>
      <c r="C137" s="50" t="n"/>
      <c r="D137" s="50" t="n"/>
    </row>
    <row r="138">
      <c r="A138" s="50" t="n"/>
      <c r="B138" s="50" t="n"/>
      <c r="C138" s="50" t="n"/>
      <c r="D138" s="50" t="n"/>
    </row>
    <row r="139">
      <c r="A139" s="50" t="n"/>
      <c r="B139" s="50" t="n"/>
      <c r="C139" s="50" t="n"/>
      <c r="D139" s="50" t="n"/>
    </row>
    <row r="140">
      <c r="A140" s="50" t="n"/>
      <c r="B140" s="50" t="n"/>
      <c r="C140" s="50" t="n"/>
      <c r="D140" s="50" t="n"/>
    </row>
    <row r="141">
      <c r="A141" s="50" t="n"/>
      <c r="B141" s="50" t="n"/>
      <c r="C141" s="50" t="n"/>
      <c r="D141" s="50" t="n"/>
    </row>
    <row r="142">
      <c r="A142" s="50" t="n"/>
      <c r="B142" s="50" t="n"/>
      <c r="C142" s="50" t="n"/>
      <c r="D142" s="50" t="n"/>
    </row>
    <row r="143">
      <c r="A143" s="50" t="n"/>
      <c r="B143" s="50" t="n"/>
      <c r="C143" s="50" t="n"/>
      <c r="D143" s="50" t="n"/>
    </row>
    <row r="144">
      <c r="A144" s="50" t="n"/>
      <c r="B144" s="50" t="n"/>
      <c r="C144" s="50" t="n"/>
      <c r="D144" s="50" t="n"/>
    </row>
    <row r="145">
      <c r="A145" s="50" t="n"/>
      <c r="B145" s="50" t="n"/>
      <c r="C145" s="50" t="n"/>
      <c r="D145" s="50" t="n"/>
    </row>
    <row r="146">
      <c r="A146" s="50" t="n"/>
      <c r="B146" s="50" t="n"/>
      <c r="C146" s="50" t="n"/>
      <c r="D146" s="50" t="n"/>
    </row>
    <row r="147">
      <c r="A147" s="50" t="n"/>
      <c r="B147" s="50" t="n"/>
      <c r="C147" s="50" t="n"/>
      <c r="D147" s="50" t="n"/>
    </row>
    <row r="148">
      <c r="A148" s="50" t="n"/>
      <c r="B148" s="50" t="n"/>
      <c r="C148" s="50" t="n"/>
      <c r="D148" s="50" t="n"/>
    </row>
    <row r="149">
      <c r="A149" s="50" t="n"/>
      <c r="B149" s="50" t="n"/>
      <c r="C149" s="50" t="n"/>
      <c r="D149" s="50" t="n"/>
    </row>
    <row r="150">
      <c r="A150" s="50" t="n"/>
      <c r="B150" s="50" t="n"/>
      <c r="C150" s="50" t="n"/>
      <c r="D150" s="50" t="n"/>
    </row>
    <row r="151">
      <c r="A151" s="50" t="n"/>
      <c r="B151" s="50" t="n"/>
      <c r="C151" s="50" t="n"/>
      <c r="D151" s="50" t="n"/>
    </row>
    <row r="152">
      <c r="A152" s="50" t="n"/>
      <c r="B152" s="50" t="n"/>
      <c r="C152" s="50" t="n"/>
      <c r="D152" s="50" t="n"/>
    </row>
    <row r="153">
      <c r="A153" s="50" t="n"/>
      <c r="B153" s="50" t="n"/>
      <c r="C153" s="50" t="n"/>
      <c r="D153" s="50" t="n"/>
    </row>
    <row r="154">
      <c r="A154" s="50" t="n"/>
      <c r="B154" s="50" t="n"/>
      <c r="C154" s="50" t="n"/>
      <c r="D154" s="50" t="n"/>
    </row>
    <row r="155">
      <c r="A155" s="50" t="n"/>
      <c r="B155" s="50" t="n"/>
      <c r="C155" s="50" t="n"/>
      <c r="D155" s="50" t="n"/>
    </row>
    <row r="156">
      <c r="A156" s="50" t="n"/>
      <c r="B156" s="50" t="n"/>
      <c r="C156" s="50" t="n"/>
      <c r="D156" s="50" t="n"/>
    </row>
    <row r="157">
      <c r="A157" s="50" t="n"/>
      <c r="B157" s="50" t="n"/>
      <c r="C157" s="50" t="n"/>
      <c r="D157" s="50" t="n"/>
    </row>
    <row r="158">
      <c r="A158" s="50" t="n"/>
      <c r="B158" s="50" t="n"/>
      <c r="C158" s="50" t="n"/>
      <c r="D158" s="50" t="n"/>
    </row>
    <row r="159">
      <c r="A159" s="50" t="n"/>
      <c r="B159" s="50" t="n"/>
      <c r="C159" s="50" t="n"/>
      <c r="D159" s="50" t="n"/>
    </row>
    <row r="160">
      <c r="A160" s="50" t="n"/>
      <c r="B160" s="50" t="n"/>
      <c r="C160" s="50" t="n"/>
      <c r="D160" s="50" t="n"/>
    </row>
    <row r="161">
      <c r="A161" s="50" t="n"/>
      <c r="B161" s="50" t="n"/>
      <c r="C161" s="50" t="n"/>
      <c r="D161" s="50" t="n"/>
    </row>
    <row r="162">
      <c r="A162" s="50" t="n"/>
      <c r="B162" s="50" t="n"/>
      <c r="C162" s="50" t="n"/>
      <c r="D162" s="50" t="n"/>
    </row>
    <row r="163">
      <c r="A163" s="50" t="n"/>
      <c r="B163" s="50" t="n"/>
      <c r="C163" s="50" t="n"/>
      <c r="D163" s="50" t="n"/>
    </row>
    <row r="164">
      <c r="A164" s="50" t="n"/>
      <c r="B164" s="50" t="n"/>
      <c r="C164" s="50" t="n"/>
      <c r="D164" s="50" t="n"/>
    </row>
    <row r="165">
      <c r="A165" s="50" t="n"/>
      <c r="B165" s="50" t="n"/>
      <c r="C165" s="50" t="n"/>
      <c r="D165" s="50" t="n"/>
    </row>
    <row r="166">
      <c r="A166" s="50" t="n"/>
      <c r="B166" s="50" t="n"/>
      <c r="C166" s="50" t="n"/>
      <c r="D166" s="50" t="n"/>
    </row>
    <row r="167">
      <c r="A167" s="50" t="n"/>
      <c r="B167" s="50" t="n"/>
      <c r="C167" s="50" t="n"/>
      <c r="D167" s="50" t="n"/>
    </row>
    <row r="168">
      <c r="A168" s="50" t="n"/>
      <c r="B168" s="50" t="n"/>
      <c r="C168" s="50" t="n"/>
      <c r="D168" s="50" t="n"/>
    </row>
    <row r="169">
      <c r="A169" s="50" t="n"/>
      <c r="B169" s="50" t="n"/>
      <c r="C169" s="50" t="n"/>
      <c r="D169" s="50" t="n"/>
    </row>
    <row r="170">
      <c r="A170" s="50" t="n"/>
      <c r="B170" s="50" t="n"/>
      <c r="C170" s="50" t="n"/>
      <c r="D170" s="50" t="n"/>
    </row>
  </sheetData>
  <mergeCells count="26">
    <mergeCell ref="A41:C41"/>
    <mergeCell ref="A90:C90"/>
    <mergeCell ref="A89:C89"/>
    <mergeCell ref="A96:D96"/>
    <mergeCell ref="A50:C50"/>
    <mergeCell ref="A2:C2"/>
    <mergeCell ref="A86:C86"/>
    <mergeCell ref="A76:C76"/>
    <mergeCell ref="A32:C32"/>
    <mergeCell ref="A92:D92"/>
    <mergeCell ref="A22:C22"/>
    <mergeCell ref="A4:C4"/>
    <mergeCell ref="A20:C20"/>
    <mergeCell ref="A94:D94"/>
    <mergeCell ref="A13:C13"/>
    <mergeCell ref="A58:C58"/>
    <mergeCell ref="A67:C67"/>
    <mergeCell ref="A30:C30"/>
    <mergeCell ref="A39:C39"/>
    <mergeCell ref="A48:C48"/>
    <mergeCell ref="A60:C60"/>
    <mergeCell ref="A11:C11"/>
    <mergeCell ref="A1:C1"/>
    <mergeCell ref="A88:C88"/>
    <mergeCell ref="A78:C78"/>
    <mergeCell ref="A69:C69"/>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2026-10-12T03:28:26Z</dcterms:created>
  <dcterms:modified xsi:type="dcterms:W3CDTF">2026-10-12T03:28:26Z</dcterms:modified>
</cp:coreProperties>
</file>