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과정개요" sheetId="1" state="visible" r:id="rId3"/>
    <sheet name="01_통합반_영상" sheetId="2" state="visible" r:id="rId4"/>
    <sheet name="02_통합반_오프라인" sheetId="3" state="visible" r:id="rId5"/>
    <sheet name="03_실전반_영상" sheetId="4" state="visible" r:id="rId6"/>
    <sheet name="04_실전반_오프라인" sheetId="5" state="visible" r:id="rId7"/>
    <sheet name="05_랩업" sheetId="6" state="visible" r:id="rId8"/>
    <sheet name="06_실습전개순서" sheetId="7" state="visible" r:id="rId9"/>
    <sheet name="07_시간 배분" sheetId="8" state="visible" r:id="rId10"/>
    <sheet name="08_근거 출처" sheetId="9" state="visible" r:id="rId11"/>
  </sheets>
  <definedNames>
    <definedName function="false" hidden="true" localSheetId="1" name="_xlnm._FilterDatabase" vbProcedure="false">01_통합반_영상!$A$1:$L$96</definedName>
    <definedName function="false" hidden="true" localSheetId="2" name="_xlnm._FilterDatabase" vbProcedure="false">02_통합반_오프라인!$A$1:$K$89</definedName>
    <definedName function="false" hidden="true" localSheetId="3" name="_xlnm._FilterDatabase" vbProcedure="false">03_실전반_영상!$A$1:$L$82</definedName>
    <definedName function="false" hidden="true" localSheetId="4" name="_xlnm._FilterDatabase" vbProcedure="false">04_실전반_오프라인!$A$1:$K$86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<sst xmlns="http://schemas.openxmlformats.org/spreadsheetml/2006/main" count="3035" uniqueCount="993">
  <si>
    <t xml:space="preserve">과정명</t>
  </si>
  <si>
    <r>
      <rPr>
        <sz val="10"/>
        <rFont val="Noto Sans CJK KR"/>
        <family val="2"/>
      </rPr>
      <t xml:space="preserve">온톨로지와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에이전트로 만드는 제조 설비 업무 — 지식으로 판단하고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한 번 승인하고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시스템이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확인한다</t>
    </r>
  </si>
  <si>
    <t xml:space="preserve">대상</t>
  </si>
  <si>
    <r>
      <rPr>
        <sz val="10"/>
        <rFont val="Noto Sans CJK KR"/>
        <family val="2"/>
      </rPr>
      <t xml:space="preserve">코딩도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(LLM)"</t>
    </r>
    <r>
      <rPr>
        <sz val="10"/>
        <rFont val="Noto Sans CJK KR"/>
        <family val="2"/>
      </rPr>
      <t xml:space="preserve">이라는 말도 처음인 사람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처음부터 끝까지 강사와 함께 한다</t>
    </r>
    <r>
      <rPr>
        <sz val="10"/>
        <rFont val="Arial"/>
        <family val="0"/>
        <charset val="1"/>
      </rPr>
      <t xml:space="preserve">. AI</t>
    </r>
    <r>
      <rPr>
        <sz val="10"/>
        <rFont val="Noto Sans CJK KR"/>
        <family val="2"/>
      </rPr>
      <t xml:space="preserve">는 수업에서 준 키로 실제로 쓴다</t>
    </r>
    <r>
      <rPr>
        <sz val="10"/>
        <rFont val="Arial"/>
        <family val="0"/>
        <charset val="1"/>
      </rPr>
      <t xml:space="preserve">.</t>
    </r>
  </si>
  <si>
    <t xml:space="preserve">시수</t>
  </si>
  <si>
    <r>
      <rPr>
        <sz val="10"/>
        <rFont val="Noto Sans CJK KR"/>
        <family val="2"/>
      </rPr>
      <t xml:space="preserve">통합반 영상 </t>
    </r>
    <r>
      <rPr>
        <sz val="10"/>
        <rFont val="Arial"/>
        <family val="0"/>
        <charset val="1"/>
      </rPr>
      <t xml:space="preserve">44H(2640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통합반 오프라인 </t>
    </r>
    <r>
      <rPr>
        <sz val="10"/>
        <rFont val="Arial"/>
        <family val="0"/>
        <charset val="1"/>
      </rPr>
      <t xml:space="preserve">42H(2520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실전반 영상 </t>
    </r>
    <r>
      <rPr>
        <sz val="10"/>
        <rFont val="Arial"/>
        <family val="0"/>
        <charset val="1"/>
      </rPr>
      <t xml:space="preserve">32H(1920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실전반 오프라인 </t>
    </r>
    <r>
      <rPr>
        <sz val="10"/>
        <rFont val="Arial"/>
        <family val="0"/>
        <charset val="1"/>
      </rPr>
      <t xml:space="preserve">38H(2280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행 시간의 합이 정확히 같다</t>
    </r>
    <r>
      <rPr>
        <sz val="10"/>
        <rFont val="Arial"/>
        <family val="0"/>
        <charset val="1"/>
      </rPr>
      <t xml:space="preserve">(07_</t>
    </r>
    <r>
      <rPr>
        <sz val="10"/>
        <rFont val="Noto Sans CJK KR"/>
        <family val="2"/>
      </rPr>
      <t xml:space="preserve">시간 배분</t>
    </r>
    <r>
      <rPr>
        <sz val="10"/>
        <rFont val="Arial"/>
        <family val="0"/>
        <charset val="1"/>
      </rPr>
      <t xml:space="preserve">)</t>
    </r>
  </si>
  <si>
    <t xml:space="preserve">짜는 법</t>
  </si>
  <si>
    <r>
      <rPr>
        <sz val="10"/>
        <rFont val="Noto Sans CJK KR"/>
        <family val="2"/>
      </rPr>
      <t xml:space="preserve">위에서 아래로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합계를 먼저 고정 → 시작</t>
    </r>
    <r>
      <rPr>
        <sz val="10"/>
        <rFont val="Arial"/>
        <family val="0"/>
        <charset val="1"/>
      </rPr>
      <t xml:space="preserve">(Notion 60</t>
    </r>
    <r>
      <rPr>
        <sz val="10"/>
        <rFont val="Noto Sans CJK KR"/>
        <family val="2"/>
      </rPr>
      <t xml:space="preserve">분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(ProcessGPT </t>
    </r>
    <r>
      <rPr>
        <sz val="10"/>
        <rFont val="Noto Sans CJK KR"/>
        <family val="2"/>
      </rPr>
      <t xml:space="preserve">통합 </t>
    </r>
    <r>
      <rPr>
        <sz val="10"/>
        <rFont val="Arial"/>
        <family val="0"/>
        <charset val="1"/>
      </rPr>
      <t xml:space="preserve">40 · </t>
    </r>
    <r>
      <rPr>
        <sz val="10"/>
        <rFont val="Noto Sans CJK KR"/>
        <family val="2"/>
      </rPr>
      <t xml:space="preserve">실전 </t>
    </r>
    <r>
      <rPr>
        <sz val="10"/>
        <rFont val="Arial"/>
        <family val="0"/>
        <charset val="1"/>
      </rPr>
      <t xml:space="preserve">30)</t>
    </r>
    <r>
      <rPr>
        <sz val="10"/>
        <rFont val="Noto Sans CJK KR"/>
        <family val="2"/>
      </rPr>
      <t xml:space="preserve">를 떼고 → 나머지를 온톨로지 </t>
    </r>
    <r>
      <rPr>
        <sz val="10"/>
        <rFont val="Arial"/>
        <family val="0"/>
        <charset val="1"/>
      </rPr>
      <t xml:space="preserve">40 :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35 : BPMN 25</t>
    </r>
    <r>
      <rPr>
        <sz val="10"/>
        <rFont val="Noto Sans CJK KR"/>
        <family val="2"/>
      </rPr>
      <t xml:space="preserve">로 → 막마다 이론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 몫 → 그 안에 학습자가 얻는 가치 단위를 넣었다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한 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가치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최소 </t>
    </r>
    <r>
      <rPr>
        <sz val="10"/>
        <rFont val="Arial"/>
        <family val="0"/>
        <charset val="1"/>
      </rPr>
      <t xml:space="preserve">20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5</t>
    </r>
    <r>
      <rPr>
        <sz val="10"/>
        <rFont val="Noto Sans CJK KR"/>
        <family val="2"/>
      </rPr>
      <t xml:space="preserve">분 단위</t>
    </r>
    <r>
      <rPr>
        <sz val="10"/>
        <rFont val="Arial"/>
        <family val="0"/>
        <charset val="1"/>
      </rPr>
      <t xml:space="preserve">.</t>
    </r>
  </si>
  <si>
    <t xml:space="preserve">구성</t>
  </si>
  <si>
    <r>
      <rPr>
        <sz val="10"/>
        <rFont val="Noto Sans CJK KR"/>
        <family val="2"/>
      </rPr>
      <t xml:space="preserve">시작 → 온톨로지 → 에이전트 → </t>
    </r>
    <r>
      <rPr>
        <sz val="10"/>
        <rFont val="Arial"/>
        <family val="0"/>
        <charset val="1"/>
      </rPr>
      <t xml:space="preserve">BPMN →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막 하나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이론 → 포털 → 랩업 한 번씩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섞지 않는다</t>
    </r>
    <r>
      <rPr>
        <sz val="10"/>
        <rFont val="Arial"/>
        <family val="0"/>
        <charset val="1"/>
      </rPr>
      <t xml:space="preserve">.</t>
    </r>
  </si>
  <si>
    <t xml:space="preserve">포털</t>
  </si>
  <si>
    <r>
      <rPr>
        <sz val="10"/>
        <rFont val="Noto Sans CJK KR"/>
        <family val="2"/>
      </rPr>
      <t xml:space="preserve">사건별로 막의 모든 단계를 끝까지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처음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 → B(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→ C(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시간 </t>
    </r>
    <r>
      <rPr>
        <sz val="10"/>
        <rFont val="Arial"/>
        <family val="0"/>
        <charset val="1"/>
      </rPr>
      <t xml:space="preserve">A : B : C ≈ 4 : 3 : 3. </t>
    </r>
    <r>
      <rPr>
        <sz val="10"/>
        <rFont val="Noto Sans CJK KR"/>
        <family val="2"/>
      </rPr>
      <t xml:space="preserve">강사가 천천히 누르며 설명하고 학생이 따라 한다</t>
    </r>
    <r>
      <rPr>
        <sz val="10"/>
        <rFont val="Arial"/>
        <family val="0"/>
        <charset val="1"/>
      </rPr>
      <t xml:space="preserve">. B · C</t>
    </r>
    <r>
      <rPr>
        <sz val="10"/>
        <rFont val="Noto Sans CJK KR"/>
        <family val="2"/>
      </rPr>
      <t xml:space="preserve">는 같은 단계를 다시 밟으며 학생이 먼저 해 보고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말하게 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행 끝에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".</t>
    </r>
  </si>
  <si>
    <t xml:space="preserve">랩업</t>
  </si>
  <si>
    <r>
      <rPr>
        <sz val="10"/>
        <rFont val="Noto Sans CJK KR"/>
        <family val="2"/>
      </rPr>
      <t xml:space="preserve">포털에서 쓴 같은 기능을 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</t>
    </r>
    <r>
      <rPr>
        <sz val="10"/>
        <rFont val="Arial"/>
        <family val="0"/>
        <charset val="1"/>
      </rPr>
      <t xml:space="preserve">(Claude Code)</t>
    </r>
    <r>
      <rPr>
        <sz val="10"/>
        <rFont val="Noto Sans CJK KR"/>
        <family val="2"/>
      </rPr>
      <t xml:space="preserve">에게 말로 시켜 만든다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).</t>
    </r>
  </si>
  <si>
    <t xml:space="preserve">세 사건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</si>
  <si>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</t>
    </r>
    <r>
      <rPr>
        <sz val="10"/>
        <rFont val="Arial"/>
        <family val="0"/>
        <charset val="1"/>
      </rPr>
      <t xml:space="preserve">: 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운전원 승인</t>
    </r>
    <r>
      <rPr>
        <sz val="10"/>
        <rFont val="Arial"/>
        <family val="0"/>
        <charset val="1"/>
      </rPr>
      <t xml:space="preserve">.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: HYD-02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2,000 h(CMMS) → </t>
    </r>
    <r>
      <rPr>
        <sz val="10"/>
        <rFont val="Noto Sans CJK KR"/>
        <family val="2"/>
      </rPr>
      <t xml:space="preserve">설비보전팀장 승인 → 예정된 정비 시간에 정비 → 시운전 확인</t>
    </r>
    <r>
      <rPr>
        <sz val="10"/>
        <rFont val="Arial"/>
        <family val="0"/>
        <charset val="1"/>
      </rPr>
      <t xml:space="preserve">.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재주문점</t>
    </r>
    <r>
      <rPr>
        <sz val="10"/>
        <rFont val="Arial"/>
        <family val="0"/>
        <charset val="1"/>
      </rPr>
      <t xml:space="preserve">(ERP) → </t>
    </r>
    <r>
      <rPr>
        <sz val="10"/>
        <rFont val="Noto Sans CJK KR"/>
        <family val="2"/>
      </rPr>
      <t xml:space="preserve">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모두 에이전트가 추천안 하나를 제안 → 담당자 한 번 승인 → 시스템 실행 → 시스템 확인 → 결과 보고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</si>
  <si>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Noto Sans CJK KR"/>
        <family val="2"/>
      </rPr>
      <t xml:space="preserve">영상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오프라인</t>
    </r>
  </si>
  <si>
    <r>
      <rPr>
        <sz val="10"/>
        <rFont val="Noto Sans CJK KR"/>
        <family val="2"/>
      </rPr>
      <t xml:space="preserve">영상은 반을 기다리지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지점을 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오프라인은 같은 행 시간 안에서 영상의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몫을 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학생 돕기로 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반 전체가 처음 쓰는 도구 행만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더했다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그래서 오프라인은 몇 개 랩업을 출발본으로 준다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비고</t>
    </r>
    <r>
      <rPr>
        <sz val="10"/>
        <rFont val="Arial"/>
        <family val="0"/>
        <charset val="1"/>
      </rPr>
      <t xml:space="preserve">).</t>
    </r>
  </si>
  <si>
    <t xml:space="preserve">색</t>
  </si>
  <si>
    <r>
      <rPr>
        <sz val="10"/>
        <rFont val="Noto Sans CJK KR"/>
        <family val="2"/>
      </rPr>
      <t xml:space="preserve">파란 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파트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 앞 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회색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하늘색 이론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연두 포털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노랑 랩업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파란 글씨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입력값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검정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수식</t>
    </r>
  </si>
  <si>
    <t xml:space="preserve">파트</t>
  </si>
  <si>
    <t xml:space="preserve">파트 제목</t>
  </si>
  <si>
    <t xml:space="preserve">끝나면 할 수 있는 것</t>
  </si>
  <si>
    <t xml:space="preserve">순서</t>
  </si>
  <si>
    <t xml:space="preserve">사건</t>
  </si>
  <si>
    <r>
      <rPr>
        <b val="true"/>
        <sz val="10"/>
        <color rgb="FFFFFFFF"/>
        <rFont val="Noto Sans CJK KR"/>
        <family val="2"/>
      </rPr>
      <t xml:space="preserve">통합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</si>
  <si>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통합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</si>
  <si>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</si>
  <si>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</si>
  <si>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시작 — 공장의 값이 업무가 되기까지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우리가 끝까지 만들 것을 먼저 본다</t>
    </r>
  </si>
  <si>
    <r>
      <rPr>
        <sz val="10"/>
        <rFont val="Noto Sans CJK KR"/>
        <family val="2"/>
      </rPr>
      <t xml:space="preserve">세 사건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긴급 대응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정기 정비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경보 한 건이 결과 보고로 닫히는 전체 모습을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배운 것을 남길 </t>
    </r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노트를 만든다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</si>
  <si>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고정 구간</t>
    </r>
    <r>
      <rPr>
        <sz val="10"/>
        <rFont val="Arial"/>
        <family val="0"/>
        <charset val="1"/>
      </rPr>
      <t xml:space="preserve">(Notion 60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되짚기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구조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리니지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최종 목표 시연</t>
    </r>
    <r>
      <rPr>
        <sz val="10"/>
        <rFont val="Arial"/>
        <family val="0"/>
        <charset val="1"/>
      </rPr>
      <t xml:space="preserve">)</t>
    </r>
  </si>
  <si>
    <t xml:space="preserve">A</t>
  </si>
  <si>
    <r>
      <rPr>
        <sz val="10"/>
        <rFont val="Noto Sans CJK KR"/>
        <family val="2"/>
      </rPr>
      <t xml:space="preserve">온톨로지 — 문서를 공장의 지식 지도로 만들면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근거를 들고 답한다</t>
    </r>
  </si>
  <si>
    <r>
      <rPr>
        <sz val="10"/>
        <rFont val="Noto Sans CJK KR"/>
        <family val="2"/>
      </rPr>
      <t xml:space="preserve">사건마다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 → 문서를 지식으로 → 지식에 묻기 → 지금 값의 자리 → 회사 목표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끝까지 밟아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틀에 서로 다른 지식을 만든다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말로 시켜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</si>
  <si>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이론 → 포털 </t>
    </r>
    <r>
      <rPr>
        <sz val="10"/>
        <rFont val="Arial"/>
        <family val="0"/>
        <charset val="1"/>
      </rPr>
      <t xml:space="preserve">A(</t>
    </r>
    <r>
      <rPr>
        <sz val="10"/>
        <rFont val="Noto Sans CJK KR"/>
        <family val="2"/>
      </rPr>
      <t xml:space="preserve">근거 없음 → 문서 → 지식 → 묻기 → 자리 → 목표</t>
    </r>
    <r>
      <rPr>
        <sz val="10"/>
        <rFont val="Arial"/>
        <family val="0"/>
        <charset val="1"/>
      </rPr>
      <t xml:space="preserve">) → B(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→ C(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랩업</t>
    </r>
  </si>
  <si>
    <t xml:space="preserve">A · B · C</t>
  </si>
  <si>
    <r>
      <rPr>
        <sz val="10"/>
        <rFont val="Noto Sans CJK KR"/>
        <family val="2"/>
      </rPr>
      <t xml:space="preserve">에이전트 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일꾼이 지식 지도와 지금 값을 근거로 추천안 하나를 제안한다</t>
    </r>
  </si>
  <si>
    <r>
      <rPr>
        <sz val="10"/>
        <rFont val="Noto Sans CJK KR"/>
        <family val="2"/>
      </rPr>
      <t xml:space="preserve">사건마다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 만들기 → 추천 하나 받기 → 값 바꿔 흔들기 → 정답표로 채점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끝까지 밟는다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작은 일꾼으로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</si>
  <si>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이론 → 포털 </t>
    </r>
    <r>
      <rPr>
        <sz val="10"/>
        <rFont val="Arial"/>
        <family val="0"/>
        <charset val="1"/>
      </rPr>
      <t xml:space="preserve">A(</t>
    </r>
    <r>
      <rPr>
        <sz val="10"/>
        <rFont val="Noto Sans CJK KR"/>
        <family val="2"/>
      </rPr>
      <t xml:space="preserve">일꾼 → 추천 → 흔들기 → 채점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랩업</t>
    </r>
  </si>
  <si>
    <r>
      <rPr>
        <sz val="10"/>
        <rFont val="Arial"/>
        <family val="0"/>
        <charset val="1"/>
      </rPr>
      <t xml:space="preserve">BPMN — </t>
    </r>
    <r>
      <rPr>
        <sz val="10"/>
        <rFont val="Noto Sans CJK KR"/>
        <family val="2"/>
      </rPr>
      <t xml:space="preserve">제안이 한 번 승인되고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자동 확인되어야 일이 닫힌다</t>
    </r>
  </si>
  <si>
    <r>
      <rPr>
        <sz val="10"/>
        <rFont val="Noto Sans CJK KR"/>
        <family val="2"/>
      </rPr>
      <t xml:space="preserve">사건마다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흐름 그려 올리기 → 한 건 끝까지 닫기 → 어긋나는 길 밟기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끝까지 밟는다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 알림을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</si>
  <si>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이론 → 포털 </t>
    </r>
    <r>
      <rPr>
        <sz val="10"/>
        <rFont val="Arial"/>
        <family val="0"/>
        <charset val="1"/>
      </rPr>
      <t xml:space="preserve">A(</t>
    </r>
    <r>
      <rPr>
        <sz val="10"/>
        <rFont val="Noto Sans CJK KR"/>
        <family val="2"/>
      </rPr>
      <t xml:space="preserve">그려 올리기 → 한 건 닫기 → 어긋나는 길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랩업</t>
    </r>
  </si>
  <si>
    <t xml:space="preserve">마무리 — 내가 만든 것이 실제 제품에서는 어디에 있나</t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</si>
  <si>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 </t>
    </r>
    <r>
      <rPr>
        <sz val="10"/>
        <rFont val="Arial"/>
        <family val="0"/>
        <charset val="1"/>
      </rPr>
      <t xml:space="preserve">ProcessGPT</t>
    </r>
    <r>
      <rPr>
        <sz val="10"/>
        <rFont val="Noto Sans CJK KR"/>
        <family val="2"/>
      </rPr>
      <t xml:space="preserve">의 어디에 있는지 강사 시연으로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).</t>
    </r>
  </si>
  <si>
    <t xml:space="preserve">강사 시연</t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</si>
  <si>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</si>
  <si>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고정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</si>
  <si>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t xml:space="preserve">차이</t>
  </si>
  <si>
    <t xml:space="preserve">시트</t>
  </si>
  <si>
    <r>
      <rPr>
        <sz val="10"/>
        <rFont val="Arial"/>
        <family val="0"/>
        <charset val="1"/>
      </rPr>
      <t xml:space="preserve">01 · 03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)) · 02 · 04 </t>
    </r>
    <r>
      <rPr>
        <sz val="10"/>
        <rFont val="Noto Sans CJK KR"/>
        <family val="2"/>
      </rPr>
      <t xml:space="preserve">오프라인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직접 해 보는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하는 곳</t>
    </r>
    <r>
      <rPr>
        <sz val="10"/>
        <rFont val="Arial"/>
        <family val="0"/>
        <charset val="1"/>
      </rPr>
      <t xml:space="preserve">) · 05 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(L </t>
    </r>
    <r>
      <rPr>
        <sz val="10"/>
        <rFont val="Noto Sans CJK KR"/>
        <family val="2"/>
      </rPr>
      <t xml:space="preserve">번호 ↔ 네 실라버스 </t>
    </r>
    <r>
      <rPr>
        <sz val="10"/>
        <rFont val="Arial"/>
        <family val="0"/>
        <charset val="1"/>
      </rPr>
      <t xml:space="preserve">No) · 06 </t>
    </r>
    <r>
      <rPr>
        <sz val="10"/>
        <rFont val="Noto Sans CJK KR"/>
        <family val="2"/>
      </rPr>
      <t xml:space="preserve">실습 전개 순서 </t>
    </r>
    <r>
      <rPr>
        <sz val="10"/>
        <rFont val="Arial"/>
        <family val="0"/>
        <charset val="1"/>
      </rPr>
      <t xml:space="preserve">· 07 </t>
    </r>
    <r>
      <rPr>
        <sz val="10"/>
        <rFont val="Noto Sans CJK KR"/>
        <family val="2"/>
      </rPr>
      <t xml:space="preserve">시간 배분 </t>
    </r>
    <r>
      <rPr>
        <sz val="10"/>
        <rFont val="Arial"/>
        <family val="0"/>
        <charset val="1"/>
      </rPr>
      <t xml:space="preserve">· 08 </t>
    </r>
    <r>
      <rPr>
        <sz val="10"/>
        <rFont val="Noto Sans CJK KR"/>
        <family val="2"/>
      </rPr>
      <t xml:space="preserve">근거 출처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설명은 </t>
    </r>
    <r>
      <rPr>
        <sz val="10"/>
        <rFont val="Arial"/>
        <family val="0"/>
        <charset val="1"/>
      </rPr>
      <t xml:space="preserve">docs/</t>
    </r>
    <r>
      <rPr>
        <sz val="10"/>
        <rFont val="Noto Sans CJK KR"/>
        <family val="2"/>
      </rPr>
      <t xml:space="preserve">실라버스</t>
    </r>
    <r>
      <rPr>
        <sz val="10"/>
        <rFont val="Arial"/>
        <family val="0"/>
        <charset val="1"/>
      </rPr>
      <t xml:space="preserve">.md</t>
    </r>
  </si>
  <si>
    <t xml:space="preserve">No</t>
  </si>
  <si>
    <t xml:space="preserve">구간</t>
  </si>
  <si>
    <t xml:space="preserve">영상 내용</t>
  </si>
  <si>
    <r>
      <rPr>
        <b val="true"/>
        <sz val="10"/>
        <color rgb="FFFFFFFF"/>
        <rFont val="Noto Sans CJK KR"/>
        <family val="2"/>
      </rPr>
      <t xml:space="preserve">개념 설명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훅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앞에서 쌓은 것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무엇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왜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어떻게 → 준비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</si>
  <si>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핵심 기술</t>
  </si>
  <si>
    <t xml:space="preserve">진행 방식</t>
  </si>
  <si>
    <r>
      <rPr>
        <b val="true"/>
        <sz val="10"/>
        <color rgb="FFFFFFFF"/>
        <rFont val="Noto Sans CJK KR"/>
        <family val="2"/>
      </rPr>
      <t xml:space="preserve">개념 설명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</si>
  <si>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Noto Sans CJK KR"/>
        <family val="2"/>
      </rPr>
      <t xml:space="preserve">랩업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</si>
  <si>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</si>
  <si>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비고</t>
  </si>
  <si>
    <t xml:space="preserve">시작</t>
  </si>
  <si>
    <r>
      <rPr>
        <sz val="10"/>
        <rFont val="Arial"/>
        <family val="0"/>
        <charset val="1"/>
      </rPr>
      <t xml:space="preserve">[S1] </t>
    </r>
    <r>
      <rPr>
        <sz val="10"/>
        <rFont val="Noto Sans CJK KR"/>
        <family val="2"/>
      </rPr>
      <t xml:space="preserve">배운 것을 남겨 두면 다음 사람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그리고 다음 주의 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거기서 출발한다 — 지식 자산화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</si>
  <si>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김치찌개도 집집마다 맛이 다른 까닭 — 엄마의 요리 노트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자산화가 무엇인지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머릿속 요령을 남이 꺼내 쓸 수 있는 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그림으로 남기기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왜 공장에 필요한가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숙련자가 떠나면 요령도 떠남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이 과정에서는 막마다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네 칸으로 남긴다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바로 다음 행에서 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그 노트를 만든다</t>
    </r>
  </si>
  <si>
    <t xml:space="preserve">지식 자산화</t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</si>
  <si>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강사 시연</t>
    </r>
  </si>
  <si>
    <r>
      <rPr>
        <sz val="10"/>
        <rFont val="Arial"/>
        <family val="0"/>
        <charset val="1"/>
      </rPr>
      <t xml:space="preserve">[S2] </t>
    </r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과정 노트를 만들고 첫 줄을 쓴다 — 이제 막마다 남길 자리가 있다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</si>
  <si>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노트 앱은 많은데 왜 </t>
    </r>
    <r>
      <rPr>
        <sz val="10"/>
        <rFont val="Arial"/>
        <family val="0"/>
        <charset val="1"/>
      </rPr>
      <t xml:space="preserve">Notion?" — </t>
    </r>
    <r>
      <rPr>
        <sz val="10"/>
        <rFont val="Noto Sans CJK KR"/>
        <family val="2"/>
      </rPr>
      <t xml:space="preserve">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링크를 한 쪽에 붙여 두고 나중에 찾기 쉽다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노트를 남기는 까닭</t>
    </r>
    <r>
      <rPr>
        <sz val="10"/>
        <rFont val="Arial"/>
        <family val="0"/>
        <charset val="1"/>
      </rPr>
      <t xml:space="preserve">(S1) / Notion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보기 → 페이지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블록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표 만들기 → 과정 노트 틀 복제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넷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첫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 과정에서 만들고 싶은 것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화면 캡처 붙이기 → 막 끝에 노트 쓰는 법 예시 한 쪽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막마다 랩업이 끝나면 이 노트에 한 쪽씩 쓴다</t>
    </r>
  </si>
  <si>
    <r>
      <rPr>
        <sz val="10"/>
        <rFont val="Arial"/>
        <family val="0"/>
        <charset val="1"/>
      </rPr>
      <t xml:space="preserve">Notion, </t>
    </r>
    <r>
      <rPr>
        <sz val="10"/>
        <rFont val="Noto Sans CJK KR"/>
        <family val="2"/>
      </rPr>
      <t xml:space="preserve">지식 자산화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</si>
  <si>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복제 직후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첫 줄을 쓴 뒤</t>
    </r>
  </si>
  <si>
    <r>
      <rPr>
        <sz val="10"/>
        <rFont val="Arial"/>
        <family val="0"/>
        <charset val="1"/>
      </rPr>
      <t xml:space="preserve">[S3] </t>
    </r>
    <r>
      <rPr>
        <sz val="10"/>
        <rFont val="Noto Sans CJK KR"/>
        <family val="2"/>
      </rPr>
      <t xml:space="preserve">앞 수업에서 본 센서 값이 지금 이 포털에도 똑같이 흐르고 있다 —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되짚기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</si>
  <si>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지난주 화면에서 본 유온 </t>
    </r>
    <r>
      <rPr>
        <sz val="10"/>
        <rFont val="Arial"/>
        <family val="0"/>
        <charset val="1"/>
      </rPr>
      <t xml:space="preserve">48 ℃, </t>
    </r>
    <r>
      <rPr>
        <sz val="10"/>
        <rFont val="Noto Sans CJK KR"/>
        <family val="2"/>
      </rPr>
      <t xml:space="preserve">지금 이 포털 어디에 있을까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과정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→ </t>
    </r>
    <r>
      <rPr>
        <sz val="10"/>
        <rFont val="Arial"/>
        <family val="0"/>
        <charset val="1"/>
      </rPr>
      <t xml:space="preserve">PLC → </t>
    </r>
    <r>
      <rPr>
        <sz val="10"/>
        <rFont val="Noto Sans CJK KR"/>
        <family val="2"/>
      </rPr>
      <t xml:space="preserve">메시지 통로 → 시계열 </t>
    </r>
    <r>
      <rPr>
        <sz val="10"/>
        <rFont val="Arial"/>
        <family val="0"/>
        <charset val="1"/>
      </rPr>
      <t xml:space="preserve">DB → 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앞 과정 지도를 다시 그리고</t>
    </r>
    <r>
      <rPr>
        <sz val="10"/>
        <rFont val="Arial"/>
        <family val="0"/>
        <charset val="1"/>
      </rPr>
      <t xml:space="preserve">, SCADA </t>
    </r>
    <r>
      <rPr>
        <sz val="10"/>
        <rFont val="Noto Sans CJK KR"/>
        <family val="2"/>
      </rPr>
      <t xml:space="preserve">화면과 포털 실시간 모니터링에서 같은 값을 찾는다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우리 공장 유압 파워팩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</t>
    </r>
    <r>
      <rPr>
        <sz val="10"/>
        <rFont val="Arial"/>
        <family val="0"/>
        <charset val="1"/>
      </rPr>
      <t xml:space="preserve">(HYD-01~03)</t>
    </r>
    <r>
      <rPr>
        <sz val="10"/>
        <rFont val="Noto Sans CJK KR"/>
        <family val="2"/>
      </rPr>
      <t xml:space="preserve">와 센서 넷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효율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운전시간 계수기를 소개한다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구조</t>
    </r>
    <r>
      <rPr>
        <sz val="10"/>
        <rFont val="Arial"/>
        <family val="0"/>
        <charset val="1"/>
      </rPr>
      <t xml:space="preserve">(S4)</t>
    </r>
    <r>
      <rPr>
        <sz val="10"/>
        <rFont val="Noto Sans CJK KR"/>
        <family val="2"/>
      </rPr>
      <t xml:space="preserve">에서 이 값이 맨 아래 층이 된다</t>
    </r>
  </si>
  <si>
    <r>
      <rPr>
        <sz val="10"/>
        <rFont val="Arial"/>
        <family val="0"/>
        <charset val="1"/>
      </rPr>
      <t xml:space="preserve">IIoT · SCADA, </t>
    </r>
    <r>
      <rPr>
        <sz val="10"/>
        <rFont val="Noto Sans CJK KR"/>
        <family val="2"/>
      </rPr>
      <t xml:space="preserve">시계열 값</t>
    </r>
  </si>
  <si>
    <r>
      <rPr>
        <sz val="10"/>
        <rFont val="Arial"/>
        <family val="0"/>
        <charset val="1"/>
      </rPr>
      <t xml:space="preserve">[S4] </t>
    </r>
    <r>
      <rPr>
        <sz val="10"/>
        <rFont val="Noto Sans CJK KR"/>
        <family val="2"/>
      </rPr>
      <t xml:space="preserve">센서 값 위에 지식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업무가 층층이 올라간다 — 포털의 구조를 알고 무엇을 해도 되돌릴 수 있게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</si>
  <si>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아파트 층 안내판 — 몇 층에 무엇이 있는지 알면 길을 잃지 않는다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SCADA </t>
    </r>
    <r>
      <rPr>
        <sz val="10"/>
        <rFont val="Noto Sans CJK KR"/>
        <family val="2"/>
      </rPr>
      <t xml:space="preserve">값</t>
    </r>
    <r>
      <rPr>
        <sz val="10"/>
        <rFont val="Arial"/>
        <family val="0"/>
        <charset val="1"/>
      </rPr>
      <t xml:space="preserve">(S3) / </t>
    </r>
    <r>
      <rPr>
        <sz val="10"/>
        <rFont val="Noto Sans CJK KR"/>
        <family val="2"/>
      </rPr>
      <t xml:space="preserve">포털의 다섯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/ 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층마다 이 과정의 어느 막인지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층 사이에 오가는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포털 메뉴를 하나씩 열어 층과 짝짓고</t>
    </r>
    <r>
      <rPr>
        <sz val="10"/>
        <rFont val="Arial"/>
        <family val="0"/>
        <charset val="1"/>
      </rPr>
      <t xml:space="preserve">, "</t>
    </r>
    <r>
      <rPr>
        <sz val="10"/>
        <rFont val="Noto Sans CJK KR"/>
        <family val="2"/>
      </rPr>
      <t xml:space="preserve">기준으로 되돌리기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직접 한 번 해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이후 모든 포털 실습의 안전장치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데이터 리니지</t>
    </r>
    <r>
      <rPr>
        <sz val="10"/>
        <rFont val="Arial"/>
        <family val="0"/>
        <charset val="1"/>
      </rPr>
      <t xml:space="preserve">(S5)</t>
    </r>
    <r>
      <rPr>
        <sz val="10"/>
        <rFont val="Noto Sans CJK KR"/>
        <family val="2"/>
      </rPr>
      <t xml:space="preserve">에서 값 하나가 이 층들을 지나가는 길을 따라간다</t>
    </r>
  </si>
  <si>
    <r>
      <rPr>
        <sz val="10"/>
        <rFont val="Noto Sans CJK KR"/>
        <family val="2"/>
      </rPr>
      <t xml:space="preserve">포털 구조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기준으로 되돌리기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</si>
  <si>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되돌리기 버튼을 누르기 전</t>
    </r>
  </si>
  <si>
    <r>
      <rPr>
        <sz val="10"/>
        <rFont val="Arial"/>
        <family val="0"/>
        <charset val="1"/>
      </rPr>
      <t xml:space="preserve">[S5] </t>
    </r>
    <r>
      <rPr>
        <sz val="10"/>
        <rFont val="Noto Sans CJK KR"/>
        <family val="2"/>
      </rPr>
      <t xml:space="preserve">값 하나가 태어나 업무 한 건이 되기까지의 길을 그린다 — 데이터 리니지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</si>
  <si>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송장 추적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집하 → 간선 → 배송 — 내 택배는 지금 어디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포털의 층</t>
    </r>
    <r>
      <rPr>
        <sz val="10"/>
        <rFont val="Arial"/>
        <family val="0"/>
        <charset val="1"/>
      </rPr>
      <t xml:space="preserve">(S4) / </t>
    </r>
    <r>
      <rPr>
        <sz val="10"/>
        <rFont val="Noto Sans CJK KR"/>
        <family val="2"/>
      </rPr>
      <t xml:space="preserve">데이터 리니지란 값이 어디서 태어나 어디를 거쳐 무엇에 쓰였는지의 기록이다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유온 값 하나가 센서 → 시계열 </t>
    </r>
    <r>
      <rPr>
        <sz val="10"/>
        <rFont val="Arial"/>
        <family val="0"/>
        <charset val="1"/>
      </rPr>
      <t xml:space="preserve">DB → </t>
    </r>
    <r>
      <rPr>
        <sz val="10"/>
        <rFont val="Noto Sans CJK KR"/>
        <family val="2"/>
      </rPr>
      <t xml:space="preserve">경보 → 처리 건 → 작업지시 기록이 되는 길을 종이에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중간에 끊기거나 늦게 오면 무엇이 잘못되는지 짚는다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최종 목표 시연</t>
    </r>
    <r>
      <rPr>
        <sz val="10"/>
        <rFont val="Arial"/>
        <family val="0"/>
        <charset val="1"/>
      </rPr>
      <t xml:space="preserve">(S6)</t>
    </r>
    <r>
      <rPr>
        <sz val="10"/>
        <rFont val="Noto Sans CJK KR"/>
        <family val="2"/>
      </rPr>
      <t xml:space="preserve">에서 이 길이 실제로 움직이는 것을 본다</t>
    </r>
  </si>
  <si>
    <t xml:space="preserve">데이터 리니지</t>
  </si>
  <si>
    <r>
      <rPr>
        <sz val="10"/>
        <rFont val="Arial"/>
        <family val="0"/>
        <charset val="1"/>
      </rPr>
      <t xml:space="preserve">[S6] </t>
    </r>
    <r>
      <rPr>
        <sz val="10"/>
        <rFont val="Noto Sans CJK KR"/>
        <family val="2"/>
      </rPr>
      <t xml:space="preserve">경보 한 건이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보고까지 닫히는 것을 먼저 끝까지 본다 — 우리가 만들 것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</si>
  <si>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과정이 끝나면 여러분 손으로 이걸 만듭니다</t>
    </r>
    <r>
      <rPr>
        <sz val="10"/>
        <rFont val="Arial"/>
        <family val="0"/>
        <charset val="1"/>
      </rPr>
      <t xml:space="preserve">" — </t>
    </r>
    <r>
      <rPr>
        <sz val="10"/>
        <rFont val="Noto Sans CJK KR"/>
        <family val="2"/>
      </rPr>
      <t xml:space="preserve">쿨러가 뜨거워지는 순간부터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리니지의 길</t>
    </r>
    <r>
      <rPr>
        <sz val="10"/>
        <rFont val="Arial"/>
        <family val="0"/>
        <charset val="1"/>
      </rPr>
      <t xml:space="preserve">(S5) / </t>
    </r>
    <r>
      <rPr>
        <sz val="10"/>
        <rFont val="Noto Sans CJK KR"/>
        <family val="2"/>
      </rPr>
      <t xml:space="preserve">강사가 </t>
    </r>
    <r>
      <rPr>
        <sz val="10"/>
        <rFont val="Arial"/>
        <family val="0"/>
        <charset val="1"/>
      </rPr>
      <t xml:space="preserve">A(HYD-01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처음부터 끝까지 돌리며 단계마다 멈춰 설명한다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경보</t>
    </r>
    <r>
      <rPr>
        <sz val="10"/>
        <rFont val="Arial"/>
        <family val="0"/>
        <charset val="1"/>
      </rPr>
      <t xml:space="preserve">(16~33 s) → AI </t>
    </r>
    <r>
      <rPr>
        <sz val="10"/>
        <rFont val="Noto Sans CJK KR"/>
        <family val="2"/>
      </rPr>
      <t xml:space="preserve">일꾼이 지식과 지금 값으로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기다리는 동안 무엇을 보는지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안의 이유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운전원 한 번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</t>
    </r>
    <r>
      <rPr>
        <sz val="10"/>
        <rFont val="Arial"/>
        <family val="0"/>
        <charset val="1"/>
      </rPr>
      <t xml:space="preserve">(45 s) →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이어 </t>
    </r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2,000 h → </t>
    </r>
    <r>
      <rPr>
        <sz val="10"/>
        <rFont val="Noto Sans CJK KR"/>
        <family val="2"/>
      </rPr>
      <t xml:space="preserve">설비보전팀장 승인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재주문점 → 구매 담당 승인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한 줄씩 소개하고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막에서 무엇을 하나씩 만드는지 지도로 보여 준다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온톨로지 막에서 이 일꾼이 근거로 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부터 만든다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</si>
  <si>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프로세스 인스턴스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승인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</si>
  <si>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강사 시연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단계마다 설명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</si>
  <si>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RAISE · W4 · REOBS · CASE</t>
    </r>
  </si>
  <si>
    <t xml:space="preserve">온톨로지</t>
  </si>
  <si>
    <t xml:space="preserve">이론</t>
  </si>
  <si>
    <r>
      <rPr>
        <sz val="10"/>
        <rFont val="Arial"/>
        <family val="0"/>
        <charset val="1"/>
      </rPr>
      <t xml:space="preserve">[OT1] AI</t>
    </r>
    <r>
      <rPr>
        <sz val="10"/>
        <rFont val="Noto Sans CJK KR"/>
        <family val="2"/>
      </rPr>
      <t xml:space="preserve">는 책을 많이 읽었지만 우리 공장은 모른다 — 언어 모델이 무엇이고 왜 그럴듯하게 틀리나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</si>
  <si>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퀴즈</t>
    </r>
    <r>
      <rPr>
        <sz val="10"/>
        <rFont val="Arial"/>
        <family val="0"/>
        <charset val="1"/>
      </rPr>
      <t xml:space="preserve">: AI</t>
    </r>
    <r>
      <rPr>
        <sz val="10"/>
        <rFont val="Noto Sans CJK KR"/>
        <family val="2"/>
      </rPr>
      <t xml:space="preserve">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</t>
    </r>
    <r>
      <rPr>
        <sz val="10"/>
        <rFont val="Arial"/>
        <family val="0"/>
        <charset val="1"/>
      </rPr>
      <t xml:space="preserve">HYD-01 </t>
    </r>
    <r>
      <rPr>
        <sz val="10"/>
        <rFont val="Noto Sans CJK KR"/>
        <family val="2"/>
      </rPr>
      <t xml:space="preserve">쿨러 유온이 왜 올라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라고 물으면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아주 자신 있게 틀린다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시연에서 본 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들고 답한 것</t>
    </r>
    <r>
      <rPr>
        <sz val="10"/>
        <rFont val="Arial"/>
        <family val="0"/>
        <charset val="1"/>
      </rPr>
      <t xml:space="preserve">(S6) / 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(LLM)"</t>
    </r>
    <r>
      <rPr>
        <sz val="10"/>
        <rFont val="Noto Sans CJK KR"/>
        <family val="2"/>
      </rPr>
      <t xml:space="preserve">이라는 말을 처음 소개한다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읽고 다음 말을 맞히는 신입 사원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배운 것 밖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우리 공장의 설비 번호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오늘 값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은 모른다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모르면 그럴듯하게 지어낸다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공장에서 틀리면 설비가 서거나 사람이 다친다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그래서 우리 공장의 지식을 따로 줘야 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문서를 찾아 붙여 주면 될까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</si>
  <si>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(LLM), </t>
    </r>
    <r>
      <rPr>
        <sz val="10"/>
        <rFont val="Noto Sans CJK KR"/>
        <family val="2"/>
      </rPr>
      <t xml:space="preserve">환각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</si>
  <si>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작은 해 보기</t>
    </r>
  </si>
  <si>
    <r>
      <rPr>
        <sz val="10"/>
        <rFont val="Arial"/>
        <family val="0"/>
        <charset val="1"/>
      </rPr>
      <t xml:space="preserve">[OT2] </t>
    </r>
    <r>
      <rPr>
        <sz val="10"/>
        <rFont val="Noto Sans CJK KR"/>
        <family val="2"/>
      </rPr>
      <t xml:space="preserve">문서를 찾아 붙여 주는 것만으로는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무엇에 닿나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답하기 어렵다 — 찾아서 답하기와 그 한계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</si>
  <si>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키트가 모자라면 누가 곤란해지나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에는 쩔쩔맨다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AI</t>
    </r>
    <r>
      <rPr>
        <sz val="10"/>
        <rFont val="Noto Sans CJK KR"/>
        <family val="2"/>
      </rPr>
      <t xml:space="preserve">는 우리 공장을 모른다</t>
    </r>
    <r>
      <rPr>
        <sz val="10"/>
        <rFont val="Arial"/>
        <family val="0"/>
        <charset val="1"/>
      </rPr>
      <t xml:space="preserve">(OT1) / </t>
    </r>
    <r>
      <rPr>
        <sz val="10"/>
        <rFont val="Noto Sans CJK KR"/>
        <family val="2"/>
      </rPr>
      <t xml:space="preserve">찾아서 답하기</t>
    </r>
    <r>
      <rPr>
        <sz val="10"/>
        <rFont val="Arial"/>
        <family val="0"/>
        <charset val="1"/>
      </rPr>
      <t xml:space="preserve">(RAG): </t>
    </r>
    <r>
      <rPr>
        <sz val="10"/>
        <rFont val="Noto Sans CJK KR"/>
        <family val="2"/>
      </rPr>
      <t xml:space="preserve">질문 → 비슷한 구절 찾기 → 붙여서 답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한 문서 안의 사실에는 잘 답하지만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→ 조치 → 부품 → 공급사 → 이익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에는 약하다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연결에 답하는 지식 지도</t>
    </r>
  </si>
  <si>
    <r>
      <rPr>
        <sz val="10"/>
        <rFont val="Noto Sans CJK KR"/>
        <family val="2"/>
      </rPr>
      <t xml:space="preserve">찾아서 답하기</t>
    </r>
    <r>
      <rPr>
        <sz val="10"/>
        <rFont val="Arial"/>
        <family val="0"/>
        <charset val="1"/>
      </rPr>
      <t xml:space="preserve">(RAG, </t>
    </r>
    <r>
      <rPr>
        <sz val="10"/>
        <rFont val="Noto Sans CJK KR"/>
        <family val="2"/>
      </rPr>
      <t xml:space="preserve">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</si>
  <si>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[OT3] </t>
    </r>
    <r>
      <rPr>
        <sz val="10"/>
        <rFont val="Noto Sans CJK KR"/>
        <family val="2"/>
      </rPr>
      <t xml:space="preserve">사물과 관계를 이은 지도는 문서가 못 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답한다 — 지식 그래프와 그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</si>
  <si>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강남에서 시청까지 몇 번 갈아타나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는 책이 아니라 노선도가 한눈에 답한다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찾아 붙이기의 한계</t>
    </r>
    <r>
      <rPr>
        <sz val="10"/>
        <rFont val="Arial"/>
        <family val="0"/>
        <charset val="1"/>
      </rPr>
      <t xml:space="preserve">(OT2) / </t>
    </r>
    <r>
      <rPr>
        <sz val="10"/>
        <rFont val="Noto Sans CJK KR"/>
        <family val="2"/>
      </rPr>
      <t xml:space="preserve">지식 그래프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역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지도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온톨로지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그 지도의 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어떤 종류의 역이 있고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역마다 무엇을 적고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속성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어떤 선으로 잇는가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주소록 비유로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양식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적힌 이름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행에서 내 손으로 첫 지도를 그린다</t>
    </r>
  </si>
  <si>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</si>
  <si>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[OT4] </t>
    </r>
    <r>
      <rPr>
        <sz val="10"/>
        <rFont val="Noto Sans CJK KR"/>
        <family val="2"/>
      </rPr>
      <t xml:space="preserve">동네 카페의 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메뉴를 직접 그려 틀이 눈에 보이게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</si>
  <si>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내가 단골 카페 주인이 되어 첫 지식 그래프를 그린다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(OT3) / 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파일로 내보내기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관계도를 함께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무엇을 속성으로 무엇을 관계로 뒀는지 이야기한다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그림은 질문 따라가기</t>
    </r>
    <r>
      <rPr>
        <sz val="10"/>
        <rFont val="Arial"/>
        <family val="0"/>
        <charset val="1"/>
      </rPr>
      <t xml:space="preserve">(OT9 · OT10)</t>
    </r>
    <r>
      <rPr>
        <sz val="10"/>
        <rFont val="Noto Sans CJK KR"/>
        <family val="2"/>
      </rPr>
      <t xml:space="preserve">와 랩업의 그래프 </t>
    </r>
    <r>
      <rPr>
        <sz val="10"/>
        <rFont val="Arial"/>
        <family val="0"/>
        <charset val="1"/>
      </rPr>
      <t xml:space="preserve">DB(OL2)</t>
    </r>
    <r>
      <rPr>
        <sz val="10"/>
        <rFont val="Noto Sans CJK KR"/>
        <family val="2"/>
      </rPr>
      <t xml:space="preserve">에서 다시 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OT9 · OT10 · OL2</t>
    </r>
    <r>
      <rPr>
        <sz val="10"/>
        <rFont val="Noto Sans CJK KR"/>
        <family val="2"/>
      </rPr>
      <t xml:space="preserve">에서 이 그림을 다시 연다</t>
    </r>
  </si>
  <si>
    <r>
      <rPr>
        <sz val="10"/>
        <rFont val="Arial"/>
        <family val="0"/>
        <charset val="1"/>
      </rPr>
      <t xml:space="preserve">arrows.app,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</si>
  <si>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셋을 그린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 직전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영상에서는 빼고 카페 관계도 파일을 출발본으로 준다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OL2</t>
    </r>
    <r>
      <rPr>
        <sz val="10"/>
        <rFont val="Noto Sans CJK KR"/>
        <family val="2"/>
      </rPr>
      <t xml:space="preserve">에서 연다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실전반 오프라인은 직접 그린다</t>
    </r>
  </si>
  <si>
    <r>
      <rPr>
        <sz val="10"/>
        <rFont val="Arial"/>
        <family val="0"/>
        <charset val="1"/>
      </rPr>
      <t xml:space="preserve">[OT5] </t>
    </r>
    <r>
      <rPr>
        <sz val="10"/>
        <rFont val="Noto Sans CJK KR"/>
        <family val="2"/>
      </rPr>
      <t xml:space="preserve">병원이 진료하듯 고장을 다룬다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</si>
  <si>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독감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바이러스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자전거 브레이크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끽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카드 맞추기 놀이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지식의 틀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카페 그림</t>
    </r>
    <r>
      <rPr>
        <sz val="10"/>
        <rFont val="Arial"/>
        <family val="0"/>
        <charset val="1"/>
      </rPr>
      <t xml:space="preserve">(OT4) / </t>
    </r>
    <r>
      <rPr>
        <sz val="10"/>
        <rFont val="Noto Sans CJK KR"/>
        <family val="2"/>
      </rPr>
      <t xml:space="preserve">공장 지식의 뼈대 클래스 넷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눈에 보이는 것 — 유온이 오른다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고장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무엇이 잘못됐나 — 쿨러 과열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왜 — 냉각 핀 막힘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무엇을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관측 → 상태 → 진단 → 권고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가 공장에서는 경보 → 진단 → 제안이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 카드 놀이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 카드 네 장을 순서대로 놓는다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조치에도 갈래가 있다</t>
    </r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</si>
  <si>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</si>
  <si>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Arial"/>
        <family val="0"/>
        <charset val="1"/>
      </rPr>
      <t xml:space="preserve">[OT6] </t>
    </r>
    <r>
      <rPr>
        <sz val="10"/>
        <rFont val="Noto Sans CJK KR"/>
        <family val="2"/>
      </rPr>
      <t xml:space="preserve">고치는 정비와 막는 정비 — 조치는 세 갈래다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</si>
  <si>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고장도 안 났는데 정기 점검은 왜 하지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감기에 해열제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치료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접종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(OT5) / </t>
    </r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이상이 보인 때부터 멈출 때까지의 간격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조치 세 갈래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해열제 — 지금 열을 내림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접종 — 고장이 나기 전에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미리 사 두기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관계가 지식에 생긴다</t>
    </r>
  </si>
  <si>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 관계</t>
    </r>
  </si>
  <si>
    <r>
      <rPr>
        <sz val="10"/>
        <rFont val="Arial"/>
        <family val="0"/>
        <charset val="1"/>
      </rPr>
      <t xml:space="preserve">[OT7] </t>
    </r>
    <r>
      <rPr>
        <sz val="10"/>
        <rFont val="Noto Sans CJK KR"/>
        <family val="2"/>
      </rPr>
      <t xml:space="preserve">순서를 적은 글과 판단을 적은 글은 다르다 — 절차</t>
    </r>
    <r>
      <rPr>
        <sz val="10"/>
        <rFont val="Arial"/>
        <family val="0"/>
        <charset val="1"/>
      </rPr>
      <t xml:space="preserve">(SOP)</t>
    </r>
    <r>
      <rPr>
        <sz val="10"/>
        <rFont val="Noto Sans CJK KR"/>
        <family val="2"/>
      </rPr>
      <t xml:space="preserve">와 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금지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</si>
  <si>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라면 레시피와 카페 할인 규칙 — 둘 다 글인데 왜 다르게 적을까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(OT5 · OT6) /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(1. </t>
    </r>
    <r>
      <rPr>
        <sz val="10"/>
        <rFont val="Noto Sans CJK KR"/>
        <family val="2"/>
      </rPr>
      <t xml:space="preserve">잔압을 뺀다 </t>
    </r>
    <r>
      <rPr>
        <sz val="10"/>
        <rFont val="Arial"/>
        <family val="0"/>
        <charset val="1"/>
      </rPr>
      <t xml:space="preserve">2. </t>
    </r>
    <r>
      <rPr>
        <sz val="10"/>
        <rFont val="Noto Sans CJK KR"/>
        <family val="2"/>
      </rPr>
      <t xml:space="preserve">필터를 연다 …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규칙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재고가 재주문점 아래면 주문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절대 하면 안 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문서를 지식으로 만들 때 이 셋을 구분해 뽑아야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에이전트 막에서 규칙은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아니라 규칙표가 맡는다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결정 표로 써 보기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긴 문서에서 이것들을 뽑는 다섯 단계</t>
    </r>
  </si>
  <si>
    <r>
      <rPr>
        <sz val="10"/>
        <rFont val="Noto Sans CJK KR"/>
        <family val="2"/>
      </rPr>
      <t xml:space="preserve">절차</t>
    </r>
    <r>
      <rPr>
        <sz val="10"/>
        <rFont val="Arial"/>
        <family val="0"/>
        <charset val="1"/>
      </rPr>
      <t xml:space="preserve">(SOP), </t>
    </r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금지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</si>
  <si>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영상에서는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(OT8)</t>
    </r>
    <r>
      <rPr>
        <sz val="10"/>
        <rFont val="Noto Sans CJK KR"/>
        <family val="2"/>
      </rPr>
      <t xml:space="preserve">에서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짧게 짚는다</t>
    </r>
  </si>
  <si>
    <r>
      <rPr>
        <sz val="10"/>
        <rFont val="Arial"/>
        <family val="0"/>
        <charset val="1"/>
      </rPr>
      <t xml:space="preserve">[OT8] </t>
    </r>
    <r>
      <rPr>
        <sz val="10"/>
        <rFont val="Noto Sans CJK KR"/>
        <family val="2"/>
      </rPr>
      <t xml:space="preserve">긴 문서가 지식이 되는 길 — 나누고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근거를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</si>
  <si>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두꺼운 요리책에서 레시피 카드 뽑기</t>
    </r>
    <r>
      <rPr>
        <sz val="10"/>
        <rFont val="Arial"/>
        <family val="0"/>
        <charset val="1"/>
      </rPr>
      <t xml:space="preserve">. "AI</t>
    </r>
    <r>
      <rPr>
        <sz val="10"/>
        <rFont val="Noto Sans CJK KR"/>
        <family val="2"/>
      </rPr>
      <t xml:space="preserve">가 뽑은 표에 틀린 줄이 하나 숨어 있다 — 찾아보세요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고장의 칸</t>
    </r>
    <r>
      <rPr>
        <sz val="10"/>
        <rFont val="Arial"/>
        <family val="0"/>
        <charset val="1"/>
      </rPr>
      <t xml:space="preserve">(OT5 · OT6) 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(OT7) /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나누기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한계가 있어서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절차 중간에서 끊지 않게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뽑기</t>
    </r>
    <r>
      <rPr>
        <sz val="10"/>
        <rFont val="Arial"/>
        <family val="0"/>
        <charset val="1"/>
      </rPr>
      <t xml:space="preserve">(AI</t>
    </r>
    <r>
      <rPr>
        <sz val="10"/>
        <rFont val="Noto Sans CJK KR"/>
        <family val="2"/>
      </rPr>
      <t xml:space="preserve">가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찾음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틀 검사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틀에 없는 것은 버림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원문 몇 쪽 몇 줄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등록 전 사람이 본다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틀릴 수 있으니까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커피머신 설명서에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형광펜으로 칠하고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가 뽑은 표를 원문과 대조한다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에서 쿨러 매뉴얼로 이 다섯 단계를 그대로 밟는다</t>
    </r>
  </si>
  <si>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검토</t>
    </r>
  </si>
  <si>
    <r>
      <rPr>
        <sz val="10"/>
        <rFont val="Arial"/>
        <family val="0"/>
        <charset val="1"/>
      </rPr>
      <t xml:space="preserve">[OT9] </t>
    </r>
    <r>
      <rPr>
        <sz val="10"/>
        <rFont val="Noto Sans CJK KR"/>
        <family val="2"/>
      </rPr>
      <t xml:space="preserve">지도를 손가락으로 따라가듯 묻고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지나간 길이 곧 근거가 된다 — 지식 지도에 묻기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</si>
  <si>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앱처럼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카페 그림에서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철수가 시킨 메뉴의 가격은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손가락으로 따라간다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다섯 단계에서 남긴 근거</t>
    </r>
    <r>
      <rPr>
        <sz val="10"/>
        <rFont val="Arial"/>
        <family val="0"/>
        <charset val="1"/>
      </rPr>
      <t xml:space="preserve">(OT8) /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관계 → 도착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표로 찾을 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표 여러 장을 넘나듦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지도로 찾을 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선을 따라감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답의 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원문 구절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그렇게 답했나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사람이 확인할 수 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카페 그림에서 질문 두 개를 길로 따라가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지식이 맞는지 어떻게 아나</t>
    </r>
  </si>
  <si>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근거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</si>
  <si>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실전반에서는 빼고 포털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질문 행</t>
    </r>
    <r>
      <rPr>
        <sz val="10"/>
        <rFont val="Arial"/>
        <family val="0"/>
        <charset val="1"/>
      </rPr>
      <t xml:space="preserve">(OPA3)</t>
    </r>
    <r>
      <rPr>
        <sz val="10"/>
        <rFont val="Noto Sans CJK KR"/>
        <family val="2"/>
      </rPr>
      <t xml:space="preserve">에서 처음 설명한다</t>
    </r>
  </si>
  <si>
    <r>
      <rPr>
        <sz val="10"/>
        <rFont val="Arial"/>
        <family val="0"/>
        <charset val="1"/>
      </rPr>
      <t xml:space="preserve">[OT10] </t>
    </r>
    <r>
      <rPr>
        <sz val="10"/>
        <rFont val="Noto Sans CJK KR"/>
        <family val="2"/>
      </rPr>
      <t xml:space="preserve">지식이 맞는지는 꼭 답할 질문으로 안다 — 시험 문제를 먼저 정해 두기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</si>
  <si>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내 두는 선생님 — 관계 하나를 지우면 정답이 사라지는 마술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(OT9) /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= "</t>
    </r>
    <r>
      <rPr>
        <sz val="10"/>
        <rFont val="Noto Sans CJK KR"/>
        <family val="2"/>
      </rPr>
      <t xml:space="preserve">이 지식이 있다면 반드시 답해야 할 질문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과 기대 답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쓰는 법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멈춘 이유가 곧 질문이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카페 그림에서 꼭 답할 질문 둘을 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지워 답이 사라지는 것을 본 뒤 되살린다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포털에서 사건마다 꼭 답할 질문 셋으로 지식을 확인한다</t>
    </r>
  </si>
  <si>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골든 질문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</si>
  <si>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실전반에서는 빼고 포털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질문 행</t>
    </r>
    <r>
      <rPr>
        <sz val="10"/>
        <rFont val="Arial"/>
        <family val="0"/>
        <charset val="1"/>
      </rPr>
      <t xml:space="preserve">(OPA3)</t>
    </r>
    <r>
      <rPr>
        <sz val="10"/>
        <rFont val="Noto Sans CJK KR"/>
        <family val="2"/>
      </rPr>
      <t xml:space="preserve">에서 처음 설명한다</t>
    </r>
  </si>
  <si>
    <r>
      <rPr>
        <sz val="10"/>
        <rFont val="Arial"/>
        <family val="0"/>
        <charset val="1"/>
      </rPr>
      <t xml:space="preserve">[OT11] </t>
    </r>
    <r>
      <rPr>
        <sz val="10"/>
        <rFont val="Noto Sans CJK KR"/>
        <family val="2"/>
      </rPr>
      <t xml:space="preserve">지금 값은 지식에 넣지 않고 자리만 적는다 —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위치만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</si>
  <si>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택배 배송 상태를 노트에 적어 두면 내일도 맞을까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도서관 색인 카드는 책이 아니라 위치를 적는다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(OT3 · OT9) / </t>
    </r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잘 안 바뀌는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계속 바뀌는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지식에는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의 이 표 이 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자리만 적는다 — 값을 넣으면 내일이면 틀린 지식이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배송 상태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칸의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포털에서 사건마다 조치에 지금 값의 자리를 잇는다</t>
    </r>
  </si>
  <si>
    <r>
      <rPr>
        <sz val="10"/>
        <rFont val="Noto Sans CJK KR"/>
        <family val="2"/>
      </rPr>
      <t xml:space="preserve">값의 자리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데이터 소스 링크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</si>
  <si>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실전반에서는 빼고 포털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자리 잇기 행</t>
    </r>
    <r>
      <rPr>
        <sz val="10"/>
        <rFont val="Arial"/>
        <family val="0"/>
        <charset val="1"/>
      </rPr>
      <t xml:space="preserve">(OPA4)</t>
    </r>
    <r>
      <rPr>
        <sz val="10"/>
        <rFont val="Noto Sans CJK KR"/>
        <family val="2"/>
      </rPr>
      <t xml:space="preserve">에서 처음 설명한다</t>
    </r>
  </si>
  <si>
    <r>
      <rPr>
        <sz val="10"/>
        <rFont val="Arial"/>
        <family val="0"/>
        <charset val="1"/>
      </rPr>
      <t xml:space="preserve">[OT12] </t>
    </r>
    <r>
      <rPr>
        <sz val="10"/>
        <rFont val="Noto Sans CJK KR"/>
        <family val="2"/>
      </rPr>
      <t xml:space="preserve">회사가 무엇을 중요하게 보는지 네 관점과 화살표로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좋은 지표끼리 부딪히는 곳을 찾는다 — 전략맵과 상충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</si>
  <si>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— 몸무게만 보면 놓치는 것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카페 사장님의 고민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빨리 내면 맛이 떨어진다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지도에 잇기</t>
    </r>
    <r>
      <rPr>
        <sz val="10"/>
        <rFont val="Arial"/>
        <family val="0"/>
        <charset val="1"/>
      </rPr>
      <t xml:space="preserve">(OT11) / </t>
    </r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(BSC):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 네 관점과 원인 → 결과 화살표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(KPI). </t>
    </r>
    <r>
      <rPr>
        <sz val="10"/>
        <rFont val="Noto Sans CJK KR"/>
        <family val="2"/>
      </rPr>
      <t xml:space="preserve">좋은 지표끼리도 부딪힌다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사건에서 미리 본다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납기 ↔ 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</t>
    </r>
    <r>
      <rPr>
        <sz val="10"/>
        <rFont val="Arial"/>
        <family val="0"/>
        <charset val="1"/>
      </rPr>
      <t xml:space="preserve">, B </t>
    </r>
    <r>
      <rPr>
        <sz val="10"/>
        <rFont val="Noto Sans CJK KR"/>
        <family val="2"/>
      </rPr>
      <t xml:space="preserve">정비 기한 준수 ↔ 생산 손실</t>
    </r>
    <r>
      <rPr>
        <sz val="10"/>
        <rFont val="Arial"/>
        <family val="0"/>
        <charset val="1"/>
      </rPr>
      <t xml:space="preserve">,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상충이 에이전트 제안의 재료가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전략맵 그리기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포털에서 사건마다 조치를 회사 목표에 잇는다</t>
    </r>
  </si>
  <si>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(BSC),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(KPI), </t>
    </r>
    <r>
      <rPr>
        <sz val="10"/>
        <rFont val="Noto Sans CJK KR"/>
        <family val="2"/>
      </rPr>
      <t xml:space="preserve">상충</t>
    </r>
  </si>
  <si>
    <r>
      <rPr>
        <sz val="10"/>
        <rFont val="Arial"/>
        <family val="0"/>
        <charset val="1"/>
      </rPr>
      <t xml:space="preserve">[OPA1] </t>
    </r>
    <r>
      <rPr>
        <sz val="10"/>
        <rFont val="Noto Sans CJK KR"/>
        <family val="2"/>
      </rPr>
      <t xml:space="preserve">문서가 없으면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멈춘다 — 지식 지도에서 쿨러 과열의 빈칸을 찾는다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</si>
  <si>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시연에서 본 그 일꾼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지식이 없으면 어떻게 될까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모델의 한계</t>
    </r>
    <r>
      <rPr>
        <sz val="10"/>
        <rFont val="Arial"/>
        <family val="0"/>
        <charset val="1"/>
      </rPr>
      <t xml:space="preserve">(OT1) ·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(OT5 · OT6) / </t>
    </r>
    <r>
      <rPr>
        <sz val="10"/>
        <rFont val="Noto Sans CJK KR"/>
        <family val="2"/>
      </rPr>
      <t xml:space="preserve">화면 안내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관리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쿨러 열화 주입 → 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보류하는 것을 보고 보류 사유를 함께 읽는다 → 지식의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수업용 구조판에서 </t>
    </r>
    <r>
      <rPr>
        <sz val="10"/>
        <rFont val="Arial"/>
        <family val="0"/>
        <charset val="1"/>
      </rPr>
      <t xml:space="preserve">HYD-01 ·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센서를 찾는다 →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칸이 비어 있음을 확인한다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빈칸이 다음 행에서 채울 것이다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빈칸을 쿨러 매뉴얼로 채운다</t>
    </r>
  </si>
  <si>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근거 없음 보류</t>
    </r>
  </si>
  <si>
    <r>
      <rPr>
        <sz val="10"/>
        <rFont val="Noto Sans CJK KR"/>
        <family val="2"/>
      </rPr>
      <t xml:space="preserve">강사가 천천히 누르며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학생 따라 하기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</si>
  <si>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보류 사유가 뜬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빈칸을 찾은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</si>
  <si>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[OPA2] </t>
    </r>
    <r>
      <rPr>
        <sz val="10"/>
        <rFont val="Noto Sans CJK KR"/>
        <family val="2"/>
      </rPr>
      <t xml:space="preserve">빈칸을 채운다 — 쿨러 매뉴얼을 넣어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조치가 있는 지식으로 만든다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다섯 단계 전부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</si>
  <si>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요리책에서 레시피 카드 뽑기를 이번엔 진짜 매뉴얼로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빈칸</t>
    </r>
    <r>
      <rPr>
        <sz val="10"/>
        <rFont val="Arial"/>
        <family val="0"/>
        <charset val="1"/>
      </rPr>
      <t xml:space="preserve">(OPA1) / A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매뉴얼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판정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함께 읽는다 → 올리기 → 구간 나누기 결과를 보며 절차가 끊기지 않았나 확인 → 추출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2~3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기다리는 동안 무엇을 뽑는지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추출 제안 화면에서 자동 표시된 항목을 원문과 대조하고 하나는 고친다 → 등록 → 지도에 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노드가 생긴 것을 본다 → 다시 경보를 넣으면 이번엔 보류 없이 원인을 든다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생긴 지식에 물어본다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</si>
  <si>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추출 제안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관계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</si>
  <si>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제안이 뜬 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원문 대조를 직접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등록 직후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</t>
    </r>
  </si>
  <si>
    <r>
      <rPr>
        <sz val="10"/>
        <rFont val="Arial"/>
        <family val="0"/>
        <charset val="1"/>
      </rPr>
      <t xml:space="preserve">[OPA3] </t>
    </r>
    <r>
      <rPr>
        <sz val="10"/>
        <rFont val="Noto Sans CJK KR"/>
        <family val="2"/>
      </rPr>
      <t xml:space="preserve">지식이 생겼으니 물어본다 — 쿨러 과열 질문에 지나간 길과 원문 구절을 근거로 한 답을 받는다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</si>
  <si>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이제 이 일꾼은 무엇을 근거로 대답할까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묻기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(OT9 · OT10) · </t>
    </r>
    <r>
      <rPr>
        <sz val="10"/>
        <rFont val="Noto Sans CJK KR"/>
        <family val="2"/>
      </rPr>
      <t xml:space="preserve">등록한 지식</t>
    </r>
    <r>
      <rPr>
        <sz val="10"/>
        <rFont val="Arial"/>
        <family val="0"/>
        <charset val="1"/>
      </rPr>
      <t xml:space="preserve">(OPA2) / </t>
    </r>
    <r>
      <rPr>
        <sz val="10"/>
        <rFont val="Noto Sans CJK KR"/>
        <family val="2"/>
      </rPr>
      <t xml:space="preserve">경보 → 증상 → 원인 → 증거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조치의 길을 지도에서 손으로 따라간다 → </t>
    </r>
    <r>
      <rPr>
        <sz val="10"/>
        <rFont val="Arial"/>
        <family val="0"/>
        <charset val="1"/>
      </rPr>
      <t xml:space="preserve">OPA1</t>
    </r>
    <r>
      <rPr>
        <sz val="10"/>
        <rFont val="Noto Sans CJK KR"/>
        <family val="2"/>
      </rPr>
      <t xml:space="preserve">에서 적은 보류 사유를 꼭 답할 질문 세 개로 바꿔 넣는다 → 답을 기다리며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45 s) </t>
    </r>
    <r>
      <rPr>
        <sz val="10"/>
        <rFont val="Noto Sans CJK KR"/>
        <family val="2"/>
      </rPr>
      <t xml:space="preserve">무엇을 보는지 설명 → 답의 근거 노드와 원문 구절을 눌러 읽는다 → 관계 하나를 끊으면 질문이 실패하는 것을 보고 되돌린다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답이 가리킨 조치를 실제로 하려면 지금 값이 필요하다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</si>
  <si>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</si>
  <si>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질문을 넣기 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직접 써 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개념을 이 행에서 처음 설명한다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실전반은 지도에 묻기도 — 이론 행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</si>
  <si>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[OPA4] </t>
    </r>
    <r>
      <rPr>
        <sz val="10"/>
        <rFont val="Noto Sans CJK KR"/>
        <family val="2"/>
      </rPr>
      <t xml:space="preserve">답이 가리킨 조치를 하려면 지금 값이 필요하다 — 유온 시계열과 생산 오더 납기의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지식에 잇는다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</si>
  <si>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지도에 오늘 유온을 적어 두면 내일도 맞을까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(OT11) · </t>
    </r>
    <r>
      <rPr>
        <sz val="10"/>
        <rFont val="Noto Sans CJK KR"/>
        <family val="2"/>
      </rPr>
      <t xml:space="preserve">근거 있는 답</t>
    </r>
    <r>
      <rPr>
        <sz val="10"/>
        <rFont val="Arial"/>
        <family val="0"/>
        <charset val="1"/>
      </rPr>
      <t xml:space="preserve">(OPA3) / </t>
    </r>
    <r>
      <rPr>
        <sz val="10"/>
        <rFont val="Noto Sans CJK KR"/>
        <family val="2"/>
      </rPr>
      <t xml:space="preserve">업무 데이터 연결 화면 → 유온 시계열과 생산 오더 납기가 어느 표 어느 칸인지 고른다 → 조치 노드에 자리로 잇는다 → 조회해서 지금 값이 나오는 것을 본다 → 지식 쪽에는 값이 하나도 없다는 것을 확인한다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이제 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몇 도인지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원천에서 읽을 수 있다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조치가 회사에 무엇을 주는지 잇는다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</si>
  <si>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데이터 소스 링크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</si>
  <si>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칸을 고르기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 개념을 이 행에서 처음 설명한다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이론 행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</si>
  <si>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[OPA5] </t>
    </r>
    <r>
      <rPr>
        <sz val="10"/>
        <rFont val="Noto Sans CJK KR"/>
        <family val="2"/>
      </rPr>
      <t xml:space="preserve">조치가 회사에 무엇을 주고 무엇과 부딪히는지 잇는다 — 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수명과의 상충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</si>
  <si>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팬을 최대로 돌리면 다 좋은 걸까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(OT12) · </t>
    </r>
    <r>
      <rPr>
        <sz val="10"/>
        <rFont val="Noto Sans CJK KR"/>
        <family val="2"/>
      </rPr>
      <t xml:space="preserve">지금 값의 자리</t>
    </r>
    <r>
      <rPr>
        <sz val="10"/>
        <rFont val="Arial"/>
        <family val="0"/>
        <charset val="1"/>
      </rPr>
      <t xml:space="preserve">(OPA4) / </t>
    </r>
    <r>
      <rPr>
        <sz val="10"/>
        <rFont val="Noto Sans CJK KR"/>
        <family val="2"/>
      </rPr>
      <t xml:space="preserve">회사 목표 층을 연다 → 즉시 완화 조치에서 납기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영업이익까지 화살표를 따라간다 → 팬 최대 운전이 팬 수명과 부딪히는 상충 관계를 찾는다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상충이 에이전트 막에서 추천을 가르는 재료가 된다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다섯 단계를 정기 정비 문서로</t>
    </r>
  </si>
  <si>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</si>
  <si>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</si>
  <si>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rFont val="Arial"/>
        <family val="0"/>
        <charset val="1"/>
      </rPr>
      <t xml:space="preserve">[OPB1]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정비도 문서가 없으면 멈춘다 — 운전시간 </t>
    </r>
    <r>
      <rPr>
        <sz val="10"/>
        <rFont val="Arial"/>
        <family val="0"/>
        <charset val="1"/>
      </rPr>
      <t xml:space="preserve">2,000 h</t>
    </r>
    <r>
      <rPr>
        <sz val="10"/>
        <rFont val="Noto Sans CJK KR"/>
        <family val="2"/>
      </rPr>
      <t xml:space="preserve">가 됐는데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 비어 있다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</si>
  <si>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고장이 아직 안 났는데 일꾼은 무엇을 근거로 정비를 제안할까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에서 해 본 보류 → 빈칸 찾기</t>
    </r>
    <r>
      <rPr>
        <sz val="10"/>
        <rFont val="Arial"/>
        <family val="0"/>
        <charset val="1"/>
      </rPr>
      <t xml:space="preserve">(OPA1)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이번엔 학생이 먼저 해 보고 강사가 확인한다 — 운전시간 빨리 감기 </t>
    </r>
    <r>
      <rPr>
        <sz val="10"/>
        <rFont val="Arial"/>
        <family val="0"/>
        <charset val="1"/>
      </rPr>
      <t xml:space="preserve">+300 h → </t>
    </r>
    <r>
      <rPr>
        <sz val="10"/>
        <rFont val="Noto Sans CJK KR"/>
        <family val="2"/>
      </rPr>
      <t xml:space="preserve">정비 도래 보류 → 보류 사유 읽기 → 지도에서 </t>
    </r>
    <r>
      <rPr>
        <sz val="10"/>
        <rFont val="Arial"/>
        <family val="0"/>
        <charset val="1"/>
      </rPr>
      <t xml:space="preserve">HYD-02 · </t>
    </r>
    <r>
      <rPr>
        <sz val="10"/>
        <rFont val="Noto Sans CJK KR"/>
        <family val="2"/>
      </rPr>
      <t xml:space="preserve">운전시간 계수기 찾기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비어 있는 것이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고장 → 조치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고장을 막는 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칸이라는 것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학생에게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멈췄나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말로 설명하게 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정기 점검표로 이 칸을 채운다</t>
    </r>
  </si>
  <si>
    <r>
      <rPr>
        <sz val="10"/>
        <rFont val="Noto Sans CJK KR"/>
        <family val="2"/>
      </rPr>
      <t xml:space="preserve">근거 없음 보류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칸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</si>
  <si>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보류 사유가 뜬 뒤 — 스스로 찾아보기</t>
    </r>
  </si>
  <si>
    <r>
      <rPr>
        <sz val="10"/>
        <rFont val="Arial"/>
        <family val="0"/>
        <charset val="1"/>
      </rPr>
      <t xml:space="preserve">[OPB2]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점검표를 넣으면 고치는 정비와 다른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지식에 생긴다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</si>
  <si>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같은 다섯 단계인데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이번 문서에는 시간표가 들어 있다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문서 적재 다섯 단계</t>
    </r>
    <r>
      <rPr>
        <sz val="10"/>
        <rFont val="Arial"/>
        <family val="0"/>
        <charset val="1"/>
      </rPr>
      <t xml:space="preserve">(OPA2)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다섯 단계를 다시 밟되 학생이 먼저 누르고 강사가 단계 이름을 묻는다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올리기 → 구간 → 추출 → 원문 대조 → 등록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(OEM </t>
    </r>
    <r>
      <rPr>
        <sz val="10"/>
        <rFont val="Noto Sans CJK KR"/>
        <family val="2"/>
      </rPr>
      <t xml:space="preserve">정기 점검표 — </t>
    </r>
    <r>
      <rPr>
        <sz val="10"/>
        <rFont val="Arial"/>
        <family val="0"/>
        <charset val="1"/>
      </rPr>
      <t xml:space="preserve">2,000 · 4,000 · 8,000 h </t>
    </r>
    <r>
      <rPr>
        <sz val="10"/>
        <rFont val="Noto Sans CJK KR"/>
        <family val="2"/>
      </rPr>
      <t xml:space="preserve">패키지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±10 % = 2,000 h </t>
    </r>
    <r>
      <rPr>
        <sz val="10"/>
        <rFont val="Noto Sans CJK KR"/>
        <family val="2"/>
      </rPr>
      <t xml:space="preserve">앞뒤 </t>
    </r>
    <r>
      <rPr>
        <sz val="10"/>
        <rFont val="Arial"/>
        <family val="0"/>
        <charset val="1"/>
      </rPr>
      <t xml:space="preserve">200 h, </t>
    </r>
    <r>
      <rPr>
        <sz val="10"/>
        <rFont val="Noto Sans CJK KR"/>
        <family val="2"/>
      </rPr>
      <t xml:space="preserve">잔압 해제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전에 배관에 남은 압력 빼기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시운전 기준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읽는다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잔압 해제 전 작업 금지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검토에서 꼭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관계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 유형 → 정비 절차</t>
    </r>
    <r>
      <rPr>
        <sz val="10"/>
        <rFont val="Arial"/>
        <family val="0"/>
        <charset val="1"/>
      </rPr>
      <t xml:space="preserve">)"</t>
    </r>
    <r>
      <rPr>
        <sz val="10"/>
        <rFont val="Noto Sans CJK KR"/>
        <family val="2"/>
      </rPr>
      <t xml:space="preserve">가 생긴다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지식에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언제 무엇을 하나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묻는다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</si>
  <si>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관계</t>
    </r>
    <r>
      <rPr>
        <sz val="10"/>
        <rFont val="Arial"/>
        <family val="0"/>
        <charset val="1"/>
      </rPr>
      <t xml:space="preserve">(PREVENTED_BY), </t>
    </r>
    <r>
      <rPr>
        <sz val="10"/>
        <rFont val="Noto Sans CJK KR"/>
        <family val="2"/>
      </rPr>
      <t xml:space="preserve">금지 규칙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</si>
  <si>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제안이 뜬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</t>
    </r>
  </si>
  <si>
    <r>
      <rPr>
        <sz val="10"/>
        <rFont val="Arial"/>
        <family val="0"/>
        <charset val="1"/>
      </rPr>
      <t xml:space="preserve">[OPB3]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지식에 물으면 고장이 나기 전에 무엇을 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기한을 넘기면 어떻게 되는지 답한다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</si>
  <si>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허용 오차를 넘기면 무슨 일이 생기지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질문으로 확인하기</t>
    </r>
    <r>
      <rPr>
        <sz val="10"/>
        <rFont val="Arial"/>
        <family val="0"/>
        <charset val="1"/>
      </rPr>
      <t xml:space="preserve">(OPA3)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셋을 학생이 직접 쓰고 넣는다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길이 고장에서 시작하지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도래 → 정비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막는 고장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고장 앞에서 시작한다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질문 하나는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허용 오차 밖으로 미루면</t>
    </r>
    <r>
      <rPr>
        <sz val="10"/>
        <rFont val="Arial"/>
        <family val="0"/>
        <charset val="1"/>
      </rPr>
      <t xml:space="preserve">?"(</t>
    </r>
    <r>
      <rPr>
        <sz val="10"/>
        <rFont val="Noto Sans CJK KR"/>
        <family val="2"/>
      </rPr>
      <t xml:space="preserve">제조사 보증 조건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오더의 자리를 잇는다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</si>
  <si>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조치의 길</t>
    </r>
  </si>
  <si>
    <r>
      <rPr>
        <sz val="10"/>
        <rFont val="Arial"/>
        <family val="0"/>
        <charset val="1"/>
      </rPr>
      <t xml:space="preserve">[OPB4]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정비 일정을 잡으려면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오더가 필요하다 — 자리 넷을 잇는다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</si>
  <si>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밤 정비할 수 있는지는 무엇을 봐야 알까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(OPA4)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데이터 연결에서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고르기 → 자리로 잇기 →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 값 없음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먼저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값이 센서가 아니라 업무 시스템</t>
    </r>
    <r>
      <rPr>
        <sz val="10"/>
        <rFont val="Arial"/>
        <family val="0"/>
        <charset val="1"/>
      </rPr>
      <t xml:space="preserve">(CMMS · </t>
    </r>
    <r>
      <rPr>
        <sz val="10"/>
        <rFont val="Noto Sans CJK KR"/>
        <family val="2"/>
      </rPr>
      <t xml:space="preserve">생산 계획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있다 — 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예정된 정비 시간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준수와 생산 손실이 부딪힌다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</si>
  <si>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(CMMS · </t>
    </r>
    <r>
      <rPr>
        <sz val="10"/>
        <rFont val="Noto Sans CJK KR"/>
        <family val="2"/>
      </rPr>
      <t xml:space="preserve">생산 계획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</si>
  <si>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[OPB5]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정비가 회사에 주는 것 —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비율이 생산 손실과 부딪힌다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</si>
  <si>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정비를 지키면 생산이 서고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생산을 지키면 정비가 밀린다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(OPA5)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회사 목표 층에서 조치 → 지표 → 영업이익 화살표를 학생이 따라간다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정비는 오늘 돈을 쓰고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생산 손실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내일의 큰 고장을 막는다 —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학생에게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이 둘이 부딪히나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말하게 하고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다섯 단계를 예비품 기준서로</t>
    </r>
  </si>
  <si>
    <t xml:space="preserve">C</t>
  </si>
  <si>
    <r>
      <rPr>
        <sz val="10"/>
        <rFont val="Arial"/>
        <family val="0"/>
        <charset val="1"/>
      </rPr>
      <t xml:space="preserve">[OPC1]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씰 키트가 재주문점 아래로 떨어져도 문서가 없으면 일꾼은 어디서 살지 모른다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</si>
  <si>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"B</t>
    </r>
    <r>
      <rPr>
        <sz val="10"/>
        <rFont val="Noto Sans CJK KR"/>
        <family val="2"/>
      </rPr>
      <t xml:space="preserve">가 정비에 쓴 그 씰 키트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창고에 몇 개 남았을까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보류 → 빈칸 찾기</t>
    </r>
    <r>
      <rPr>
        <sz val="10"/>
        <rFont val="Arial"/>
        <family val="0"/>
        <charset val="1"/>
      </rPr>
      <t xml:space="preserve">(OPA1 · OPB1)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학생이 혼자 보류 → 사유 → 빈칸 찾기를 하고 강사는 확인만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시작이 센서도 계수기도 아닌 창고 재고</t>
    </r>
    <r>
      <rPr>
        <sz val="10"/>
        <rFont val="Arial"/>
        <family val="0"/>
        <charset val="1"/>
      </rPr>
      <t xml:space="preserve">(ERP)</t>
    </r>
    <r>
      <rPr>
        <sz val="10"/>
        <rFont val="Noto Sans CJK KR"/>
        <family val="2"/>
      </rPr>
      <t xml:space="preserve">다 — 자재 출고 씰 키트 −</t>
    </r>
    <r>
      <rPr>
        <sz val="10"/>
        <rFont val="Arial"/>
        <family val="0"/>
        <charset val="1"/>
      </rPr>
      <t xml:space="preserve">2 → </t>
    </r>
    <r>
      <rPr>
        <sz val="10"/>
        <rFont val="Noto Sans CJK KR"/>
        <family val="2"/>
      </rPr>
      <t xml:space="preserve">재고 경보 보류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비어 있는 칸은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</t>
    </r>
    <r>
      <rPr>
        <sz val="10"/>
        <rFont val="Arial"/>
        <family val="0"/>
        <charset val="1"/>
      </rPr>
      <t xml:space="preserve">". B</t>
    </r>
    <r>
      <rPr>
        <sz val="10"/>
        <rFont val="Noto Sans CJK KR"/>
        <family val="2"/>
      </rPr>
      <t xml:space="preserve">가 쓴 부품을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채운다는 연결을 짚는다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예비품 관리 기준서로 채운다</t>
    </r>
  </si>
  <si>
    <r>
      <rPr>
        <sz val="10"/>
        <rFont val="Noto Sans CJK KR"/>
        <family val="2"/>
      </rPr>
      <t xml:space="preserve">근거 없음 보류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 칸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</si>
  <si>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보류 사유가 뜬 뒤 — 혼자 해 보기</t>
    </r>
  </si>
  <si>
    <r>
      <rPr>
        <sz val="10"/>
        <rFont val="Arial"/>
        <family val="0"/>
        <charset val="1"/>
      </rPr>
      <t xml:space="preserve">[OPC2]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관리 기준서를 넣으면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규정이 한 지도에 이어진다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</si>
  <si>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가장 싼 곳에서 사면 안 되는 이유가 문서 어딘가에 있다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적재 다섯 단계</t>
    </r>
    <r>
      <rPr>
        <sz val="10"/>
        <rFont val="Arial"/>
        <family val="0"/>
        <charset val="1"/>
      </rPr>
      <t xml:space="preserve">(OPA2 · OPB2)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다섯 단계를 학생이 스스로 밟고 강사는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몇 번째 단계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만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관리 기준서 — 재주문점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재고가 이 아래로 떨어지면 주문하는 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공급사 목록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읽는다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검토에서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셋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정밀 </t>
    </r>
    <r>
      <rPr>
        <sz val="10"/>
        <rFont val="Arial"/>
        <family val="0"/>
        <charset val="1"/>
      </rPr>
      <t xml:space="preserve">· B-OEM ·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여부가 노드로 생긴다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어디서 사면 안 되는지 묻는다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</si>
  <si>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</si>
  <si>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[OPC3]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지식에 물으면 어느 공급사에서 사면 안 되는지까지 근거를 들고 답한다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</si>
  <si>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"C</t>
    </r>
    <r>
      <rPr>
        <sz val="10"/>
        <rFont val="Noto Sans CJK KR"/>
        <family val="2"/>
      </rPr>
      <t xml:space="preserve">트레이딩이 제일 싼데 왜 안 되지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(OPA3 · OPB3)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셋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 → 쓰이는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규칙 → 발주 절차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부품에서 시작해 규정으로 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질문 하나는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키트가 모자라면 어느 정비가 늦나</t>
    </r>
    <r>
      <rPr>
        <sz val="10"/>
        <rFont val="Arial"/>
        <family val="0"/>
        <charset val="1"/>
      </rPr>
      <t xml:space="preserve">?"(B</t>
    </r>
    <r>
      <rPr>
        <sz val="10"/>
        <rFont val="Noto Sans CJK KR"/>
        <family val="2"/>
      </rPr>
      <t xml:space="preserve">와 이어짐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찾아 붙이기로는 어려웠던 그 연결 질문</t>
    </r>
    <r>
      <rPr>
        <sz val="10"/>
        <rFont val="Arial"/>
        <family val="0"/>
        <charset val="1"/>
      </rPr>
      <t xml:space="preserve">(OT2)</t>
    </r>
    <r>
      <rPr>
        <sz val="10"/>
        <rFont val="Noto Sans CJK KR"/>
        <family val="2"/>
      </rPr>
      <t xml:space="preserve">이다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조건의 자리를 잇는다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</si>
  <si>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</si>
  <si>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[OPC4]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몇 개를 어디서 살지 정하려면 지금 재고와 공급 조건이 필요하다 — 자리를 잇는다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</si>
  <si>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창고에 몇 개 있는지는 창고 시스템이 안다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(OPA4 · OPB4)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고르기 → 자리 잇기 →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없음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값이 </t>
    </r>
    <r>
      <rPr>
        <sz val="10"/>
        <rFont val="Arial"/>
        <family val="0"/>
        <charset val="1"/>
      </rPr>
      <t xml:space="preserve">ERP(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조건은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오늘 단가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섞여 있어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규정이고 무엇이 오늘 값인가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가른다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과 총 구매비가 부딪힌다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</si>
  <si>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(ERP)</t>
    </r>
  </si>
  <si>
    <r>
      <rPr>
        <sz val="10"/>
        <rFont val="Arial"/>
        <family val="0"/>
        <charset val="1"/>
      </rPr>
      <t xml:space="preserve">[OPC5]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구매가 회사에 주는 것 — 결품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과 총 구매비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품질이 부딪힌다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</si>
  <si>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많이 사 두면 안 모자라지만 돈이 묶인다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(OPA5 · OPB5)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 → 지표 → 영업이익 화살표를 학생이 따라간다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지도 모두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조치라는 같은 틀인데</t>
    </r>
    <r>
      <rPr>
        <sz val="10"/>
        <rFont val="Arial"/>
        <family val="0"/>
        <charset val="1"/>
      </rPr>
      <t xml:space="preserve">, A</t>
    </r>
    <r>
      <rPr>
        <sz val="10"/>
        <rFont val="Noto Sans CJK KR"/>
        <family val="2"/>
      </rPr>
      <t xml:space="preserve">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, B</t>
    </r>
    <r>
      <rPr>
        <sz val="10"/>
        <rFont val="Noto Sans CJK KR"/>
        <family val="2"/>
      </rPr>
      <t xml:space="preserve">는 예방 조치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는 공급 조건과 금지로 채워졌다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세 지식을 쓰는 일꾼 셋을 만든다</t>
    </r>
  </si>
  <si>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 재사용</t>
    </r>
  </si>
  <si>
    <r>
      <rPr>
        <sz val="10"/>
        <rFont val="Arial"/>
        <family val="0"/>
        <charset val="1"/>
      </rPr>
      <t xml:space="preserve">[OL1] </t>
    </r>
    <r>
      <rPr>
        <sz val="10"/>
        <rFont val="Noto Sans CJK KR"/>
        <family val="2"/>
      </rPr>
      <t xml:space="preserve">말로 시켜 만드는 조수와 처음 일한다 — 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물어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공장을 모른다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내 눈으로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</si>
  <si>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코딩을 몰라도 말로 시키면 만들어 준다 — 단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확인은 내가 한다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모델의 한계</t>
    </r>
    <r>
      <rPr>
        <sz val="10"/>
        <rFont val="Arial"/>
        <family val="0"/>
        <charset val="1"/>
      </rPr>
      <t xml:space="preserve">(OT1) · </t>
    </r>
    <r>
      <rPr>
        <sz val="10"/>
        <rFont val="Noto Sans CJK KR"/>
        <family val="2"/>
      </rPr>
      <t xml:space="preserve">포털에서 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"(OPA1) / </t>
    </r>
    <r>
      <rPr>
        <sz val="10"/>
        <rFont val="Noto Sans CJK KR"/>
        <family val="2"/>
      </rPr>
      <t xml:space="preserve">말로 시키고 결과를 확인하는 방식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무엇인지</t>
    </r>
    <r>
      <rPr>
        <sz val="10"/>
        <rFont val="Arial"/>
        <family val="0"/>
        <charset val="1"/>
      </rPr>
      <t xml:space="preserve">. 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폴더 열기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조수 켜기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키로 연결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파일로 남기기 → 생성 대기 → 만든 것을 쉬운 말로 읽기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 → 출발본으로 되돌리기 연습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행부터 같은 조수로 지식을 직접 만든다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</si>
  <si>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Claude Code, </t>
    </r>
    <r>
      <rPr>
        <sz val="10"/>
        <rFont val="Noto Sans CJK KR"/>
        <family val="2"/>
      </rPr>
      <t xml:space="preserve">언어 모델</t>
    </r>
  </si>
  <si>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강사 시연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 → 따라 만들기 → 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고치기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</si>
  <si>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첫 지시를 보내기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 파일이 생긴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</si>
  <si>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r>
      <rPr>
        <sz val="10"/>
        <rFont val="Arial"/>
        <family val="0"/>
        <charset val="1"/>
      </rPr>
      <t xml:space="preserve">[OL2] </t>
    </r>
    <r>
      <rPr>
        <sz val="10"/>
        <rFont val="Noto Sans CJK KR"/>
        <family val="2"/>
      </rPr>
      <t xml:space="preserve">지식의 틀을 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직접 세운다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</si>
  <si>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포털 지도의 그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말로 만들 수 있을까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카페 그림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(OT5 · OT6) · </t>
    </r>
    <r>
      <rPr>
        <sz val="10"/>
        <rFont val="Noto Sans CJK KR"/>
        <family val="2"/>
      </rPr>
      <t xml:space="preserve">포털에서 읽은 틀</t>
    </r>
    <r>
      <rPr>
        <sz val="10"/>
        <rFont val="Arial"/>
        <family val="0"/>
        <charset val="1"/>
      </rPr>
      <t xml:space="preserve">(OPA1) /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  <r>
      <rPr>
        <sz val="10"/>
        <rFont val="Arial"/>
        <family val="0"/>
        <charset val="1"/>
      </rPr>
      <t xml:space="preserve">(Neo4j Browser)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(OT4)</t>
    </r>
    <r>
      <rPr>
        <sz val="10"/>
        <rFont val="Noto Sans CJK KR"/>
        <family val="2"/>
      </rPr>
      <t xml:space="preserve">를 붙여 넣어 그림으로 보기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그다음 조수에게 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쪽을 주고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설비 이름이 두 번 생기지 않게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만들게 한다 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관계 셋 포함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생성 대기 → 그림 읽기 → 빠진 관계를 고치는 두 번째 지시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틀에 공장 뼈대를 채운다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</si>
  <si>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DB(Neo4j),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</si>
  <si>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그림이 뜬 뒤 — 빠진 관계 찾기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</si>
  <si>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r>
      <rPr>
        <sz val="10"/>
        <rFont val="Arial"/>
        <family val="0"/>
        <charset val="1"/>
      </rPr>
      <t xml:space="preserve">[OL3] </t>
    </r>
    <r>
      <rPr>
        <sz val="10"/>
        <rFont val="Noto Sans CJK KR"/>
        <family val="2"/>
      </rPr>
      <t xml:space="preserve">공장 뼈대를 틀에 채운다 — 두 번 넣어도 같은 결과가 나와야 믿을 수 있다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</si>
  <si>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두 번 넣었더니 </t>
    </r>
    <r>
      <rPr>
        <sz val="10"/>
        <rFont val="Arial"/>
        <family val="0"/>
        <charset val="1"/>
      </rPr>
      <t xml:space="preserve">HYD-01</t>
    </r>
    <r>
      <rPr>
        <sz val="10"/>
        <rFont val="Noto Sans CJK KR"/>
        <family val="2"/>
      </rPr>
      <t xml:space="preserve">이 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틀</t>
    </r>
    <r>
      <rPr>
        <sz val="10"/>
        <rFont val="Arial"/>
        <family val="0"/>
        <charset val="1"/>
      </rPr>
      <t xml:space="preserve">(OL2) · </t>
    </r>
    <r>
      <rPr>
        <sz val="10"/>
        <rFont val="Noto Sans CJK KR"/>
        <family val="2"/>
      </rPr>
      <t xml:space="preserve">포털 구조판</t>
    </r>
    <r>
      <rPr>
        <sz val="10"/>
        <rFont val="Arial"/>
        <family val="0"/>
        <charset val="1"/>
      </rPr>
      <t xml:space="preserve">(OPA1) / 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CSV</t>
    </r>
    <r>
      <rPr>
        <sz val="10"/>
        <rFont val="Noto Sans CJK KR"/>
        <family val="2"/>
      </rPr>
      <t xml:space="preserve">를 틀에 넣는 적재기를 시킨다 → 두 번 실행해 노드 수가 그대로인지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중복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잘못된 판단의 씨앗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세 사건 출발 노드가 보이는지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문서를 나눈다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</si>
  <si>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중복 없는 적재</t>
    </r>
    <r>
      <rPr>
        <sz val="10"/>
        <rFont val="Arial"/>
        <family val="0"/>
        <charset val="1"/>
      </rPr>
      <t xml:space="preserve">(MERGE)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</si>
  <si>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실전반에서는 공장 뼈대를 출발본으로 준다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반 전체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대기를 줄이고 문서 적재에 시간을 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L3</t>
    </r>
  </si>
  <si>
    <r>
      <rPr>
        <sz val="10"/>
        <rFont val="Arial"/>
        <family val="0"/>
        <charset val="1"/>
      </rPr>
      <t xml:space="preserve">[OL4] </t>
    </r>
    <r>
      <rPr>
        <sz val="10"/>
        <rFont val="Noto Sans CJK KR"/>
        <family val="2"/>
      </rPr>
      <t xml:space="preserve">세 문서를 절차 중간에서 끊지 않고 나눈다 — 포털의 구간 나누기를 내 손으로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</si>
  <si>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단계 중간에서 쪽이 넘어가면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포털에서 본 구간 결과</t>
    </r>
    <r>
      <rPr>
        <sz val="10"/>
        <rFont val="Arial"/>
        <family val="0"/>
        <charset val="1"/>
      </rPr>
      <t xml:space="preserve">(OPA2 · OPB2 · OPC2) / </t>
    </r>
    <r>
      <rPr>
        <sz val="10"/>
        <rFont val="Noto Sans CJK KR"/>
        <family val="2"/>
      </rPr>
      <t xml:space="preserve">세 문서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쿨러 매뉴얼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점검표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기준서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절 단위로 나누는 지시 → 조각 목록과 경계 읽기 → 절차가 끊긴 조각을 찾아 다시 나누게 고치기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매뉴얼은 구간이 어떻게 나뉘는지 녹화로 보여 준다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조각에서 지식을 뽑는다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</si>
  <si>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구간 나누기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청킹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</si>
  <si>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L4</t>
    </r>
  </si>
  <si>
    <r>
      <rPr>
        <sz val="10"/>
        <rFont val="Arial"/>
        <family val="0"/>
        <charset val="1"/>
      </rPr>
      <t xml:space="preserve">[OL5] </t>
    </r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</si>
  <si>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"AI</t>
    </r>
    <r>
      <rPr>
        <sz val="10"/>
        <rFont val="Noto Sans CJK KR"/>
        <family val="2"/>
      </rPr>
      <t xml:space="preserve">가 틀에 없는 것까지 신나게 뽑아 온다 — 어떻게 거를까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내 틀</t>
    </r>
    <r>
      <rPr>
        <sz val="10"/>
        <rFont val="Arial"/>
        <family val="0"/>
        <charset val="1"/>
      </rPr>
      <t xml:space="preserve">(OL2) · </t>
    </r>
    <r>
      <rPr>
        <sz val="10"/>
        <rFont val="Noto Sans CJK KR"/>
        <family val="2"/>
      </rPr>
      <t xml:space="preserve">조각</t>
    </r>
    <r>
      <rPr>
        <sz val="10"/>
        <rFont val="Arial"/>
        <family val="0"/>
        <charset val="1"/>
      </rPr>
      <t xml:space="preserve">(OL4) / </t>
    </r>
    <r>
      <rPr>
        <sz val="10"/>
        <rFont val="Noto Sans CJK KR"/>
        <family val="2"/>
      </rPr>
      <t xml:space="preserve">조각마다 틀에 맞춰 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 밖 항목은 버리고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원문 구간을 붙이라는 지시 → 세 문서 추출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문서마다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분 안팎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거절 목록 읽기 →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에서 금지 규칙이 뽑혔는지 확인 → 일부러 틀을 빼고 시켜 틀 밖 항목이 쏟아지는 것을 보고 되돌린다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사람이 확인한 것만 등록한다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</si>
  <si>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AI </t>
    </r>
    <r>
      <rPr>
        <sz val="10"/>
        <rFont val="Noto Sans CJK KR"/>
        <family val="2"/>
      </rPr>
      <t xml:space="preserve">추출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출처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</si>
  <si>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 ·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</si>
  <si>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r>
      <rPr>
        <sz val="10"/>
        <rFont val="Arial"/>
        <family val="0"/>
        <charset val="1"/>
      </rPr>
      <t xml:space="preserve">[OL6] </t>
    </r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</si>
  <si>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"AI</t>
    </r>
    <r>
      <rPr>
        <sz val="10"/>
        <rFont val="Noto Sans CJK KR"/>
        <family val="2"/>
      </rPr>
      <t xml:space="preserve">가 뽑은 것을 그대로 넣으면 틀린 것도 지식이 된다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포털 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</t>
    </r>
    <r>
      <rPr>
        <sz val="10"/>
        <rFont val="Arial"/>
        <family val="0"/>
        <charset val="1"/>
      </rPr>
      <t xml:space="preserve">(OPA2) / </t>
    </r>
    <r>
      <rPr>
        <sz val="10"/>
        <rFont val="Noto Sans CJK KR"/>
        <family val="2"/>
      </rPr>
      <t xml:space="preserve">추출 결과를 검토 목록으로 보여 주게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승인한 것만 고장 유형에 이어 등록 → 승인 안 한 항목이 안 들어갔는지 확인 → 방금 넣은 묶음 되돌리기 → 다시 등록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창에서 세 사건의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지식 지도에 묻는다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</si>
  <si>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</si>
  <si>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L6</t>
    </r>
  </si>
  <si>
    <r>
      <rPr>
        <sz val="10"/>
        <rFont val="Arial"/>
        <family val="0"/>
        <charset val="1"/>
      </rPr>
      <t xml:space="preserve">[OL7] </t>
    </r>
    <r>
      <rPr>
        <sz val="10"/>
        <rFont val="Noto Sans CJK KR"/>
        <family val="2"/>
      </rPr>
      <t xml:space="preserve">내 지식 지도에 물으면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 — 문서만 찾아 붙인 답과 견줘 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</si>
  <si>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도서관 사서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노선도 — 진짜로 겨뤄 보자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(OT9 · OT10) · </t>
    </r>
    <r>
      <rPr>
        <sz val="10"/>
        <rFont val="Noto Sans CJK KR"/>
        <family val="2"/>
      </rPr>
      <t xml:space="preserve">찾아 붙이기의 한계</t>
    </r>
    <r>
      <rPr>
        <sz val="10"/>
        <rFont val="Arial"/>
        <family val="0"/>
        <charset val="1"/>
      </rPr>
      <t xml:space="preserve">(OT2) · </t>
    </r>
    <r>
      <rPr>
        <sz val="10"/>
        <rFont val="Noto Sans CJK KR"/>
        <family val="2"/>
      </rPr>
      <t xml:space="preserve">포털 꼭 답할 질문</t>
    </r>
    <r>
      <rPr>
        <sz val="10"/>
        <rFont val="Arial"/>
        <family val="0"/>
        <charset val="1"/>
      </rPr>
      <t xml:space="preserve">(OPA3) / </t>
    </r>
    <r>
      <rPr>
        <sz val="10"/>
        <rFont val="Noto Sans CJK KR"/>
        <family val="2"/>
      </rPr>
      <t xml:space="preserve">질문 → 지식 그래프 질의 → 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구절을 내는 지시 → 세 사건 연결 질문 하나씩 → 출발본에 준비된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문서만 찾아 붙인 답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과 나란히 비교 → 내 꼭 답할 질문을 자동 검사로 돌리고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끊어 실패로 바뀌는 것을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값의 자리를 잇는다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</si>
  <si>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출처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 자동 검사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</si>
  <si>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L7</t>
    </r>
  </si>
  <si>
    <r>
      <rPr>
        <sz val="10"/>
        <rFont val="Arial"/>
        <family val="0"/>
        <charset val="1"/>
      </rPr>
      <t xml:space="preserve">[OL8]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표 어느 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자리만 잇는다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</si>
  <si>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값을 지도에 넣고 싶은 유혹을 참는다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(OT11) · </t>
    </r>
    <r>
      <rPr>
        <sz val="10"/>
        <rFont val="Noto Sans CJK KR"/>
        <family val="2"/>
      </rPr>
      <t xml:space="preserve">포털 자리 잇기</t>
    </r>
    <r>
      <rPr>
        <sz val="10"/>
        <rFont val="Arial"/>
        <family val="0"/>
        <charset val="1"/>
      </rPr>
      <t xml:space="preserve">(OPA4 · OPB4 · OPC4) /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</t>
    </r>
    <r>
      <rPr>
        <sz val="10"/>
        <rFont val="Noto Sans CJK KR"/>
        <family val="2"/>
      </rPr>
      <t xml:space="preserve">를 조수에게 쉬운 말로 읽게 한다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값은 이 표 이 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자리 연결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시킨다 → 값 노드가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개인지 확인 → 자리로 조회해 지금 값이 나오는지 본다 → 일부러 값을 넣게 시켜 다음 날 틀려지는 장면을 보고 되돌린다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조치를 회사 목표에 잇는다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</si>
  <si>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</t>
    </r>
    <r>
      <rPr>
        <sz val="10"/>
        <rFont val="Noto Sans CJK KR"/>
        <family val="2"/>
      </rPr>
      <t xml:space="preserve">읽기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자리 연결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</si>
  <si>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L8</t>
    </r>
  </si>
  <si>
    <r>
      <rPr>
        <sz val="10"/>
        <rFont val="Arial"/>
        <family val="0"/>
        <charset val="1"/>
      </rPr>
      <t xml:space="preserve">[OL9] </t>
    </r>
    <r>
      <rPr>
        <sz val="10"/>
        <rFont val="Noto Sans CJK KR"/>
        <family val="2"/>
      </rPr>
      <t xml:space="preserve">이 조치가 회사 이익의 어디에 닿고 무엇과 부딪히는지 내 지도에 묻는다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</si>
  <si>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팬 최대가 좋은 일인지 나쁜 일인지 지도가 말해 준다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(OT12) · </t>
    </r>
    <r>
      <rPr>
        <sz val="10"/>
        <rFont val="Noto Sans CJK KR"/>
        <family val="2"/>
      </rPr>
      <t xml:space="preserve">포털 회사 목표 층</t>
    </r>
    <r>
      <rPr>
        <sz val="10"/>
        <rFont val="Arial"/>
        <family val="0"/>
        <charset val="1"/>
      </rPr>
      <t xml:space="preserve">(OPA5 · OPB5 · OPC5) / </t>
    </r>
    <r>
      <rPr>
        <sz val="10"/>
        <rFont val="Noto Sans CJK KR"/>
        <family val="2"/>
      </rPr>
      <t xml:space="preserve">네 관점 지표와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이것을 올리면 저것이 내려간다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는 상충 관계를 더하게 시킨다 → 세 사건 조치에서 영업이익까지 사슬 질의 → 상충 질의 → 포털 회사 목표 층과 같은 결과인지 맞춰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지식을 쓰는 일꾼을 만든다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</si>
  <si>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질의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</si>
  <si>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에만 둔다 — 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실전반에서는 지표 층을 출발본으로 준다 — 포털 회사 목표 층</t>
    </r>
    <r>
      <rPr>
        <sz val="10"/>
        <rFont val="Arial"/>
        <family val="0"/>
        <charset val="1"/>
      </rPr>
      <t xml:space="preserve">(OPA5~OPC5)</t>
    </r>
    <r>
      <rPr>
        <sz val="10"/>
        <rFont val="Noto Sans CJK KR"/>
        <family val="2"/>
      </rPr>
      <t xml:space="preserve">에서 이미 손으로 잇고 상충을 찾았다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L9</t>
    </r>
  </si>
  <si>
    <t xml:space="preserve">에이전트</t>
  </si>
  <si>
    <r>
      <rPr>
        <sz val="10"/>
        <rFont val="Arial"/>
        <family val="0"/>
        <charset val="1"/>
      </rPr>
      <t xml:space="preserve">[AT1]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와 일을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다르다 — 에이전트의 네 부분과 되풀이 고리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</si>
  <si>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답만 하는 친구</t>
    </r>
    <r>
      <rPr>
        <sz val="10"/>
        <rFont val="Arial"/>
        <family val="0"/>
        <charset val="1"/>
      </rPr>
      <t xml:space="preserve">" vs "</t>
    </r>
    <r>
      <rPr>
        <sz val="10"/>
        <rFont val="Noto Sans CJK KR"/>
        <family val="2"/>
      </rPr>
      <t xml:space="preserve">대신 전화해서 예약까지 해 주는 비서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지도가 생겼다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 막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일하는 방식은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생각하고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움직이고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행동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다시 본다의 되풀이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동네 맛집 예약 — 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손님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기록지에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적고</t>
    </r>
    <r>
      <rPr>
        <sz val="10"/>
        <rFont val="Arial"/>
        <family val="0"/>
        <charset val="1"/>
      </rPr>
      <t xml:space="preserve">, 2</t>
    </r>
    <r>
      <rPr>
        <sz val="10"/>
        <rFont val="Noto Sans CJK KR"/>
        <family val="2"/>
      </rPr>
      <t xml:space="preserve">라운드에서 도구 카드 하나를 빼면 어떻게 되나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일꾼의 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도구</t>
    </r>
  </si>
  <si>
    <r>
      <rPr>
        <sz val="10"/>
        <rFont val="Noto Sans CJK KR"/>
        <family val="2"/>
      </rPr>
      <t xml:space="preserve">에이전트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관찰 → 판단 → 행동</t>
    </r>
    <r>
      <rPr>
        <sz val="10"/>
        <rFont val="Arial"/>
        <family val="0"/>
        <charset val="1"/>
      </rPr>
      <t xml:space="preserve">(ReAct)</t>
    </r>
  </si>
  <si>
    <r>
      <rPr>
        <sz val="10"/>
        <rFont val="Arial"/>
        <family val="0"/>
        <charset val="1"/>
      </rPr>
      <t xml:space="preserve">[AT2] AI</t>
    </r>
    <r>
      <rPr>
        <sz val="10"/>
        <rFont val="Noto Sans CJK KR"/>
        <family val="2"/>
      </rPr>
      <t xml:space="preserve">가 부를 수 있는 기능은 네 칸으로 적고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규격에 맞춰 꽂는다 — 도구와 도구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일꾼마다 필요한 손만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</si>
  <si>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TV </t>
    </r>
    <r>
      <rPr>
        <sz val="10"/>
        <rFont val="Noto Sans CJK KR"/>
        <family val="2"/>
      </rPr>
      <t xml:space="preserve">리모컨 버튼과 해외여행 콘센트 —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넣는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나오는 것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규격만 맞으면 어느 기기든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행동</t>
    </r>
    <r>
      <rPr>
        <sz val="10"/>
        <rFont val="Arial"/>
        <family val="0"/>
        <charset val="1"/>
      </rPr>
      <t xml:space="preserve">"(AT1) 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(MCP): </t>
    </r>
    <r>
      <rPr>
        <sz val="10"/>
        <rFont val="Noto Sans CJK KR"/>
        <family val="2"/>
      </rPr>
      <t xml:space="preserve">도구 서버 하나로 어느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에도 같은 도구를 붙인다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일꾼마다 필요한 손만 준다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도구로 읽는 것은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값</t>
    </r>
    <r>
      <rPr>
        <sz val="10"/>
        <rFont val="Arial"/>
        <family val="0"/>
        <charset val="1"/>
      </rPr>
      <t xml:space="preserve">", </t>
    </r>
    <r>
      <rPr>
        <sz val="10"/>
        <rFont val="Noto Sans CJK KR"/>
        <family val="2"/>
      </rPr>
      <t xml:space="preserve">그리고 읽기만</t>
    </r>
  </si>
  <si>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함수 호출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</si>
  <si>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[AT3] </t>
    </r>
    <r>
      <rPr>
        <sz val="10"/>
        <rFont val="Noto Sans CJK KR"/>
        <family val="2"/>
      </rPr>
      <t xml:space="preserve">지금 값은 원천에 물어야 알고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읽기만 한다 — 바꾸는 일은 사람이 승인한 뒤 시스템이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</si>
  <si>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은행 앱 조회는 마음대로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이체는 확인 버튼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(OT11) · </t>
    </r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(AT2) / </t>
    </r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차이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는 어디에 물어야 하나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하지 않는다 — 담당자가 한 번 승인한 뒤 시스템이 한다</t>
    </r>
    <r>
      <rPr>
        <sz val="10"/>
        <rFont val="Arial"/>
        <family val="0"/>
        <charset val="1"/>
      </rPr>
      <t xml:space="preserve">(BPMN </t>
    </r>
    <r>
      <rPr>
        <sz val="10"/>
        <rFont val="Noto Sans CJK KR"/>
        <family val="2"/>
      </rPr>
      <t xml:space="preserve">막에서 그 흐름을 만든다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도구로도 순서를 바꾸는 요령</t>
    </r>
  </si>
  <si>
    <r>
      <rPr>
        <sz val="10"/>
        <rFont val="Noto Sans CJK KR"/>
        <family val="2"/>
      </rPr>
      <t xml:space="preserve">실시간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원천 데이터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읽기 전용 도구</t>
    </r>
  </si>
  <si>
    <r>
      <rPr>
        <sz val="10"/>
        <rFont val="Arial"/>
        <family val="0"/>
        <charset val="1"/>
      </rPr>
      <t xml:space="preserve">[AT4] </t>
    </r>
    <r>
      <rPr>
        <sz val="10"/>
        <rFont val="Noto Sans CJK KR"/>
        <family val="2"/>
      </rPr>
      <t xml:space="preserve">선배의 체크리스트가 일하는 순서를 바꾼다 — 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</si>
  <si>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신입이 받은 선배 체크리스트 — 같은 도구로도 순서가 바뀌면 결과가 바뀐다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도구와 지금 값</t>
    </r>
    <r>
      <rPr>
        <sz val="10"/>
        <rFont val="Arial"/>
        <family val="0"/>
        <charset val="1"/>
      </rPr>
      <t xml:space="preserve">(AT2 · AT3) /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= "</t>
    </r>
    <r>
      <rPr>
        <sz val="10"/>
        <rFont val="Noto Sans CJK KR"/>
        <family val="2"/>
      </rPr>
      <t xml:space="preserve">이런 일은 이 순서로 확인하라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는 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요령과 도구의 차이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요령이 있을 때와 없을 때 일꾼의 확인 순서 그림 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세 사건의 요령 미리보기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정기 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매번 같아야 하는 판단은 규칙이</t>
    </r>
  </si>
  <si>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</si>
  <si>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영상에서는 빼고 포털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 만들기</t>
    </r>
    <r>
      <rPr>
        <sz val="10"/>
        <rFont val="Arial"/>
        <family val="0"/>
        <charset val="1"/>
      </rPr>
      <t xml:space="preserve">(APA1)</t>
    </r>
    <r>
      <rPr>
        <sz val="10"/>
        <rFont val="Noto Sans CJK KR"/>
        <family val="2"/>
      </rPr>
      <t xml:space="preserve">에서 요령을 붙일 때 설명한다</t>
    </r>
  </si>
  <si>
    <r>
      <rPr>
        <sz val="10"/>
        <rFont val="Arial"/>
        <family val="0"/>
        <charset val="1"/>
      </rPr>
      <t xml:space="preserve">[AT5] </t>
    </r>
    <r>
      <rPr>
        <sz val="10"/>
        <rFont val="Noto Sans CJK KR"/>
        <family val="2"/>
      </rPr>
      <t xml:space="preserve">매번 같아야 하는 판단은 규칙이 맡고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근거를 모아 설명한다 — 판단 규칙표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</si>
  <si>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신호등이 기분 따라 바뀌면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회사 경비 규정표를 직접 만들어 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(AT4)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(OPB2 · OPC2) /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빼기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감점은 규칙이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모으기와 설명은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근거가 없으면 멈춘다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판단 규칙표</t>
    </r>
    <r>
      <rPr>
        <sz val="10"/>
        <rFont val="Arial"/>
        <family val="0"/>
        <charset val="1"/>
      </rPr>
      <t xml:space="preserve">(DMN)</t>
    </r>
    <r>
      <rPr>
        <sz val="10"/>
        <rFont val="Noto Sans CJK KR"/>
        <family val="2"/>
      </rPr>
      <t xml:space="preserve">를 </t>
    </r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규칙표 화면에서 처음 만든다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경비 규정 세 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사건의 규칙 미리보기 — 비승인 공급사 제외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밖 미루기 제외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남은 안은 돈으로 비교</t>
    </r>
  </si>
  <si>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(DMN </t>
    </r>
    <r>
      <rPr>
        <sz val="10"/>
        <rFont val="Noto Sans CJK KR"/>
        <family val="2"/>
      </rPr>
      <t xml:space="preserve">결정표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</si>
  <si>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r>
      <rPr>
        <sz val="10"/>
        <rFont val="Arial"/>
        <family val="0"/>
        <charset val="1"/>
      </rPr>
      <t xml:space="preserve">[AT6] </t>
    </r>
    <r>
      <rPr>
        <sz val="10"/>
        <rFont val="Noto Sans CJK KR"/>
        <family val="2"/>
      </rPr>
      <t xml:space="preserve">앞으로 어떻게 될지를 숫자로 본다 — 예측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유온이 언제 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운전시간이 언제 한계에 닿나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</si>
  <si>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일기 예보처럼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몇 시간 뒤 유온이 넘을까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규칙이 뺀 뒤 남은 안</t>
    </r>
    <r>
      <rPr>
        <sz val="10"/>
        <rFont val="Arial"/>
        <family val="0"/>
        <charset val="1"/>
      </rPr>
      <t xml:space="preserve">(AT5) / </t>
    </r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안을 비교하려면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그 안을 고르면 어떻게 되나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알아야 한다 — </t>
    </r>
    <r>
      <rPr>
        <sz val="10"/>
        <rFont val="Arial"/>
        <family val="0"/>
        <charset val="1"/>
      </rPr>
      <t xml:space="preserve">A: 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</t>
    </r>
    <r>
      <rPr>
        <sz val="10"/>
        <rFont val="Noto Sans CJK KR"/>
        <family val="2"/>
      </rPr>
      <t xml:space="preserve">면 몇 분 뒤 유온이 몇 ℃인가</t>
    </r>
    <r>
      <rPr>
        <sz val="10"/>
        <rFont val="Arial"/>
        <family val="0"/>
        <charset val="1"/>
      </rPr>
      <t xml:space="preserve">, B: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예측도 틀릴 수 있으니 범위로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하루 기온 표에서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시 기온을 어림해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예측한 결과를 돈으로 견준다</t>
    </r>
  </si>
  <si>
    <t xml:space="preserve">예측</t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</si>
  <si>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실전반에서는 빼고 포털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(APA2)</t>
    </r>
    <r>
      <rPr>
        <sz val="10"/>
        <rFont val="Noto Sans CJK KR"/>
        <family val="2"/>
      </rPr>
      <t xml:space="preserve">의 예측 유온을 읽으며 설명한다</t>
    </r>
  </si>
  <si>
    <r>
      <rPr>
        <sz val="10"/>
        <rFont val="Arial"/>
        <family val="0"/>
        <charset val="1"/>
      </rPr>
      <t xml:space="preserve">[AT7] </t>
    </r>
    <r>
      <rPr>
        <sz val="10"/>
        <rFont val="Noto Sans CJK KR"/>
        <family val="2"/>
      </rPr>
      <t xml:space="preserve">점수가 아니라 돈으로 비교해 하나를 고르고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값이 바뀌면 언제 뒤집히는지 안다 — 손익과 경계값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</si>
  <si>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무료 길</t>
    </r>
    <r>
      <rPr>
        <sz val="10"/>
        <rFont val="Arial"/>
        <family val="0"/>
        <charset val="1"/>
      </rPr>
      <t xml:space="preserve">" — </t>
    </r>
    <r>
      <rPr>
        <sz val="10"/>
        <rFont val="Noto Sans CJK KR"/>
        <family val="2"/>
      </rPr>
      <t xml:space="preserve">몇 시부터 택시가 이득일까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(OT12) / </t>
    </r>
    <r>
      <rPr>
        <sz val="10"/>
        <rFont val="Noto Sans CJK KR"/>
        <family val="2"/>
      </rPr>
      <t xml:space="preserve">손익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원으로 비교한다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납기 지체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손실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 하나를 바꾸면 순위가 뒤집히는 경계값이 있다 — 그 값을 알면 추천을 얼마나 믿을지 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시간 값을 바꿔 뒤집히는 경계 찾기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이렇게 나온 판단을 믿어도 되나</t>
    </r>
  </si>
  <si>
    <r>
      <rPr>
        <sz val="10"/>
        <rFont val="Noto Sans CJK KR"/>
        <family val="2"/>
      </rPr>
      <t xml:space="preserve">손익 비교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(What-if)</t>
    </r>
  </si>
  <si>
    <r>
      <rPr>
        <sz val="10"/>
        <rFont val="Arial"/>
        <family val="0"/>
        <charset val="1"/>
      </rPr>
      <t xml:space="preserve">[AT8] AI </t>
    </r>
    <r>
      <rPr>
        <sz val="10"/>
        <rFont val="Noto Sans CJK KR"/>
        <family val="2"/>
      </rPr>
      <t xml:space="preserve">판단은 흔들린다 — 정답표를 먼저 쓰고 여러 번 돌려 채점한다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</si>
  <si>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질문을 다섯 번 하면 다섯 답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시험 정답표를 먼저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추천 하나와 지는 안</t>
    </r>
    <r>
      <rPr>
        <sz val="10"/>
        <rFont val="Arial"/>
        <family val="0"/>
        <charset val="1"/>
      </rPr>
      <t xml:space="preserve">(AT7) / </t>
    </r>
    <r>
      <rPr>
        <sz val="10"/>
        <rFont val="Noto Sans CJK KR"/>
        <family val="2"/>
      </rPr>
      <t xml:space="preserve">같은 질문 다섯 번의 결과 사례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왜 흔들리나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다음 말 맞히기 — </t>
    </r>
    <r>
      <rPr>
        <sz val="10"/>
        <rFont val="Arial"/>
        <family val="0"/>
        <charset val="1"/>
      </rPr>
      <t xml:space="preserve">OT1). </t>
    </r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반드시 빠질 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정답표는 사람이 쓴다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 업무를 아는 사람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여러 번 돌려 몇 번 맞았는지로 믿음을 숫자로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종이로 맛집 예약 정답표 한 줄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포털에서 일꾼 셋을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제안받고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채점한다</t>
    </r>
  </si>
  <si>
    <r>
      <rPr>
        <sz val="10"/>
        <rFont val="Noto Sans CJK KR"/>
        <family val="2"/>
      </rPr>
      <t xml:space="preserve">판단 채점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정답표</t>
    </r>
  </si>
  <si>
    <r>
      <rPr>
        <sz val="10"/>
        <rFont val="Arial"/>
        <family val="0"/>
        <charset val="1"/>
      </rPr>
      <t xml:space="preserve">[APA1] </t>
    </r>
    <r>
      <rPr>
        <sz val="10"/>
        <rFont val="Noto Sans CJK KR"/>
        <family val="2"/>
      </rPr>
      <t xml:space="preserve">쿨러 지식을 쓰는 냉각 긴급 대응 일꾼을 만든다 —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요령을 붙이고 근거 있는 답을 받는다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</si>
  <si>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온톨로지 막에서 만든 지식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이제 누가 쓰나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(AT4) · A </t>
    </r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(OPA2~OPA5) / </t>
    </r>
    <r>
      <rPr>
        <sz val="10"/>
        <rFont val="Noto Sans CJK KR"/>
        <family val="2"/>
      </rPr>
      <t xml:space="preserve">에이전트 화면 안내 → 기본 일꾼 복제 →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설비가 스스로 멈추는 안전 한계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인터록</t>
    </r>
    <r>
      <rPr>
        <sz val="10"/>
        <rFont val="Arial"/>
        <family val="0"/>
        <charset val="1"/>
      </rPr>
      <t xml:space="preserve">, 65 ℃)</t>
    </r>
    <r>
      <rPr>
        <sz val="10"/>
        <rFont val="Noto Sans CJK KR"/>
        <family val="2"/>
      </rPr>
      <t xml:space="preserve">에 닿기 전에 유온을 내리고 생산 손실 최소</t>
    </r>
    <r>
      <rPr>
        <sz val="10"/>
        <rFont val="Arial"/>
        <family val="0"/>
        <charset val="1"/>
      </rPr>
      <t xml:space="preserve">") →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→ 연결 검사 →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붙이기 → 질문 두 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유온이 오르는 원인 후보는</t>
    </r>
    <r>
      <rPr>
        <sz val="10"/>
        <rFont val="Arial"/>
        <family val="0"/>
        <charset val="1"/>
      </rPr>
      <t xml:space="preserve">?" / "</t>
    </r>
    <r>
      <rPr>
        <sz val="10"/>
        <rFont val="Noto Sans CJK KR"/>
        <family val="2"/>
      </rPr>
      <t xml:space="preserve">지금 유온과 팬 지시값은</t>
    </r>
    <r>
      <rPr>
        <sz val="10"/>
        <rFont val="Arial"/>
        <family val="0"/>
        <charset val="1"/>
      </rPr>
      <t xml:space="preserve">?")</t>
    </r>
    <r>
      <rPr>
        <sz val="10"/>
        <rFont val="Noto Sans CJK KR"/>
        <family val="2"/>
      </rPr>
      <t xml:space="preserve">를 하고 도구 호출 과정을 한 줄씩 읽는다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일꾼에게 사건을 맡겨 추천안을 받는다</t>
    </r>
  </si>
  <si>
    <r>
      <rPr>
        <sz val="10"/>
        <rFont val="Noto Sans CJK KR"/>
        <family val="2"/>
      </rPr>
      <t xml:space="preserve">에이전트 정의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서버 연결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호출 과정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</si>
  <si>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목표를 쓰기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과정이 뜬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작업 요령 개념을 이 행에서 처음 설명한다</t>
    </r>
  </si>
  <si>
    <r>
      <rPr>
        <sz val="10"/>
        <rFont val="Arial"/>
        <family val="0"/>
        <charset val="1"/>
      </rPr>
      <t xml:space="preserve">[APA2] </t>
    </r>
    <r>
      <rPr>
        <sz val="10"/>
        <rFont val="Noto Sans CJK KR"/>
        <family val="2"/>
      </rPr>
      <t xml:space="preserve">일꾼이 생겼으니 사건을 맡긴다 — 세 안을 규칙과 돈으로 견줘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80 %" </t>
    </r>
    <r>
      <rPr>
        <sz val="10"/>
        <rFont val="Noto Sans CJK KR"/>
        <family val="2"/>
      </rPr>
      <t xml:space="preserve">하나를 추천받는다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</si>
  <si>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일꾼이 </t>
    </r>
    <r>
      <rPr>
        <sz val="10"/>
        <rFont val="Arial"/>
        <family val="0"/>
        <charset val="1"/>
      </rPr>
      <t xml:space="preserve">3~4</t>
    </r>
    <r>
      <rPr>
        <sz val="10"/>
        <rFont val="Noto Sans CJK KR"/>
        <family val="2"/>
      </rPr>
      <t xml:space="preserve">분 동안 무엇을 하고 있을까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(AT5) · </t>
    </r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손익</t>
    </r>
    <r>
      <rPr>
        <sz val="10"/>
        <rFont val="Arial"/>
        <family val="0"/>
        <charset val="1"/>
      </rPr>
      <t xml:space="preserve">(AT6 · AT7)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(OPA5) · A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(APA1) / </t>
    </r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진단 → 후보 → 규칙 → 순위 진행을 기다리며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단계마다 무엇을 보는지 설명 → 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80 %) ·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 — 팬만 최대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온도가 충분히 안 내려감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70 %(</t>
    </r>
    <r>
      <rPr>
        <sz val="10"/>
        <rFont val="Noto Sans CJK KR"/>
        <family val="2"/>
      </rPr>
      <t xml:space="preserve">큰 고객사</t>
    </r>
    <r>
      <rPr>
        <sz val="10"/>
        <rFont val="Arial"/>
        <family val="0"/>
        <charset val="1"/>
      </rPr>
      <t xml:space="preserve">(OEM) </t>
    </r>
    <r>
      <rPr>
        <sz val="10"/>
        <rFont val="Noto Sans CJK KR"/>
        <family val="2"/>
      </rPr>
      <t xml:space="preserve">주문 납기를 놓침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저장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추천이 어떤 값에서 뒤집히나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</si>
  <si>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안의 이유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</si>
  <si>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카드가 뜬 뒤 — 지는 안 이유 먼저 맞혀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 개념을 이 행에서 처음 설명한다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</si>
  <si>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[APA3] </t>
    </r>
    <r>
      <rPr>
        <sz val="10"/>
        <rFont val="Noto Sans CJK KR"/>
        <family val="2"/>
      </rPr>
      <t xml:space="preserve">추천을 받았으니 흔들어 본다 — 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값을 바꾸면 언제 추천이 뒤집히는지 찾는다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</si>
  <si>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납기가 하루 늦어도 되면 그래도 팬 최대일까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경계값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(AT7) · A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(APA2) / </t>
    </r>
    <r>
      <rPr>
        <sz val="10"/>
        <rFont val="Noto Sans CJK KR"/>
        <family val="2"/>
      </rPr>
      <t xml:space="preserve">값 바꿔 보기 화면 → 부하를 바꿔 다시 돌린다 → 납기 여유를 바꿔 다시 돌린다 → 추천이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70 %"</t>
    </r>
    <r>
      <rPr>
        <sz val="10"/>
        <rFont val="Noto Sans CJK KR"/>
        <family val="2"/>
      </rPr>
      <t xml:space="preserve">로 뒤집히는 경계값을 찾는다 → 왜 그 값에서 뒤집히는지 손익 줄로 설명한다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판단을 얼마나 믿을 수 있나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</si>
  <si>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(What-if), </t>
    </r>
    <r>
      <rPr>
        <sz val="10"/>
        <rFont val="Noto Sans CJK KR"/>
        <family val="2"/>
      </rPr>
      <t xml:space="preserve">경계값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</si>
  <si>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값을 바꾸기 전 — 어느 쪽으로 뒤집힐지 맞혀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</si>
  <si>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[APA4] </t>
    </r>
    <r>
      <rPr>
        <sz val="10"/>
        <rFont val="Noto Sans CJK KR"/>
        <family val="2"/>
      </rPr>
      <t xml:space="preserve">추천과 경계를 알았으니 믿을 만한지 잰다 — 내가 쓴 정답표로 냉각 일꾼을 여러 번 채점한다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</si>
  <si>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다섯 번 돌리면 다섯 번 다 팬 최대일까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(AT8) · A 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(APA2) · </t>
    </r>
    <r>
      <rPr>
        <sz val="10"/>
        <rFont val="Noto Sans CJK KR"/>
        <family val="2"/>
      </rPr>
      <t xml:space="preserve">경계</t>
    </r>
    <r>
      <rPr>
        <sz val="10"/>
        <rFont val="Arial"/>
        <family val="0"/>
        <charset val="1"/>
      </rPr>
      <t xml:space="preserve">(APA3) / </t>
    </r>
    <r>
      <rPr>
        <sz val="10"/>
        <rFont val="Noto Sans CJK KR"/>
        <family val="2"/>
      </rPr>
      <t xml:space="preserve">판단 채점 화면 → 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핀 막힘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 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70 %)</t>
    </r>
    <r>
      <rPr>
        <sz val="10"/>
        <rFont val="Noto Sans CJK KR"/>
        <family val="2"/>
      </rPr>
      <t xml:space="preserve">를 직접 쓴다 → 여러 번 돌려 채점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기다리는 동안 흔들림이 왜 생기는지 다시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점수와 흔들린 항목 읽기 →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닫으며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 만들기 → 제안 → 흔들기 → 채점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한 줄로 정리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네 단계를 정기 정비 일꾼으로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</si>
  <si>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</si>
  <si>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[APB1]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계획 일꾼을 만든다 — 보전용 업무 서버를 붙여 정비 패키지와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오더로 답하게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</si>
  <si>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냉각 일꾼에게 정비 계획 열쇠까지 줘도 될까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만들기 네 부분</t>
    </r>
    <r>
      <rPr>
        <sz val="10"/>
        <rFont val="Arial"/>
        <family val="0"/>
        <charset val="1"/>
      </rPr>
      <t xml:space="preserve">(APA1) · </t>
    </r>
    <r>
      <rPr>
        <sz val="10"/>
        <rFont val="Noto Sans CJK KR"/>
        <family val="2"/>
      </rPr>
      <t xml:space="preserve">서버를 둘로 나눈 까닭</t>
    </r>
    <r>
      <rPr>
        <sz val="10"/>
        <rFont val="Arial"/>
        <family val="0"/>
        <charset val="1"/>
      </rPr>
      <t xml:space="preserve">(AT2)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복제 →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 → 도구 → 연결 검사 → 요령 → 질문하기를 학생이 먼저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단계마다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이건 네 부분 중 무엇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기한을 지키며 생산 손실 최소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보전용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이력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계획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→ 허용 오차 → 생산 오더 → 인력 → 부품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"2,000 h </t>
    </r>
    <r>
      <rPr>
        <sz val="10"/>
        <rFont val="Noto Sans CJK KR"/>
        <family val="2"/>
      </rPr>
      <t xml:space="preserve">패키지는 무엇을 하나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지금 </t>
    </r>
    <r>
      <rPr>
        <sz val="10"/>
        <rFont val="Arial"/>
        <family val="0"/>
        <charset val="1"/>
      </rPr>
      <t xml:space="preserve">HYD-02 · 03 </t>
    </r>
    <r>
      <rPr>
        <sz val="10"/>
        <rFont val="Noto Sans CJK KR"/>
        <family val="2"/>
      </rPr>
      <t xml:space="preserve">운전시간과 이번 주 오더는</t>
    </r>
    <r>
      <rPr>
        <sz val="10"/>
        <rFont val="Arial"/>
        <family val="0"/>
        <charset val="1"/>
      </rPr>
      <t xml:space="preserve">".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정기 정비 사건을 맡긴다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</si>
  <si>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</si>
  <si>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 쓰기 — 스스로 해 보기</t>
    </r>
  </si>
  <si>
    <r>
      <rPr>
        <sz val="10"/>
        <rFont val="Arial"/>
        <family val="0"/>
        <charset val="1"/>
      </rPr>
      <t xml:space="preserve">[APB2]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정비를 맡긴다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인력을 저울질해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추천받는다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</si>
  <si>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두 대를 한 번에 하면 더 싸지 않나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 읽기</t>
    </r>
    <r>
      <rPr>
        <sz val="10"/>
        <rFont val="Arial"/>
        <family val="0"/>
        <charset val="1"/>
      </rPr>
      <t xml:space="preserve">(APA2) · </t>
    </r>
    <r>
      <rPr>
        <sz val="10"/>
        <rFont val="Noto Sans CJK KR"/>
        <family val="2"/>
      </rPr>
      <t xml:space="preserve">예방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</t>
    </r>
    <r>
      <rPr>
        <sz val="10"/>
        <rFont val="Arial"/>
        <family val="0"/>
        <charset val="1"/>
      </rPr>
      <t xml:space="preserve">(OPB2)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→ 진행 단계 → 제안 카드 읽기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먼저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소리 내 읽기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추천 — 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HYD-03</t>
    </r>
    <r>
      <rPr>
        <sz val="10"/>
        <rFont val="Noto Sans CJK KR"/>
        <family val="2"/>
      </rPr>
      <t xml:space="preserve">은 허용 오차 안에서 다음 정비 시간으로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 — 지금 바로 정지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생산 오더 손실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허용 오차 밖으로 미루기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제조사 보증에 기한 안 점검 기록이 필요해 규칙으로 제외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두 대 묶기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인력 부족으로 감점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운전시간이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인력을 바꾸면 묶기가 이기나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</si>
  <si>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규칙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</si>
  <si>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r>
      <rPr>
        <sz val="10"/>
        <rFont val="Arial"/>
        <family val="0"/>
        <charset val="1"/>
      </rPr>
      <t xml:space="preserve">[APB3]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정비 인력과 생산 오더를 바꿔 보면 언제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두 대 묶기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이기는지 찾는다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</si>
  <si>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밤 정비사가 한 명 더 오면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(APA3)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 → 다시 돌리기 → 경계값 찾기를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바꿀 값이 센서가 아니라 업무 계획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인력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인력을 늘리면 묶기가 이기고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오더가 몰리면 미루기 쪽으로 기우는 것을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다만 허용 오차 밖은 값을 바꿔도 규칙이 계속 뺀다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정답표로 채점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</si>
  <si>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규칙과 손익의 차이</t>
    </r>
  </si>
  <si>
    <r>
      <rPr>
        <sz val="10"/>
        <rFont val="Arial"/>
        <family val="0"/>
        <charset val="1"/>
      </rPr>
      <t xml:space="preserve">[APB4]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일꾼을 채점한다 — 허용 오차 밖 미루기를 늘 빼는가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</si>
  <si>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사람이라면 실수로 미룰 수도 있는데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일꾼은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</t>
    </r>
    <r>
      <rPr>
        <sz val="10"/>
        <rFont val="Arial"/>
        <family val="0"/>
        <charset val="1"/>
      </rPr>
      <t xml:space="preserve">(APA4)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쓰기 → 여러 번 채점 → 점수 읽기를 학생이 혼자 하고 짝과 점수를 견준다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 고장 원인이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빠질 안은 허용 오차 밖 미루기</t>
    </r>
    <r>
      <rPr>
        <sz val="10"/>
        <rFont val="Arial"/>
        <family val="0"/>
        <charset val="1"/>
      </rPr>
      <t xml:space="preserve">. B</t>
    </r>
    <r>
      <rPr>
        <sz val="10"/>
        <rFont val="Noto Sans CJK KR"/>
        <family val="2"/>
      </rPr>
      <t xml:space="preserve">를 닫으며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와 무엇이 같고 무엇이 달랐는지 한 줄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예비품 구매 일꾼</t>
    </r>
  </si>
  <si>
    <t xml:space="preserve">판단 채점</t>
  </si>
  <si>
    <r>
      <rPr>
        <sz val="10"/>
        <rFont val="Arial"/>
        <family val="0"/>
        <charset val="1"/>
      </rPr>
      <t xml:space="preserve">[APC1]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일꾼을 만든다 — 구매용 업무 서버를 붙여 승인 공급사와 지금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조건으로 답하게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</si>
  <si>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구매 일꾼에게는 정비 계획 열쇠를 주지 않는다 — 왜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만들기</t>
    </r>
    <r>
      <rPr>
        <sz val="10"/>
        <rFont val="Arial"/>
        <family val="0"/>
        <charset val="1"/>
      </rPr>
      <t xml:space="preserve">(APA1 · APB1) · </t>
    </r>
    <r>
      <rPr>
        <sz val="10"/>
        <rFont val="Noto Sans CJK KR"/>
        <family val="2"/>
      </rPr>
      <t xml:space="preserve">일꾼마다 필요한 손만</t>
    </r>
    <r>
      <rPr>
        <sz val="10"/>
        <rFont val="Arial"/>
        <family val="0"/>
        <charset val="1"/>
      </rPr>
      <t xml:space="preserve">(AT2)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만들기 전 단계를 학생이 혼자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다 만든 뒤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결품 없이 총비용 최소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구매 규정 준수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구매용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만 붙이고 보전용은 붙이지 않는다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재고 → 재주문점 → 승인 공급사 → 총비용 → 납기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 지금 재고와 재주문점은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승인 공급사는 어디</t>
    </r>
    <r>
      <rPr>
        <sz val="10"/>
        <rFont val="Arial"/>
        <family val="0"/>
        <charset val="1"/>
      </rPr>
      <t xml:space="preserve">". </t>
    </r>
    <r>
      <rPr>
        <sz val="10"/>
        <rFont val="Noto Sans CJK KR"/>
        <family val="2"/>
      </rPr>
      <t xml:space="preserve">세 일꾼의 손이 다르다는 것을 설정 화면으로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예비품 구매 사건을 맡긴다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</si>
  <si>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</si>
  <si>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서버 고르기 — 어느 것을 붙일지 먼저 말해 보기</t>
    </r>
  </si>
  <si>
    <r>
      <rPr>
        <sz val="10"/>
        <rFont val="Arial"/>
        <family val="0"/>
        <charset val="1"/>
      </rPr>
      <t xml:space="preserve">[APC2]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구매를 맡긴다 — 공급사 셋을 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품질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견줘 </t>
    </r>
    <r>
      <rPr>
        <sz val="10"/>
        <rFont val="Arial"/>
        <family val="0"/>
        <charset val="1"/>
      </rPr>
      <t xml:space="preserve">"B-OEM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추천받는다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</si>
  <si>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가장 싼 곳이 왜 졌을까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(APA2 · APB2) ·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(OPC2)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→ 진행 단계 → 제안 카드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공급사 비교표가 카드에 붙는다 — 추천 </t>
    </r>
    <r>
      <rPr>
        <sz val="10"/>
        <rFont val="Arial"/>
        <family val="0"/>
        <charset val="1"/>
      </rPr>
      <t xml:space="preserve">B-OEM 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정밀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단가는 싸지만 불량률 </t>
    </r>
    <r>
      <rPr>
        <sz val="10"/>
        <rFont val="Arial"/>
        <family val="0"/>
        <charset val="1"/>
      </rPr>
      <t xml:space="preserve">12 %</t>
    </r>
    <r>
      <rPr>
        <sz val="10"/>
        <rFont val="Noto Sans CJK KR"/>
        <family val="2"/>
      </rPr>
      <t xml:space="preserve">라 불량 기대비용을 더한 총비용이 더 큼</t>
    </r>
    <r>
      <rPr>
        <sz val="10"/>
        <rFont val="Arial"/>
        <family val="0"/>
        <charset val="1"/>
      </rPr>
      <t xml:space="preserve">),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가장 싸지만 비승인 공급사라 규칙으로 제외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기대비용을 카드 숫자로 직접 계산해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단가를 바꿔 본다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</si>
  <si>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총비용 비교</t>
    </r>
  </si>
  <si>
    <r>
      <rPr>
        <sz val="10"/>
        <rFont val="Arial"/>
        <family val="0"/>
        <charset val="1"/>
      </rPr>
      <t xml:space="preserve">[APC3]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단가를 바꿔 보면 언제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정밀이 이기는지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그래도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트레이딩은 왜 끝까지 지는지 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</si>
  <si>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"A</t>
    </r>
    <r>
      <rPr>
        <sz val="10"/>
        <rFont val="Noto Sans CJK KR"/>
        <family val="2"/>
      </rPr>
      <t xml:space="preserve">정밀이 불량을 </t>
    </r>
    <r>
      <rPr>
        <sz val="10"/>
        <rFont val="Arial"/>
        <family val="0"/>
        <charset val="1"/>
      </rPr>
      <t xml:space="preserve">3 %</t>
    </r>
    <r>
      <rPr>
        <sz val="10"/>
        <rFont val="Noto Sans CJK KR"/>
        <family val="2"/>
      </rPr>
      <t xml:space="preserve">로 줄이면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(APA3 · APB3)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 → 경계 찾기를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불량률을 낮추면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정밀이 이기는 경계가 있고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트레이딩은 아무리 싸져도 규칙이 뺀다 — 돈으로 지는 안과 규칙으로 지는 안의 차이를 다시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정답표로 채점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</si>
  <si>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경계값</t>
    </r>
  </si>
  <si>
    <r>
      <rPr>
        <sz val="10"/>
        <rFont val="Arial"/>
        <family val="0"/>
        <charset val="1"/>
      </rPr>
      <t xml:space="preserve">[APC4]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일꾼을 채점한다 — 비승인 공급사를 늘 빼는가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</si>
  <si>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세 일꾼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지도를 보는데 왜 판단이 다를까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</t>
    </r>
    <r>
      <rPr>
        <sz val="10"/>
        <rFont val="Arial"/>
        <family val="0"/>
        <charset val="1"/>
      </rPr>
      <t xml:space="preserve">(APA4 · APB4)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채점 → 점수를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일꾼 모두 같은 네 부분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인데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달라 판단 근거가 손익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인력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갈렸다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BPMN </t>
    </r>
    <r>
      <rPr>
        <sz val="10"/>
        <rFont val="Noto Sans CJK KR"/>
        <family val="2"/>
      </rPr>
      <t xml:space="preserve">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세 제안을 누가 승인하고 무엇이 실행되나</t>
    </r>
  </si>
  <si>
    <r>
      <rPr>
        <sz val="10"/>
        <rFont val="Arial"/>
        <family val="0"/>
        <charset val="1"/>
      </rPr>
      <t xml:space="preserve">[AL1] </t>
    </r>
    <r>
      <rPr>
        <sz val="10"/>
        <rFont val="Noto Sans CJK KR"/>
        <family val="2"/>
      </rPr>
      <t xml:space="preserve">스스로 무엇을 확인할지 정해 한 단계씩 밟는 작은 일꾼을 만든다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</si>
  <si>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역할극에서 내가 했던 일꾼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이번엔 프로그램으로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포털 도구 호출 과정</t>
    </r>
    <r>
      <rPr>
        <sz val="10"/>
        <rFont val="Arial"/>
        <family val="0"/>
        <charset val="1"/>
      </rPr>
      <t xml:space="preserve">(APA1) / </t>
    </r>
    <r>
      <rPr>
        <sz val="10"/>
        <rFont val="Noto Sans CJK KR"/>
        <family val="2"/>
      </rPr>
      <t xml:space="preserve">질문을 받으면 확인할 것을 정하고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준비된 함수로 값을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판단해 답하는 작은 일꾼을 시킨다 → 콘솔에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관찰이 찍히는 것을 읽는다 → 함수 하나를 빼고 돌려 일꾼이 어떻게 다르게 움직이는지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역할극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라운드와 같은 실험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일꾼에 진짜 도구를 붙인다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</si>
  <si>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에이전트 되풀이 고리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</si>
  <si>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L10</t>
    </r>
  </si>
  <si>
    <r>
      <rPr>
        <sz val="10"/>
        <rFont val="Arial"/>
        <family val="0"/>
        <charset val="1"/>
      </rPr>
      <t xml:space="preserve">[AL2] </t>
    </r>
    <r>
      <rPr>
        <sz val="10"/>
        <rFont val="Noto Sans CJK KR"/>
        <family val="2"/>
      </rPr>
      <t xml:space="preserve">내 일꾼이 쿨러의 지금 유온과 팬 지시값을 직접 묻게 도구를 붙인다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</si>
  <si>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포털 실시간 화면의 그 숫자를 내 일꾼이 읽는다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값은 원천에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도구 네 칸</t>
    </r>
    <r>
      <rPr>
        <sz val="10"/>
        <rFont val="Arial"/>
        <family val="0"/>
        <charset val="1"/>
      </rPr>
      <t xml:space="preserve">(AT2) / </t>
    </r>
    <r>
      <rPr>
        <sz val="10"/>
        <rFont val="Noto Sans CJK KR"/>
        <family val="2"/>
      </rPr>
      <t xml:space="preserve">지금 유온과 팬 지시값을 돌려주는 함수를 도구로 등록하게 시킨다 → 일꾼에게 질문 → 도구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기록 읽기 → 포털 실시간 모니터링 값과 같은지 맞춰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지식 지도를 꽂는다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</si>
  <si>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함수 호출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시계열 조회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</si>
  <si>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실전반에서는 지금 값 도구를 출발본에 넣어 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 꽂기</t>
    </r>
    <r>
      <rPr>
        <sz val="10"/>
        <rFont val="Arial"/>
        <family val="0"/>
        <charset val="1"/>
      </rPr>
      <t xml:space="preserve">(AL3)</t>
    </r>
    <r>
      <rPr>
        <sz val="10"/>
        <rFont val="Noto Sans CJK KR"/>
        <family val="2"/>
      </rPr>
      <t xml:space="preserve">에서 함께 확인한다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L11</t>
    </r>
  </si>
  <si>
    <r>
      <rPr>
        <sz val="10"/>
        <rFont val="Arial"/>
        <family val="0"/>
        <charset val="1"/>
      </rPr>
      <t xml:space="preserve">[AL3] </t>
    </r>
    <r>
      <rPr>
        <sz val="10"/>
        <rFont val="Noto Sans CJK KR"/>
        <family val="2"/>
      </rPr>
      <t xml:space="preserve">내가 만든 지식 지도를 규격으로 꽂아 일꾼이 직접 길을 찾게 한다 — 쓰기는 거절된다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</si>
  <si>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온톨로지 랩업에서 만든 내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이제 일꾼이 쓴다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내 지도에 묻기</t>
    </r>
    <r>
      <rPr>
        <sz val="10"/>
        <rFont val="Arial"/>
        <family val="0"/>
        <charset val="1"/>
      </rPr>
      <t xml:space="preserve">(OL7) / </t>
    </r>
    <r>
      <rPr>
        <sz val="10"/>
        <rFont val="Noto Sans CJK KR"/>
        <family val="2"/>
      </rPr>
      <t xml:space="preserve">지식 그래프 연결 설정을 붙이게 시킨다 → 일꾼이 틀을 먼저 읽고 질의를 쓰는 기록을 본다 → 세 사건 질문 답이 </t>
    </r>
    <r>
      <rPr>
        <sz val="10"/>
        <rFont val="Arial"/>
        <family val="0"/>
        <charset val="1"/>
      </rPr>
      <t xml:space="preserve">OL7</t>
    </r>
    <r>
      <rPr>
        <sz val="10"/>
        <rFont val="Noto Sans CJK KR"/>
        <family val="2"/>
      </rPr>
      <t xml:space="preserve">과 같은지 확인 → 일부러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노드를 하나 지워 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시켜 거절되는 것을 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</si>
  <si>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지식 그래프 연결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</si>
  <si>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L12</t>
    </r>
  </si>
  <si>
    <r>
      <rPr>
        <sz val="10"/>
        <rFont val="Arial"/>
        <family val="0"/>
        <charset val="1"/>
      </rPr>
      <t xml:space="preserve">[AL4]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 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만들어 포털에 등록하고 연결 검사를 통과시킨다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</si>
  <si>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포털에서 골랐던 그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만든 것으로 바꿔 끼운다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서버 둘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포털 연결 검사</t>
    </r>
    <r>
      <rPr>
        <sz val="10"/>
        <rFont val="Arial"/>
        <family val="0"/>
        <charset val="1"/>
      </rPr>
      <t xml:space="preserve">(APB1 · APC1) / 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작은 서버를 시킨다 → 생성 대기 → 도구 목록 읽기 → 포털에 등록 → 연결 검사 → 같은 뼈대로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→ 쓰기 도구를 넣어 달라고 했을 때 막히는지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요령으로 순서를 바꾼다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</si>
  <si>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</si>
  <si>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</si>
  <si>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r>
      <rPr>
        <sz val="10"/>
        <rFont val="Arial"/>
        <family val="0"/>
        <charset val="1"/>
      </rPr>
      <t xml:space="preserve">[AL5] </t>
    </r>
    <r>
      <rPr>
        <sz val="10"/>
        <rFont val="Noto Sans CJK KR"/>
        <family val="2"/>
      </rPr>
      <t xml:space="preserve">작업 요령을 써서 일꾼이 확인하는 순서를 바꾼다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</si>
  <si>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체크리스트 한 장으로 일꾼의 첫 질문이 바뀐다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(AT4) · </t>
    </r>
    <r>
      <rPr>
        <sz val="10"/>
        <rFont val="Noto Sans CJK KR"/>
        <family val="2"/>
      </rPr>
      <t xml:space="preserve">포털 요령 붙이기</t>
    </r>
    <r>
      <rPr>
        <sz val="10"/>
        <rFont val="Arial"/>
        <family val="0"/>
        <charset val="1"/>
      </rPr>
      <t xml:space="preserve">(APB1) / </t>
    </r>
    <r>
      <rPr>
        <sz val="10"/>
        <rFont val="Noto Sans CJK KR"/>
        <family val="2"/>
      </rPr>
      <t xml:space="preserve">정기 정비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기한 → 허용 오차 → 생산 오더 → 인력 → 부품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문서로 쓰게 하고 붙인다 → 같은 질문을 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후로 돌려 도구 호출 순서를 나란히 본다 → 같은 요령을 포털 일꾼에 붙여도 같은 변화가 나는지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규칙으로 빼고 돈으로 순위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</si>
  <si>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</si>
  <si>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에만 둔다 — 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실전반에서는 빼고 포털에서 요령을 붙여 본 것</t>
    </r>
    <r>
      <rPr>
        <sz val="10"/>
        <rFont val="Arial"/>
        <family val="0"/>
        <charset val="1"/>
      </rPr>
      <t xml:space="preserve">(APB1)</t>
    </r>
    <r>
      <rPr>
        <sz val="10"/>
        <rFont val="Noto Sans CJK KR"/>
        <family val="2"/>
      </rPr>
      <t xml:space="preserve">으로 갈음한다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L14</t>
    </r>
  </si>
  <si>
    <r>
      <rPr>
        <sz val="10"/>
        <rFont val="Arial"/>
        <family val="0"/>
        <charset val="1"/>
      </rPr>
      <t xml:space="preserve">[AL6] </t>
    </r>
    <r>
      <rPr>
        <sz val="10"/>
        <rFont val="Noto Sans CJK KR"/>
        <family val="2"/>
      </rPr>
      <t xml:space="preserve">위험한 안은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매겨 추천안 하나와 지는 안의 이유를 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</si>
  <si>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포털 제안 카드의 그 한 장을 내 일꾼이 만든다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(AT5) · </t>
    </r>
    <r>
      <rPr>
        <sz val="10"/>
        <rFont val="Noto Sans CJK KR"/>
        <family val="2"/>
      </rPr>
      <t xml:space="preserve">손익</t>
    </r>
    <r>
      <rPr>
        <sz val="10"/>
        <rFont val="Arial"/>
        <family val="0"/>
        <charset val="1"/>
      </rPr>
      <t xml:space="preserve">(AT7) · </t>
    </r>
    <r>
      <rPr>
        <sz val="10"/>
        <rFont val="Noto Sans CJK KR"/>
        <family val="2"/>
      </rPr>
      <t xml:space="preserve">포털 제안 카드</t>
    </r>
    <r>
      <rPr>
        <sz val="10"/>
        <rFont val="Arial"/>
        <family val="0"/>
        <charset val="1"/>
      </rPr>
      <t xml:space="preserve">(APA2 · APB2 · APC2) / 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(AT5</t>
    </r>
    <r>
      <rPr>
        <sz val="10"/>
        <rFont val="Noto Sans CJK KR"/>
        <family val="2"/>
      </rPr>
      <t xml:space="preserve">에서 만든 모양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붙이게 시킨다 → 금지 안이 빠지는지</t>
    </r>
    <r>
      <rPr>
        <sz val="10"/>
        <rFont val="Arial"/>
        <family val="0"/>
        <charset val="1"/>
      </rPr>
      <t xml:space="preserve">(C</t>
    </r>
    <r>
      <rPr>
        <sz val="10"/>
        <rFont val="Noto Sans CJK KR"/>
        <family val="2"/>
      </rPr>
      <t xml:space="preserve">트레이딩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남은 안을 원으로 비교해 순위 → 추천 하나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지는 안 이유 출력 → 값 하나를 바꿔 순위가 뒤집히는 경계도 내 일꾼이 찾게 한다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일꾼을 채점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</si>
  <si>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손익 순위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바꿔 보기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</si>
  <si>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L15</t>
    </r>
  </si>
  <si>
    <r>
      <rPr>
        <sz val="10"/>
        <rFont val="Arial"/>
        <family val="0"/>
        <charset val="1"/>
      </rPr>
      <t xml:space="preserve">[AL7] </t>
    </r>
    <r>
      <rPr>
        <sz val="10"/>
        <rFont val="Noto Sans CJK KR"/>
        <family val="2"/>
      </rPr>
      <t xml:space="preserve">내 일꾼의 판단 다섯 건을 정답표로 자동 채점하고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일꾼의 점수와 견준다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</si>
  <si>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내가 만든 일꾼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일꾼만큼 믿을 만할까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</t>
    </r>
    <r>
      <rPr>
        <sz val="10"/>
        <rFont val="Arial"/>
        <family val="0"/>
        <charset val="1"/>
      </rPr>
      <t xml:space="preserve">(AT8 · APA4) / </t>
    </r>
    <r>
      <rPr>
        <sz val="10"/>
        <rFont val="Noto Sans CJK KR"/>
        <family val="2"/>
      </rPr>
      <t xml:space="preserve">정답표와 판단 다섯 건을 비교해 항목별 점수를 내는 채점기를 시킨다 → 내 점수와 포털 점수를 항목별로 비교 → 다른 칸이 있으면 무엇이 달랐는지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찾는다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조각을 한 일꾼에 모아 겨룬다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</si>
  <si>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채점 자동화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</si>
  <si>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L16</t>
    </r>
  </si>
  <si>
    <r>
      <rPr>
        <sz val="10"/>
        <rFont val="Arial"/>
        <family val="0"/>
        <charset val="1"/>
      </rPr>
      <t xml:space="preserve">[AL8] </t>
    </r>
    <r>
      <rPr>
        <sz val="10"/>
        <rFont val="Noto Sans CJK KR"/>
        <family val="2"/>
      </rPr>
      <t xml:space="preserve">지금까지 붙인 것을 한 일꾼에 모아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일꾼과 같은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근거를 내는지 겨뤄 본다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</si>
  <si>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내 손으로 조립한 일꾼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포털 일꾼 — 같은 답이 나올까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네 부분</t>
    </r>
    <r>
      <rPr>
        <sz val="10"/>
        <rFont val="Arial"/>
        <family val="0"/>
        <charset val="1"/>
      </rPr>
      <t xml:space="preserve">(AT1) · AL1~AL7</t>
    </r>
    <r>
      <rPr>
        <sz val="10"/>
        <rFont val="Noto Sans CJK KR"/>
        <family val="2"/>
      </rPr>
      <t xml:space="preserve">에서 만든 조각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시험 실행</t>
    </r>
    <r>
      <rPr>
        <sz val="10"/>
        <rFont val="Arial"/>
        <family val="0"/>
        <charset val="1"/>
      </rPr>
      <t xml:space="preserve">(APA2) 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 서버 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규칙을 한 일꾼에 모으게 시킨다 → 쿨러 사건으로 추천안을 내게 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대기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포털 기본 일꾼 결과와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점수를 비교표로 → 다르면 다른 칸 하나를 찾아 무엇 때문인지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짚는다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BPMN </t>
    </r>
    <r>
      <rPr>
        <sz val="10"/>
        <rFont val="Noto Sans CJK KR"/>
        <family val="2"/>
      </rPr>
      <t xml:space="preserve">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추천을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흐름에 태운다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</si>
  <si>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일꾼 조립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비교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</si>
  <si>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에만 둔다 — 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실전반은 채점기</t>
    </r>
    <r>
      <rPr>
        <sz val="10"/>
        <rFont val="Arial"/>
        <family val="0"/>
        <charset val="1"/>
      </rPr>
      <t xml:space="preserve">(AL7)</t>
    </r>
    <r>
      <rPr>
        <sz val="10"/>
        <rFont val="Noto Sans CJK KR"/>
        <family val="2"/>
      </rPr>
      <t xml:space="preserve">에서 포털 점수와 견주는 것으로 끝낸다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L17</t>
    </r>
  </si>
  <si>
    <t xml:space="preserve">BPMN</t>
  </si>
  <si>
    <r>
      <rPr>
        <sz val="10"/>
        <rFont val="Arial"/>
        <family val="0"/>
        <charset val="1"/>
      </rPr>
      <t xml:space="preserve">[BT1] </t>
    </r>
    <r>
      <rPr>
        <sz val="10"/>
        <rFont val="Noto Sans CJK KR"/>
        <family val="2"/>
      </rPr>
      <t xml:space="preserve">레시피와 오늘 저녁 요리는 다르다 — 업무 흐름의 정의와 실제 한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기호 다섯 개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</si>
  <si>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레시피는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오늘 저녁 요리는 매일 새 한 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에이전트 막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누가 승인하고 무엇이 실행되나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</t>
    </r>
    <r>
      <rPr>
        <sz val="10"/>
        <rFont val="Arial"/>
        <family val="0"/>
        <charset val="1"/>
      </rPr>
      <t xml:space="preserve">(BPMN) = </t>
    </r>
    <r>
      <rPr>
        <sz val="10"/>
        <rFont val="Noto Sans CJK KR"/>
        <family val="2"/>
      </rPr>
      <t xml:space="preserve">일의 레시피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처리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오늘의 한 건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). 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흐름을 함께 따라 그려 파일로 내보낸다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일을 어디서 나누나</t>
    </r>
  </si>
  <si>
    <r>
      <rPr>
        <sz val="10"/>
        <rFont val="Noto Sans CJK KR"/>
        <family val="2"/>
      </rPr>
      <t xml:space="preserve">업무 흐름</t>
    </r>
    <r>
      <rPr>
        <sz val="10"/>
        <rFont val="Arial"/>
        <family val="0"/>
        <charset val="1"/>
      </rPr>
      <t xml:space="preserve">(BPMN),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bpmn.io</t>
    </r>
  </si>
  <si>
    <r>
      <rPr>
        <sz val="10"/>
        <rFont val="Arial"/>
        <family val="0"/>
        <charset val="1"/>
      </rPr>
      <t xml:space="preserve">[BT2] </t>
    </r>
    <r>
      <rPr>
        <sz val="10"/>
        <rFont val="Noto Sans CJK KR"/>
        <family val="2"/>
      </rPr>
      <t xml:space="preserve">일어난 일을 시간순으로 붙이면 누가 바통을 넘기는지 보인다 — 사건 펼치기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흐름을 여는 것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</si>
  <si>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앱 주문이 집에 오기까지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포스트잇 붙이기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</t>
    </r>
    <r>
      <rPr>
        <sz val="10"/>
        <rFont val="Arial"/>
        <family val="0"/>
        <charset val="1"/>
      </rPr>
      <t xml:space="preserve">(BT1) / </t>
    </r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스토밍</t>
    </r>
    <r>
      <rPr>
        <sz val="10"/>
        <rFont val="Arial"/>
        <family val="0"/>
        <charset val="1"/>
      </rPr>
      <t xml:space="preserve">): 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 붙이고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찾는다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 — 에이전트의 진단 → 후보 → 규칙 → 제안은 일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첫 사건이 흐름을 연다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센서 경보</t>
    </r>
    <r>
      <rPr>
        <sz val="10"/>
        <rFont val="Arial"/>
        <family val="0"/>
        <charset val="1"/>
      </rPr>
      <t xml:space="preserve">(A) · </t>
    </r>
    <r>
      <rPr>
        <sz val="10"/>
        <rFont val="Noto Sans CJK KR"/>
        <family val="2"/>
      </rPr>
      <t xml:space="preserve">운전시간 계수기</t>
    </r>
    <r>
      <rPr>
        <sz val="10"/>
        <rFont val="Arial"/>
        <family val="0"/>
        <charset val="1"/>
      </rPr>
      <t xml:space="preserve">(B) · </t>
    </r>
    <r>
      <rPr>
        <sz val="10"/>
        <rFont val="Noto Sans CJK KR"/>
        <family val="2"/>
      </rPr>
      <t xml:space="preserve">재고 기준</t>
    </r>
    <r>
      <rPr>
        <sz val="10"/>
        <rFont val="Arial"/>
        <family val="0"/>
        <charset val="1"/>
      </rPr>
      <t xml:space="preserve">(C) —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사람이 끼는 곳 — 한 번 승인</t>
    </r>
  </si>
  <si>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스토밍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레인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시작 이벤트</t>
    </r>
  </si>
  <si>
    <r>
      <rPr>
        <sz val="10"/>
        <rFont val="Arial"/>
        <family val="0"/>
        <charset val="1"/>
      </rPr>
      <t xml:space="preserve">[BT3] AI</t>
    </r>
    <r>
      <rPr>
        <sz val="10"/>
        <rFont val="Noto Sans CJK KR"/>
        <family val="2"/>
      </rPr>
      <t xml:space="preserve">가 바로 실행하면 안 된다 — 담당자가 자기 업무를 딱 한 번 승인하고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실행은 시스템이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</si>
  <si>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큰돈 이체 확인 문자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확인 없이 바로 실행하면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읽기만 하는 </t>
    </r>
    <r>
      <rPr>
        <sz val="10"/>
        <rFont val="Arial"/>
        <family val="0"/>
        <charset val="1"/>
      </rPr>
      <t xml:space="preserve">AI(AT3) ·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(BT2) / </t>
    </r>
    <r>
      <rPr>
        <sz val="10"/>
        <rFont val="Noto Sans CJK KR"/>
        <family val="2"/>
      </rPr>
      <t xml:space="preserve">제안과 실행을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승인하는 사람은 자기 업무의 담당자 한 사람 — 운전원</t>
    </r>
    <r>
      <rPr>
        <sz val="10"/>
        <rFont val="Arial"/>
        <family val="0"/>
        <charset val="1"/>
      </rPr>
      <t xml:space="preserve">(A) · </t>
    </r>
    <r>
      <rPr>
        <sz val="10"/>
        <rFont val="Noto Sans CJK KR"/>
        <family val="2"/>
      </rPr>
      <t xml:space="preserve">설비보전팀장</t>
    </r>
    <r>
      <rPr>
        <sz val="10"/>
        <rFont val="Arial"/>
        <family val="0"/>
        <charset val="1"/>
      </rPr>
      <t xml:space="preserve">(B) · </t>
    </r>
    <r>
      <rPr>
        <sz val="10"/>
        <rFont val="Noto Sans CJK KR"/>
        <family val="2"/>
      </rPr>
      <t xml:space="preserve">구매 담당</t>
    </r>
    <r>
      <rPr>
        <sz val="10"/>
        <rFont val="Arial"/>
        <family val="0"/>
        <charset val="1"/>
      </rPr>
      <t xml:space="preserve">(C), </t>
    </r>
    <r>
      <rPr>
        <sz val="10"/>
        <rFont val="Noto Sans CJK KR"/>
        <family val="2"/>
      </rPr>
      <t xml:space="preserve">한 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승인 뒤 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시스템이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환불이 안 되는 가게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승인이 늦거나 기다려야 할 때</t>
    </r>
  </si>
  <si>
    <r>
      <rPr>
        <sz val="10"/>
        <rFont val="Noto Sans CJK KR"/>
        <family val="2"/>
      </rPr>
      <t xml:space="preserve">사람 승인</t>
    </r>
    <r>
      <rPr>
        <sz val="10"/>
        <rFont val="Arial"/>
        <family val="0"/>
        <charset val="1"/>
      </rPr>
      <t xml:space="preserve">(HITL), </t>
    </r>
    <r>
      <rPr>
        <sz val="10"/>
        <rFont val="Noto Sans CJK KR"/>
        <family val="2"/>
      </rPr>
      <t xml:space="preserve">사람 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휴먼 태스크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</si>
  <si>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[BT4] </t>
    </r>
    <r>
      <rPr>
        <sz val="10"/>
        <rFont val="Noto Sans CJK KR"/>
        <family val="2"/>
      </rPr>
      <t xml:space="preserve">기다리거나 늦을 때 흐름이 갈 길을 미리 그린다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예정된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갈림길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</si>
  <si>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미용실 예약 시간 — 기다림도 그림의 한 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한 번</t>
    </r>
    <r>
      <rPr>
        <sz val="10"/>
        <rFont val="Arial"/>
        <family val="0"/>
        <charset val="1"/>
      </rPr>
      <t xml:space="preserve">(BT3) / </t>
    </r>
    <r>
      <rPr>
        <sz val="10"/>
        <rFont val="Noto Sans CJK KR"/>
        <family val="2"/>
      </rPr>
      <t xml:space="preserve">타이머 셋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 </t>
    </r>
    <r>
      <rPr>
        <sz val="10"/>
        <rFont val="Noto Sans CJK KR"/>
        <family val="2"/>
      </rPr>
      <t xml:space="preserve">낮에는 설비를 세울 수 없어 예정된 정비 시간까지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). bpmn.io</t>
    </r>
    <r>
      <rPr>
        <sz val="10"/>
        <rFont val="Noto Sans CJK KR"/>
        <family val="2"/>
      </rPr>
      <t xml:space="preserve">로 배달 흐름에 </t>
    </r>
    <r>
      <rPr>
        <sz val="10"/>
        <rFont val="Arial"/>
        <family val="0"/>
        <charset val="1"/>
      </rPr>
      <t xml:space="preserve">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타이머와 갈림길을 그린다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해 놓고 끝이 아니다 — 확인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</si>
  <si>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게이트웨이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</si>
  <si>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[BT5] </t>
    </r>
    <r>
      <rPr>
        <sz val="10"/>
        <rFont val="Noto Sans CJK KR"/>
        <family val="2"/>
      </rPr>
      <t xml:space="preserve">해 놓고 끝이 아니다 — 시스템이 효과를 확인해 결과 보고를 올려야 일이 닫히고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닫힌 건이 지표가 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</si>
  <si>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보냈다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받았다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여야 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(BT4) / </t>
    </r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</t>
    </r>
    <r>
      <rPr>
        <sz val="10"/>
        <rFont val="Arial"/>
        <family val="0"/>
        <charset val="1"/>
      </rPr>
      <t xml:space="preserve">(A) 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</t>
    </r>
    <r>
      <rPr>
        <sz val="10"/>
        <rFont val="Arial"/>
        <family val="0"/>
        <charset val="1"/>
      </rPr>
      <t xml:space="preserve">(B) 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(C). </t>
    </r>
    <r>
      <rPr>
        <sz val="10"/>
        <rFont val="Noto Sans CJK KR"/>
        <family val="2"/>
      </rPr>
      <t xml:space="preserve">확인이 실패해도 조용히 닫지 않는다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닫힌 건이 쌓이면 지표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</t>
    </r>
    <r>
      <rPr>
        <sz val="10"/>
        <rFont val="Noto Sans CJK KR"/>
        <family val="2"/>
      </rPr>
      <t xml:space="preserve">로 돌아본다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흐름을 바꿔 배포하면 새 건부터 새 판이 쓰이고 되돌릴 수 있다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포털에서 세 흐름을 그리고 한 건씩 닫는다</t>
    </r>
  </si>
  <si>
    <r>
      <rPr>
        <sz val="10"/>
        <rFont val="Noto Sans CJK KR"/>
        <family val="2"/>
      </rPr>
      <t xml:space="preserve">효과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판본 배포</t>
    </r>
  </si>
  <si>
    <r>
      <rPr>
        <sz val="10"/>
        <rFont val="Arial"/>
        <family val="0"/>
        <charset val="1"/>
      </rPr>
      <t xml:space="preserve">[BPA1] </t>
    </r>
    <r>
      <rPr>
        <sz val="10"/>
        <rFont val="Noto Sans CJK KR"/>
        <family val="2"/>
      </rPr>
      <t xml:space="preserve">쿨러 과열 흐름을 그려 포털에 올린다 — 경보로 열리고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운전원 승인 없이는 명령이 못 나가게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</si>
  <si>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제안 카드가 나왔다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이제 누가 누르고 무엇이 움직이나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(BT1 · BT2) 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(BT4) · A </t>
    </r>
    <r>
      <rPr>
        <sz val="10"/>
        <rFont val="Noto Sans CJK KR"/>
        <family val="2"/>
      </rPr>
      <t xml:space="preserve">제안</t>
    </r>
    <r>
      <rPr>
        <sz val="10"/>
        <rFont val="Arial"/>
        <family val="0"/>
        <charset val="1"/>
      </rPr>
      <t xml:space="preserve">(APA2) / A </t>
    </r>
    <r>
      <rPr>
        <sz val="10"/>
        <rFont val="Noto Sans CJK KR"/>
        <family val="2"/>
      </rPr>
      <t xml:space="preserve">사건을 말로 펼친다 → </t>
    </r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에 칸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담당자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시스템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 → 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지연 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정상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갈림길을 그린다 → 내보내기 → 포털에 가져오기 → 일마다 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정하기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일부러 승인을 빼고 사전 검사 → 거절 사유 읽고 고치기 → 배포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판본이 생기는 것 확인</t>
    </r>
    <r>
      <rPr>
        <sz val="10"/>
        <rFont val="Arial"/>
        <family val="0"/>
        <charset val="1"/>
      </rPr>
      <t xml:space="preserve">).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올린 흐름에 사건 한 건을 태운다</t>
    </r>
  </si>
  <si>
    <r>
      <rPr>
        <sz val="10"/>
        <rFont val="Arial"/>
        <family val="0"/>
        <charset val="1"/>
      </rPr>
      <t xml:space="preserve">bpmn.io,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배포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</si>
  <si>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셋을 그린 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거절이 뜬 뒤</t>
    </r>
  </si>
  <si>
    <r>
      <rPr>
        <sz val="10"/>
        <rFont val="Arial"/>
        <family val="0"/>
        <charset val="1"/>
      </rPr>
      <t xml:space="preserve">[BPA2] </t>
    </r>
    <r>
      <rPr>
        <sz val="10"/>
        <rFont val="Noto Sans CJK KR"/>
        <family val="2"/>
      </rPr>
      <t xml:space="preserve">흐름이 올라갔으니 한 건을 끝까지 닫는다 — 경보 → 제안 → 운전원 승인 → 냉각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유온 확인 → 결과 보고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</si>
  <si>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시작에서 본 그 시연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이번엔 내 흐름으로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자동 확인</t>
    </r>
    <r>
      <rPr>
        <sz val="10"/>
        <rFont val="Arial"/>
        <family val="0"/>
        <charset val="1"/>
      </rPr>
      <t xml:space="preserve">(BT5) · A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(BPA1) / </t>
    </r>
    <r>
      <rPr>
        <sz val="10"/>
        <rFont val="Noto Sans CJK KR"/>
        <family val="2"/>
      </rPr>
      <t xml:space="preserve">쿨러 열화 주입 → 경보로 처리 건이 열리는 것 보기 → 일꾼 진행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 동안 하이라이트가 어디서 멈추는지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내 작업함에서 운전원으로 제안 카드 읽고 한 번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</t>
    </r>
    <r>
      <rPr>
        <sz val="10"/>
        <rFont val="Arial"/>
        <family val="0"/>
        <charset val="1"/>
      </rPr>
      <t xml:space="preserve">(45 s) →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값을 따라간다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늦거나 효과가 없을 때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</si>
  <si>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 작업함 승인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</si>
  <si>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버튼 앞 — 카드에서 무엇을 확인할지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RAISE · W4 · REOBS · CASE</t>
    </r>
  </si>
  <si>
    <r>
      <rPr>
        <sz val="10"/>
        <rFont val="Arial"/>
        <family val="0"/>
        <charset val="1"/>
      </rPr>
      <t xml:space="preserve">[BPA3] </t>
    </r>
    <r>
      <rPr>
        <sz val="10"/>
        <rFont val="Noto Sans CJK KR"/>
        <family val="2"/>
      </rPr>
      <t xml:space="preserve">정상으로 닫아 봤으니 어긋나는 길도 밟는다 — 승인이 늦으면 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유온이 안 내려가면 미달 보고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</si>
  <si>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운전원이 자리에 없으면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팬을 돌렸는데도 안 식으면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정상 한 건</t>
    </r>
    <r>
      <rPr>
        <sz val="10"/>
        <rFont val="Arial"/>
        <family val="0"/>
        <charset val="1"/>
      </rPr>
      <t xml:space="preserve">(BPA2) / </t>
    </r>
    <r>
      <rPr>
        <sz val="10"/>
        <rFont val="Noto Sans CJK KR"/>
        <family val="2"/>
      </rPr>
      <t xml:space="preserve">두 번째 건을 일으키고 승인을 일부러 미룬다 → 지연 알림이 남는 것을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실행은 여전히 </t>
    </r>
    <r>
      <rPr>
        <sz val="10"/>
        <rFont val="Arial"/>
        <family val="0"/>
        <charset val="1"/>
      </rPr>
      <t xml:space="preserve">0) → </t>
    </r>
    <r>
      <rPr>
        <sz val="10"/>
        <rFont val="Noto Sans CJK KR"/>
        <family val="2"/>
      </rPr>
      <t xml:space="preserve">승인 → 외기 고온 버튼으로 유온이 안 내려가는 조건을 만든다 → 재관측 → 미달 보고 → 처리 건 목록에서 정상 건과 나란히 보고 회복 시간 지표를 읽는다 → 되돌리기</t>
    </r>
    <r>
      <rPr>
        <sz val="10"/>
        <rFont val="Arial"/>
        <family val="0"/>
        <charset val="1"/>
      </rPr>
      <t xml:space="preserve">. A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세 단계를 정기 정비 흐름으로</t>
    </r>
  </si>
  <si>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</si>
  <si>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REOBS</t>
    </r>
  </si>
  <si>
    <r>
      <rPr>
        <sz val="10"/>
        <rFont val="Arial"/>
        <family val="0"/>
        <charset val="1"/>
      </rPr>
      <t xml:space="preserve">[BPB1]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흐름을 그려 올린다 — 예정된 정비 시간까지 기다렸다가 정비하고 시운전으로 확인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</si>
  <si>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정비는 왜 지금 바로 안 하고 기다릴까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(BPA1) · </t>
    </r>
    <r>
      <rPr>
        <sz val="10"/>
        <rFont val="Noto Sans CJK KR"/>
        <family val="2"/>
      </rPr>
      <t xml:space="preserve">예정된 시간 타이머</t>
    </r>
    <r>
      <rPr>
        <sz val="10"/>
        <rFont val="Arial"/>
        <family val="0"/>
        <charset val="1"/>
      </rPr>
      <t xml:space="preserve">(BT4) · B </t>
    </r>
    <r>
      <rPr>
        <sz val="10"/>
        <rFont val="Noto Sans CJK KR"/>
        <family val="2"/>
      </rPr>
      <t xml:space="preserve">제안</t>
    </r>
    <r>
      <rPr>
        <sz val="10"/>
        <rFont val="Arial"/>
        <family val="0"/>
        <charset val="1"/>
      </rPr>
      <t xml:space="preserve">(APB2)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펼치기 → 칸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그리기 → 가져오기 → 매핑 → 사전 검사 → 배포를 학생이 먼저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단계 이름을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 — 정비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예정된 정비 시간까지 기다리는 타이머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정비 수행 → 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기준 통과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. "</t>
    </r>
    <r>
      <rPr>
        <sz val="10"/>
        <rFont val="Noto Sans CJK KR"/>
        <family val="2"/>
      </rPr>
      <t xml:space="preserve">정비 수행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사람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정비사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하는 일이라 칸이 바뀐다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정기 정비 한 건을 닫는다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</si>
  <si>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배포</t>
    </r>
  </si>
  <si>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타이머를 놓기 전 — 어디에 둘지 먼저</t>
    </r>
  </si>
  <si>
    <r>
      <rPr>
        <sz val="10"/>
        <rFont val="Arial"/>
        <family val="0"/>
        <charset val="1"/>
      </rPr>
      <t xml:space="preserve">[BPB2]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한 건을 끝까지 닫는다 — 팀장 승인 →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→ 예정된 시간에 정비 → 시운전 확인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</si>
  <si>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승인한 뒤 실제로 정비가 일어나기까지 무엇이 기다리나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건 닫기</t>
    </r>
    <r>
      <rPr>
        <sz val="10"/>
        <rFont val="Arial"/>
        <family val="0"/>
        <charset val="1"/>
      </rPr>
      <t xml:space="preserve">(BPA2)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일으키기 → 일꾼 진행 → 내 작업함 승인 → 실행 → 확인 → 결과 보고를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빨리 감기 </t>
    </r>
    <r>
      <rPr>
        <sz val="10"/>
        <rFont val="Arial"/>
        <family val="0"/>
        <charset val="1"/>
      </rPr>
      <t xml:space="preserve">+300 h</t>
    </r>
    <r>
      <rPr>
        <sz val="10"/>
        <rFont val="Noto Sans CJK KR"/>
        <family val="2"/>
      </rPr>
      <t xml:space="preserve">로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오더와 생산팀 공지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버튼으로 몇 분으로 줄임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시운전이 기준에 못 미치면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</si>
  <si>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시운전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</si>
  <si>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 · WAIT</t>
    </r>
  </si>
  <si>
    <r>
      <rPr>
        <sz val="10"/>
        <rFont val="Arial"/>
        <family val="0"/>
        <charset val="1"/>
      </rPr>
      <t xml:space="preserve">[BPB3]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시운전이 기준에 못 미치면 계수기를 리셋하지 않고 미달로 닫는다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</si>
  <si>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정비는 했는데 압력이 안 나오면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정비가 끝난 걸까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(BPA3)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 → 어긋나는 조건 → 미달 보고 → 지표 읽기를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어긋나는 곳이 승인이 아니라 시운전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미달이면 계수기를 리셋하지 않아 다음 정비 도래가 그대로 남는다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정비 기한 준수 지표를 읽고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로 넘어간다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예비품 구매 흐름</t>
    </r>
  </si>
  <si>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정비 기한 준수 지표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</si>
  <si>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WAIT</t>
    </r>
  </si>
  <si>
    <r>
      <rPr>
        <sz val="10"/>
        <rFont val="Arial"/>
        <family val="0"/>
        <charset val="1"/>
      </rPr>
      <t xml:space="preserve">[BPC1]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흐름을 그려 올린다 — 발주하고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입고될 때까지 기다리고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납기 안에 왔는지 확인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</si>
  <si>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발주 버튼을 누르면 일이 끝났을까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(BPA1 · BPB1) · </t>
    </r>
    <r>
      <rPr>
        <sz val="10"/>
        <rFont val="Noto Sans CJK KR"/>
        <family val="2"/>
      </rPr>
      <t xml:space="preserve">입고 기다림 타이머</t>
    </r>
    <r>
      <rPr>
        <sz val="10"/>
        <rFont val="Arial"/>
        <family val="0"/>
        <charset val="1"/>
      </rPr>
      <t xml:space="preserve">(BT4) · C </t>
    </r>
    <r>
      <rPr>
        <sz val="10"/>
        <rFont val="Noto Sans CJK KR"/>
        <family val="2"/>
      </rPr>
      <t xml:space="preserve">제안</t>
    </r>
    <r>
      <rPr>
        <sz val="10"/>
        <rFont val="Arial"/>
        <family val="0"/>
        <charset val="1"/>
      </rPr>
      <t xml:space="preserve">(APC2)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그리기 → 가져오기 → 매핑 → 사전 검사 → 배포를 학생이 혼자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다 그린 뒤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 — 발주안 제안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기다리는 타이머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안에 입고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기다림이 공장 밖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달려 있다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예비품 구매 한 건을 닫는다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</si>
  <si>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배포</t>
    </r>
  </si>
  <si>
    <r>
      <rPr>
        <sz val="10"/>
        <rFont val="Arial"/>
        <family val="0"/>
        <charset val="1"/>
      </rPr>
      <t xml:space="preserve">[BPC2]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한 건을 끝까지 닫는다 —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기다림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</si>
  <si>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"B</t>
    </r>
    <r>
      <rPr>
        <sz val="10"/>
        <rFont val="Noto Sans CJK KR"/>
        <family val="2"/>
      </rPr>
      <t xml:space="preserve">가 쓴 씰 키트를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 — 한 공장의 한 주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건 닫기</t>
    </r>
    <r>
      <rPr>
        <sz val="10"/>
        <rFont val="Arial"/>
        <family val="0"/>
        <charset val="1"/>
      </rPr>
      <t xml:space="preserve">(BPA2 · BPB2)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→ 일꾼 → 승인 → 실행 → 확인 → 보고를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자재 출고 씰 키트 −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로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발주와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부서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버튼으로 줄임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끝에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가 남긴 작업지시 </t>
    </r>
    <r>
      <rPr>
        <sz val="10"/>
        <rFont val="Arial"/>
        <family val="0"/>
        <charset val="1"/>
      </rPr>
      <t xml:space="preserve">· B</t>
    </r>
    <r>
      <rPr>
        <sz val="10"/>
        <rFont val="Noto Sans CJK KR"/>
        <family val="2"/>
      </rPr>
      <t xml:space="preserve">가 쓴 씰 키트 </t>
    </r>
    <r>
      <rPr>
        <sz val="10"/>
        <rFont val="Arial"/>
        <family val="0"/>
        <charset val="1"/>
      </rPr>
      <t xml:space="preserve">· C</t>
    </r>
    <r>
      <rPr>
        <sz val="10"/>
        <rFont val="Noto Sans CJK KR"/>
        <family val="2"/>
      </rPr>
      <t xml:space="preserve">가 채운 재고를 한 줄로 잇는다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납기를 넘기면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</si>
  <si>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</si>
  <si>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[BPC3]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납기를 넘기면 지연으로 닫는다 — 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</si>
  <si>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공급사가 늦으면 누가 알게 되나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 가지</t>
    </r>
    <r>
      <rPr>
        <sz val="10"/>
        <rFont val="Arial"/>
        <family val="0"/>
        <charset val="1"/>
      </rPr>
      <t xml:space="preserve">(BPA3 · BPB3) / </t>
    </r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 → 어긋나는 조건 → 결과 보고 → 지표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어긋나는 곳이 공장 밖 — 납기 초과 → 지연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흐름 모두 제안 → 한 번 승인 → 실행 → 자동 확인 → 결과 보고라는 같은 뼈대인데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 항목이 달랐다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흐름의 부분들을 말로 만들어 본다</t>
    </r>
  </si>
  <si>
    <r>
      <rPr>
        <sz val="10"/>
        <rFont val="Noto Sans CJK KR"/>
        <family val="2"/>
      </rPr>
      <t xml:space="preserve">지연 가지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</t>
    </r>
    <r>
      <rPr>
        <sz val="10"/>
        <rFont val="Noto Sans CJK KR"/>
        <family val="2"/>
      </rPr>
      <t xml:space="preserve">지표</t>
    </r>
  </si>
  <si>
    <r>
      <rPr>
        <sz val="10"/>
        <rFont val="Arial"/>
        <family val="0"/>
        <charset val="1"/>
      </rPr>
      <t xml:space="preserve">[BL1] </t>
    </r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</si>
  <si>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"bpmn.io</t>
    </r>
    <r>
      <rPr>
        <sz val="10"/>
        <rFont val="Noto Sans CJK KR"/>
        <family val="2"/>
      </rPr>
      <t xml:space="preserve">로 손으로 그렸던 그림을 말로 시키면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(BT1 · BT2) · </t>
    </r>
    <r>
      <rPr>
        <sz val="10"/>
        <rFont val="Noto Sans CJK KR"/>
        <family val="2"/>
      </rPr>
      <t xml:space="preserve">포털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(BPA1) / A </t>
    </r>
    <r>
      <rPr>
        <sz val="10"/>
        <rFont val="Noto Sans CJK KR"/>
        <family val="2"/>
      </rPr>
      <t xml:space="preserve">흐름을 문장으로 설명해 흐름 파일</t>
    </r>
    <r>
      <rPr>
        <sz val="10"/>
        <rFont val="Arial"/>
        <family val="0"/>
        <charset val="1"/>
      </rPr>
      <t xml:space="preserve">(BPMN)</t>
    </r>
    <r>
      <rPr>
        <sz val="10"/>
        <rFont val="Noto Sans CJK KR"/>
        <family val="2"/>
      </rPr>
      <t xml:space="preserve">을 만들게 시킨다 → </t>
    </r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로 열어 그림 확인 → 포털에 가져와 사전 검사 → 거절 사유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위치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읽기 → 고치기 지시 → 통과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신호가 오면 내 일꾼을 부른다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</si>
  <si>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흐름 파일</t>
    </r>
    <r>
      <rPr>
        <sz val="10"/>
        <rFont val="Arial"/>
        <family val="0"/>
        <charset val="1"/>
      </rPr>
      <t xml:space="preserve">(BPMN XML)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</si>
  <si>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영상에서는 빼고 포털에서 손으로 그려 올린 흐름 파일을 그대로 쓴다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L18</t>
    </r>
  </si>
  <si>
    <r>
      <rPr>
        <sz val="10"/>
        <rFont val="Arial"/>
        <family val="0"/>
        <charset val="1"/>
      </rPr>
      <t xml:space="preserve">[BL2] </t>
    </r>
    <r>
      <rPr>
        <sz val="10"/>
        <rFont val="Noto Sans CJK KR"/>
        <family val="2"/>
      </rPr>
      <t xml:space="preserve">신호가 오면 서버가 내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맡긴다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</si>
  <si>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경보가 울리면 누가 일꾼을 깨우나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흐름을 여는 첫 사건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내 일꾼</t>
    </r>
    <r>
      <rPr>
        <sz val="10"/>
        <rFont val="Arial"/>
        <family val="0"/>
        <charset val="1"/>
      </rPr>
      <t xml:space="preserve">(AL1~AL7) / </t>
    </r>
    <r>
      <rPr>
        <sz val="10"/>
        <rFont val="Noto Sans CJK KR"/>
        <family val="2"/>
      </rPr>
      <t xml:space="preserve">이상 신호 메시지를 받으면 내 일꾼을 불러 진단시키고 결과와 도구 호출 기록을 저장하는 작은 서버를 시킨다 → 신호를 하나 보내 본다 → 일꾼이 한 번만 불리는지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기록이 포털 일 처리 과정과 같은 모양인지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제안이 나왔으니 승인 단계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</si>
  <si>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신호로 자동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트리거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</si>
  <si>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L19</t>
    </r>
  </si>
  <si>
    <r>
      <rPr>
        <sz val="10"/>
        <rFont val="Arial"/>
        <family val="0"/>
        <charset val="1"/>
      </rPr>
      <t xml:space="preserve">[BL3] </t>
    </r>
    <r>
      <rPr>
        <sz val="10"/>
        <rFont val="Noto Sans CJK KR"/>
        <family val="2"/>
      </rPr>
      <t xml:space="preserve">사람이 승인하기 전에는 실행이 한 번도 일어나지 않는 승인 단계를 만든다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</si>
  <si>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이체 확인 버튼을 내가 만든다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 승인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(AT3) · </t>
    </r>
    <r>
      <rPr>
        <sz val="10"/>
        <rFont val="Noto Sans CJK KR"/>
        <family val="2"/>
      </rPr>
      <t xml:space="preserve">포털 내 작업함</t>
    </r>
    <r>
      <rPr>
        <sz val="10"/>
        <rFont val="Arial"/>
        <family val="0"/>
        <charset val="1"/>
      </rPr>
      <t xml:space="preserve">(BPA2) / </t>
    </r>
    <r>
      <rPr>
        <sz val="10"/>
        <rFont val="Noto Sans CJK KR"/>
        <family val="2"/>
      </rPr>
      <t xml:space="preserve">추천안을 받아 담당자가 승인해야만 실행 함수를 부르는 단계를 시킨다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 승인을 각각 돌려 본다 → 승인 전 실행 횟수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을 기록으로 확인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실행 → 확인 → 보고까지 한 줄로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</si>
  <si>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 승인 단계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</si>
  <si>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L20</t>
    </r>
  </si>
  <si>
    <r>
      <rPr>
        <sz val="10"/>
        <rFont val="Arial"/>
        <family val="0"/>
        <charset val="1"/>
      </rPr>
      <t xml:space="preserve">[BL4] </t>
    </r>
    <r>
      <rPr>
        <sz val="10"/>
        <rFont val="Noto Sans CJK KR"/>
        <family val="2"/>
      </rPr>
      <t xml:space="preserve">신호 → 진단 → 승인 → 실행 → 자동 확인 → 결과 보고를 한 줄로 잇고 닫는다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</si>
  <si>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따로 만든 조각들이 바통을 넘기게 하자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(BT2) ·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자동 호출</t>
    </r>
    <r>
      <rPr>
        <sz val="10"/>
        <rFont val="Arial"/>
        <family val="0"/>
        <charset val="1"/>
      </rPr>
      <t xml:space="preserve">(BL2) 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(BL3) / BL2 · BL3 </t>
    </r>
    <r>
      <rPr>
        <sz val="10"/>
        <rFont val="Noto Sans CJK KR"/>
        <family val="2"/>
      </rPr>
      <t xml:space="preserve">결과를 이어 승인되면 실행 → 재관측 →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끝나게 시킨다 → 신호 하나로 여섯 단계 기록이 순서대로 남는지 → 미달 조건으로 한 번 더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승인이 늦으면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</si>
  <si>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 잇기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</si>
  <si>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REOBS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</si>
  <si>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r>
      <rPr>
        <sz val="10"/>
        <rFont val="Arial"/>
        <family val="0"/>
        <charset val="1"/>
      </rPr>
      <t xml:space="preserve">[BL5] </t>
    </r>
    <r>
      <rPr>
        <sz val="10"/>
        <rFont val="Noto Sans CJK KR"/>
        <family val="2"/>
      </rPr>
      <t xml:space="preserve">승인이 기한 안에 오지 않으면 지연 알림을 보낸다 — 실행은 여전히 승인 뒤에만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</si>
  <si>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두 번째 건의 그 지연 알림을 내가 만든다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포털 지연 가지</t>
    </r>
    <r>
      <rPr>
        <sz val="10"/>
        <rFont val="Arial"/>
        <family val="0"/>
        <charset val="1"/>
      </rPr>
      <t xml:space="preserve">(BPA3) · </t>
    </r>
    <r>
      <rPr>
        <sz val="10"/>
        <rFont val="Noto Sans CJK KR"/>
        <family val="2"/>
      </rPr>
      <t xml:space="preserve">한 줄 잇기</t>
    </r>
    <r>
      <rPr>
        <sz val="10"/>
        <rFont val="Arial"/>
        <family val="0"/>
        <charset val="1"/>
      </rPr>
      <t xml:space="preserve">(BL4) / </t>
    </r>
    <r>
      <rPr>
        <sz val="10"/>
        <rFont val="Noto Sans CJK KR"/>
        <family val="2"/>
      </rPr>
      <t xml:space="preserve">승인 단계에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정해진 시간 안에 승인이 없으면 지연 알림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더하게 시킨다 → 승인을 미뤄 알림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확인 → 승인하면 그때 실행되는지 → 기한 값을 너무 짧게 줘서 바로 알림이 나는 실수와 고치기</t>
    </r>
    <r>
      <rPr>
        <sz val="10"/>
        <rFont val="Arial"/>
        <family val="0"/>
        <charset val="1"/>
      </rPr>
      <t xml:space="preserve">.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내가 만든 것이 제품에서는 어디에 있나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</si>
  <si>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 타이머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</si>
  <si>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에만 둔다 — 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실전반은 포털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지연 가지</t>
    </r>
    <r>
      <rPr>
        <sz val="10"/>
        <rFont val="Arial"/>
        <family val="0"/>
        <charset val="1"/>
      </rPr>
      <t xml:space="preserve">(BPA3)</t>
    </r>
    <r>
      <rPr>
        <sz val="10"/>
        <rFont val="Noto Sans CJK KR"/>
        <family val="2"/>
      </rPr>
      <t xml:space="preserve">에서 본 것으로 갈음한다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L22</t>
    </r>
  </si>
  <si>
    <t xml:space="preserve">마무리</t>
  </si>
  <si>
    <r>
      <rPr>
        <sz val="10"/>
        <rFont val="Arial"/>
        <family val="0"/>
        <charset val="1"/>
      </rPr>
      <t xml:space="preserve">[E1] </t>
    </r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실제 제품에서는 어디에 있나 —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소개와 강사 시연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</si>
  <si>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오늘까지 만든 것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회사에서는 어떤 모습으로 쓰일까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막에서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강사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): ProcessGPT</t>
    </r>
    <r>
      <rPr>
        <sz val="10"/>
        <rFont val="Noto Sans CJK KR"/>
        <family val="2"/>
      </rPr>
      <t xml:space="preserve">가 무엇이고 누가 쓰나 → 같은 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처음부터 끝까지 → 내가 만든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제품의 어느 화면인가 → 제품이 더하는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제품 안 흐름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말로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잇는 데이터 연결 — 보여 주기만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질문 받기 → 과정 노트 마지막 쪽 안내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</si>
  <si>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ProcessGPT(</t>
    </r>
    <r>
      <rPr>
        <sz val="10"/>
        <rFont val="Noto Sans CJK KR"/>
        <family val="2"/>
      </rPr>
      <t xml:space="preserve">제품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</si>
  <si>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강사 시연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</si>
  <si>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전체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</si>
  <si>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합계 − 고정</t>
    </r>
    <r>
      <rPr>
        <b val="true"/>
        <sz val="10"/>
        <rFont val="Arial"/>
        <family val="0"/>
        <charset val="1"/>
      </rPr>
      <t xml:space="preserve">, 0</t>
    </r>
    <r>
      <rPr>
        <b val="true"/>
        <sz val="10"/>
        <rFont val="Noto Sans CJK KR"/>
        <family val="2"/>
      </rPr>
      <t xml:space="preserve">이어야 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</si>
  <si>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시간</t>
    </r>
    <r>
      <rPr>
        <b val="true"/>
        <sz val="10"/>
        <rFont val="Arial"/>
        <family val="0"/>
        <charset val="1"/>
      </rPr>
      <t xml:space="preserve">)</t>
    </r>
  </si>
  <si>
    <t xml:space="preserve">직접 해 보는 것</t>
  </si>
  <si>
    <t xml:space="preserve">무엇을 하나</t>
  </si>
  <si>
    <t xml:space="preserve">완료 기준</t>
  </si>
  <si>
    <t xml:space="preserve">하는 곳</t>
  </si>
  <si>
    <r>
      <rPr>
        <sz val="10"/>
        <rFont val="Arial"/>
        <family val="0"/>
        <charset val="1"/>
      </rPr>
      <t xml:space="preserve">[S1] </t>
    </r>
    <r>
      <rPr>
        <sz val="10"/>
        <rFont val="Noto Sans CJK KR"/>
        <family val="2"/>
      </rPr>
      <t xml:space="preserve">배운 것을 남겨 두면 다음 사람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그리고 다음 주의 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거기서 출발한다 — 지식 자산화
해 보기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내가 최근에 배운 요령 하나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짝에게 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그것을 한 줄로 적어 본다</t>
    </r>
  </si>
  <si>
    <r>
      <rPr>
        <sz val="10"/>
        <rFont val="Noto Sans CJK KR"/>
        <family val="2"/>
      </rPr>
      <t xml:space="preserve">지식 자산화가 무엇인지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머릿속 요령을 남이 꺼내 쓸 수 있는 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그림으로 남기기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왜 공장에 필요한가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숙련자가 떠나면 요령도 떠남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이 과정에서는 막마다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네 칸으로 남긴다</t>
    </r>
    <r>
      <rPr>
        <sz val="10"/>
        <rFont val="Arial"/>
        <family val="0"/>
        <charset val="1"/>
      </rPr>
      <t xml:space="preserve">.</t>
    </r>
  </si>
  <si>
    <t xml:space="preserve">노트를 왜 남기는지 한 문장으로 말한다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</si>
  <si>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</t>
    </r>
  </si>
  <si>
    <r>
      <rPr>
        <sz val="10"/>
        <rFont val="Arial"/>
        <family val="0"/>
        <charset val="1"/>
      </rPr>
      <t xml:space="preserve">[S2] </t>
    </r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과정 노트를 만들고 첫 줄을 쓴다 — 이제 막마다 남길 자리가 있다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과정 노트 틀을 복제하고 첫 줄과 캡처 한 장을 붙인다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</si>
  <si>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보기 → 페이지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블록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표 만들기 → 과정 노트 틀 복제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넷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첫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 과정에서 만들고 싶은 것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화면 캡처 붙이기 → 막 끝에 노트 쓰는 법 예시 한 쪽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</si>
  <si>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네 칸짜리 과정 노트와 첫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캡처가 있다</t>
    </r>
  </si>
  <si>
    <t xml:space="preserve">Notion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</si>
  <si>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초대 메일이 안 오는 학생이 늘 몇 명 있다 — 그동안 나머지는 블록 연습</t>
    </r>
  </si>
  <si>
    <r>
      <rPr>
        <sz val="10"/>
        <rFont val="Arial"/>
        <family val="0"/>
        <charset val="1"/>
      </rPr>
      <t xml:space="preserve">[S3] </t>
    </r>
    <r>
      <rPr>
        <sz val="10"/>
        <rFont val="Noto Sans CJK KR"/>
        <family val="2"/>
      </rPr>
      <t xml:space="preserve">앞 수업에서 본 센서 값이 지금 이 포털에도 똑같이 흐르고 있다 —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되짚기
해 보기</t>
    </r>
    <r>
      <rPr>
        <sz val="10"/>
        <rFont val="Arial"/>
        <family val="0"/>
        <charset val="1"/>
      </rPr>
      <t xml:space="preserve">: SCADA </t>
    </r>
    <r>
      <rPr>
        <sz val="10"/>
        <rFont val="Noto Sans CJK KR"/>
        <family val="2"/>
      </rPr>
      <t xml:space="preserve">화면과 포털 실시간 모니터링에서 </t>
    </r>
    <r>
      <rPr>
        <sz val="10"/>
        <rFont val="Arial"/>
        <family val="0"/>
        <charset val="1"/>
      </rPr>
      <t xml:space="preserve">HYD-01 </t>
    </r>
    <r>
      <rPr>
        <sz val="10"/>
        <rFont val="Noto Sans CJK KR"/>
        <family val="2"/>
      </rPr>
      <t xml:space="preserve">유온을 찾아 같은 값인지 본다</t>
    </r>
  </si>
  <si>
    <r>
      <rPr>
        <sz val="10"/>
        <rFont val="Noto Sans CJK KR"/>
        <family val="2"/>
      </rPr>
      <t xml:space="preserve">앞 과정 지도를 다시 그리고</t>
    </r>
    <r>
      <rPr>
        <sz val="10"/>
        <rFont val="Arial"/>
        <family val="0"/>
        <charset val="1"/>
      </rPr>
      <t xml:space="preserve">, SCADA </t>
    </r>
    <r>
      <rPr>
        <sz val="10"/>
        <rFont val="Noto Sans CJK KR"/>
        <family val="2"/>
      </rPr>
      <t xml:space="preserve">화면과 포털 실시간 모니터링에서 같은 값을 찾는다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우리 공장 유압 파워팩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</t>
    </r>
    <r>
      <rPr>
        <sz val="10"/>
        <rFont val="Arial"/>
        <family val="0"/>
        <charset val="1"/>
      </rPr>
      <t xml:space="preserve">(HYD-01~03)</t>
    </r>
    <r>
      <rPr>
        <sz val="10"/>
        <rFont val="Noto Sans CJK KR"/>
        <family val="2"/>
      </rPr>
      <t xml:space="preserve">와 센서 넷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효율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운전시간 계수기를 소개한다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</si>
  <si>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화면과 포털에서 유온을 같은 값으로 찾았다</t>
    </r>
  </si>
  <si>
    <t xml:space="preserve">강사 화면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</si>
  <si>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첫 로그인을 여기서 함께 한다</t>
    </r>
  </si>
  <si>
    <r>
      <rPr>
        <sz val="10"/>
        <rFont val="Arial"/>
        <family val="0"/>
        <charset val="1"/>
      </rPr>
      <t xml:space="preserve">[S4] </t>
    </r>
    <r>
      <rPr>
        <sz val="10"/>
        <rFont val="Noto Sans CJK KR"/>
        <family val="2"/>
      </rPr>
      <t xml:space="preserve">센서 값 위에 지식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업무가 층층이 올라간다 — 포털의 구조를 알고 무엇을 해도 되돌릴 수 있게 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메뉴를 모두 열어 층 이름과 짝짓고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되돌리기를 한 번 한다</t>
    </r>
  </si>
  <si>
    <r>
      <rPr>
        <sz val="10"/>
        <rFont val="Noto Sans CJK KR"/>
        <family val="2"/>
      </rPr>
      <t xml:space="preserve">포털의 다섯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/ 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층마다 이 과정의 어느 막인지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층 사이에 오가는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포털 메뉴를 하나씩 열어 층과 짝짓고</t>
    </r>
    <r>
      <rPr>
        <sz val="10"/>
        <rFont val="Arial"/>
        <family val="0"/>
        <charset val="1"/>
      </rPr>
      <t xml:space="preserve">, "</t>
    </r>
    <r>
      <rPr>
        <sz val="10"/>
        <rFont val="Noto Sans CJK KR"/>
        <family val="2"/>
      </rPr>
      <t xml:space="preserve">기준으로 되돌리기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직접 한 번 해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이후 모든 포털 실습의 안전장치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</si>
  <si>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KR"/>
        <family val="2"/>
      </rPr>
      <t xml:space="preserve">메뉴마다 층 이름을 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되돌리기를 한 번 했다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</si>
  <si>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이름이 비슷해 헷갈리는 학생이 많다 — 층 그림을 띄워 두고 돌아다니며 확인</t>
    </r>
  </si>
  <si>
    <r>
      <rPr>
        <sz val="10"/>
        <rFont val="Arial"/>
        <family val="0"/>
        <charset val="1"/>
      </rPr>
      <t xml:space="preserve">[S5] </t>
    </r>
    <r>
      <rPr>
        <sz val="10"/>
        <rFont val="Noto Sans CJK KR"/>
        <family val="2"/>
      </rPr>
      <t xml:space="preserve">값 하나가 태어나 업무 한 건이 되기까지의 길을 그린다 — 데이터 리니지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값 하나가 작업지시가 되기까지의 길을 종이에 그린다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</si>
  <si>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데이터 리니지란 값이 어디서 태어나 어디를 거쳐 무엇에 쓰였는지의 기록이다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유온 값 하나가 센서 → 시계열 </t>
    </r>
    <r>
      <rPr>
        <sz val="10"/>
        <rFont val="Arial"/>
        <family val="0"/>
        <charset val="1"/>
      </rPr>
      <t xml:space="preserve">DB → </t>
    </r>
    <r>
      <rPr>
        <sz val="10"/>
        <rFont val="Noto Sans CJK KR"/>
        <family val="2"/>
      </rPr>
      <t xml:space="preserve">경보 → 처리 건 → 작업지시 기록이 되는 길을 종이에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중간에 끊기거나 늦게 오면 무엇이 잘못되는지 짚는다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</si>
  <si>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종이에 값 → 경보 → 처리 건 → 작업지시 길이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끊기면 어떻게 되는지 한 줄 적었다</t>
    </r>
  </si>
  <si>
    <r>
      <rPr>
        <sz val="10"/>
        <rFont val="Arial"/>
        <family val="0"/>
        <charset val="1"/>
      </rPr>
      <t xml:space="preserve">[S6] </t>
    </r>
    <r>
      <rPr>
        <sz val="10"/>
        <rFont val="Noto Sans CJK KR"/>
        <family val="2"/>
      </rPr>
      <t xml:space="preserve">경보 한 건이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보고까지 닫히는 것을 먼저 끝까지 본다 — 우리가 만들 것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강사 화면을 보며 단계마다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누가 무엇을 하나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노트에 적는다</t>
    </r>
  </si>
  <si>
    <r>
      <rPr>
        <sz val="10"/>
        <rFont val="Noto Sans CJK KR"/>
        <family val="2"/>
      </rPr>
      <t xml:space="preserve">강사가 </t>
    </r>
    <r>
      <rPr>
        <sz val="10"/>
        <rFont val="Arial"/>
        <family val="0"/>
        <charset val="1"/>
      </rPr>
      <t xml:space="preserve">A(HYD-01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처음부터 끝까지 돌리며 단계마다 멈춰 설명한다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경보</t>
    </r>
    <r>
      <rPr>
        <sz val="10"/>
        <rFont val="Arial"/>
        <family val="0"/>
        <charset val="1"/>
      </rPr>
      <t xml:space="preserve">(16~33 s) → AI </t>
    </r>
    <r>
      <rPr>
        <sz val="10"/>
        <rFont val="Noto Sans CJK KR"/>
        <family val="2"/>
      </rPr>
      <t xml:space="preserve">일꾼이 지식과 지금 값으로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기다리는 동안 무엇을 보는지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안의 이유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운전원 한 번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</t>
    </r>
    <r>
      <rPr>
        <sz val="10"/>
        <rFont val="Arial"/>
        <family val="0"/>
        <charset val="1"/>
      </rPr>
      <t xml:space="preserve">(45 s) →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이어 </t>
    </r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2,000 h → </t>
    </r>
    <r>
      <rPr>
        <sz val="10"/>
        <rFont val="Noto Sans CJK KR"/>
        <family val="2"/>
      </rPr>
      <t xml:space="preserve">설비보전팀장 승인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재주문점 → 구매 담당 승인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한 줄씩 소개하고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막에서 무엇을 하나씩 만드는지 지도로 보여 준다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</si>
  <si>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세 사건이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한 줄씩 말한다</t>
    </r>
  </si>
  <si>
    <r>
      <rPr>
        <sz val="10"/>
        <rFont val="Arial"/>
        <family val="0"/>
        <charset val="1"/>
      </rPr>
      <t xml:space="preserve">[OT1] AI</t>
    </r>
    <r>
      <rPr>
        <sz val="10"/>
        <rFont val="Noto Sans CJK KR"/>
        <family val="2"/>
      </rPr>
      <t xml:space="preserve">는 책을 많이 읽었지만 우리 공장은 모른다 — 언어 모델이 무엇이고 왜 그럴듯하게 틀리나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해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답에서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 사실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있는지 형광펜으로 찾는다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</si>
  <si>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(LLM)"</t>
    </r>
    <r>
      <rPr>
        <sz val="10"/>
        <rFont val="Noto Sans CJK KR"/>
        <family val="2"/>
      </rPr>
      <t xml:space="preserve">이라는 말을 처음 소개한다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읽고 다음 말을 맞히는 신입 사원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배운 것 밖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우리 공장의 설비 번호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오늘 값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은 모른다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모르면 그럴듯하게 지어낸다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공장에서 틀리면 설비가 서거나 사람이 다친다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그래서 우리 공장의 지식을 따로 줘야 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</si>
  <si>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"AI</t>
    </r>
    <r>
      <rPr>
        <sz val="10"/>
        <rFont val="Noto Sans CJK KR"/>
        <family val="2"/>
      </rPr>
      <t xml:space="preserve">가 우리 공장을 모르는 까닭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신입 사원 비유로 말한다</t>
    </r>
  </si>
  <si>
    <r>
      <rPr>
        <sz val="10"/>
        <rFont val="Arial"/>
        <family val="0"/>
        <charset val="1"/>
      </rPr>
      <t xml:space="preserve">[OT2] </t>
    </r>
    <r>
      <rPr>
        <sz val="10"/>
        <rFont val="Noto Sans CJK KR"/>
        <family val="2"/>
      </rPr>
      <t xml:space="preserve">문서를 찾아 붙여 주는 것만으로는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무엇에 닿나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답하기 어렵다 — 찾아서 답하기와 그 한계
해 보기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찾아 붙이기로는 답하기 어려운 질문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하나씩 만들어 발표한다</t>
    </r>
  </si>
  <si>
    <r>
      <rPr>
        <sz val="10"/>
        <rFont val="Noto Sans CJK KR"/>
        <family val="2"/>
      </rPr>
      <t xml:space="preserve">찾아서 답하기</t>
    </r>
    <r>
      <rPr>
        <sz val="10"/>
        <rFont val="Arial"/>
        <family val="0"/>
        <charset val="1"/>
      </rPr>
      <t xml:space="preserve">(RAG): </t>
    </r>
    <r>
      <rPr>
        <sz val="10"/>
        <rFont val="Noto Sans CJK KR"/>
        <family val="2"/>
      </rPr>
      <t xml:space="preserve">질문 → 비슷한 구절 찾기 → 붙여서 답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한 문서 안의 사실에는 잘 답하지만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→ 조치 → 부품 → 공급사 → 이익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에는 약하다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</t>
    </r>
    <r>
      <rPr>
        <sz val="10"/>
        <rFont val="Arial"/>
        <family val="0"/>
        <charset val="1"/>
      </rPr>
      <t xml:space="preserve">.</t>
    </r>
  </si>
  <si>
    <t xml:space="preserve">찾아 붙이기가 약한 질문 예를 하나 든다</t>
  </si>
  <si>
    <r>
      <rPr>
        <sz val="10"/>
        <rFont val="Arial"/>
        <family val="0"/>
        <charset val="1"/>
      </rPr>
      <t xml:space="preserve">[OT3] </t>
    </r>
    <r>
      <rPr>
        <sz val="10"/>
        <rFont val="Noto Sans CJK KR"/>
        <family val="2"/>
      </rPr>
      <t xml:space="preserve">사물과 관계를 이은 지도는 문서가 못 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답한다 — 지식 그래프와 그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이름에서 틀과 내용을 나눠 말해 본다</t>
    </r>
  </si>
  <si>
    <r>
      <rPr>
        <sz val="10"/>
        <rFont val="Noto Sans CJK KR"/>
        <family val="2"/>
      </rPr>
      <t xml:space="preserve">지식 그래프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역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지도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온톨로지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그 지도의 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어떤 종류의 역이 있고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역마다 무엇을 적고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속성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어떤 선으로 잇는가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주소록 비유로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양식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적힌 이름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</si>
  <si>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KR"/>
        <family val="2"/>
      </rPr>
      <t xml:space="preserve">노선도 비유로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주소록으로 틀과 내용을 설명한다</t>
    </r>
  </si>
  <si>
    <r>
      <rPr>
        <sz val="10"/>
        <rFont val="Arial"/>
        <family val="0"/>
        <charset val="1"/>
      </rPr>
      <t xml:space="preserve">[OT4] </t>
    </r>
    <r>
      <rPr>
        <sz val="10"/>
        <rFont val="Noto Sans CJK KR"/>
        <family val="2"/>
      </rPr>
      <t xml:space="preserve">동네 카페의 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메뉴를 직접 그려 틀이 눈에 보이게 한다
해 보기</t>
    </r>
    <r>
      <rPr>
        <sz val="10"/>
        <rFont val="Arial"/>
        <family val="0"/>
        <charset val="1"/>
      </rPr>
      <t xml:space="preserve">: arrows.app</t>
    </r>
    <r>
      <rPr>
        <sz val="10"/>
        <rFont val="Noto Sans CJK KR"/>
        <family val="2"/>
      </rPr>
      <t xml:space="preserve">에 카페 관계도를 그려 파일로 내보낸다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</si>
  <si>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파일로 내보내기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관계도를 함께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무엇을 속성으로 무엇을 관계로 뒀는지 이야기한다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그림은 질문 따라가기</t>
    </r>
    <r>
      <rPr>
        <sz val="10"/>
        <rFont val="Arial"/>
        <family val="0"/>
        <charset val="1"/>
      </rPr>
      <t xml:space="preserve">(OT9 · OT10)</t>
    </r>
    <r>
      <rPr>
        <sz val="10"/>
        <rFont val="Noto Sans CJK KR"/>
        <family val="2"/>
      </rPr>
      <t xml:space="preserve">와 랩업의 그래프 </t>
    </r>
    <r>
      <rPr>
        <sz val="10"/>
        <rFont val="Arial"/>
        <family val="0"/>
        <charset val="1"/>
      </rPr>
      <t xml:space="preserve">DB(OL2)</t>
    </r>
    <r>
      <rPr>
        <sz val="10"/>
        <rFont val="Noto Sans CJK KR"/>
        <family val="2"/>
      </rPr>
      <t xml:space="preserve">에서 다시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</si>
  <si>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둘 이상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파일로 내보냈다</t>
    </r>
  </si>
  <si>
    <t xml:space="preserve">arrows.app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</si>
  <si>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끌어서 관계 잇기가 안 되는 학생이 많다 — 짝끼리 먼저 봐 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영상에서는 빼고 카페 관계도 파일을 출발본으로 준다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OL2</t>
    </r>
    <r>
      <rPr>
        <sz val="10"/>
        <rFont val="Noto Sans CJK KR"/>
        <family val="2"/>
      </rPr>
      <t xml:space="preserve">에서 연다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실전반 오프라인은 직접 그린다</t>
    </r>
  </si>
  <si>
    <r>
      <rPr>
        <sz val="10"/>
        <rFont val="Arial"/>
        <family val="0"/>
        <charset val="1"/>
      </rPr>
      <t xml:space="preserve">[OT5] </t>
    </r>
    <r>
      <rPr>
        <sz val="10"/>
        <rFont val="Noto Sans CJK KR"/>
        <family val="2"/>
      </rPr>
      <t xml:space="preserve">병원이 진료하듯 고장을 다룬다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카드 네 장을 증상 → 고장 → 원인 → 조치로 놓는다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</si>
  <si>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공장 지식의 뼈대 클래스 넷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눈에 보이는 것 — 유온이 오른다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고장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무엇이 잘못됐나 — 쿨러 과열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왜 — 냉각 핀 막힘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무엇을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관측 → 상태 → 진단 → 권고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가 공장에서는 경보 → 진단 → 제안이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 카드 놀이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 카드 네 장을 순서대로 놓는다</t>
    </r>
    <r>
      <rPr>
        <sz val="10"/>
        <rFont val="Arial"/>
        <family val="0"/>
        <charset val="1"/>
      </rPr>
      <t xml:space="preserve">.</t>
    </r>
  </si>
  <si>
    <t xml:space="preserve">카드 네 장을 순서대로 놓고 이유를 말했다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</si>
  <si>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</si>
  <si>
    <r>
      <rPr>
        <sz val="10"/>
        <rFont val="Arial"/>
        <family val="0"/>
        <charset val="1"/>
      </rPr>
      <t xml:space="preserve">[OT6] </t>
    </r>
    <r>
      <rPr>
        <sz val="10"/>
        <rFont val="Noto Sans CJK KR"/>
        <family val="2"/>
      </rPr>
      <t xml:space="preserve">고치는 정비와 막는 정비 — 조치는 세 갈래다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고치는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막는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미리 사 두기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칸에 나눠 붙인다</t>
    </r>
  </si>
  <si>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이상이 보인 때부터 멈출 때까지의 간격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조치 세 갈래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해열제 — 지금 열을 내림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접종 — 고장이 나기 전에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미리 사 두기</t>
    </r>
    <r>
      <rPr>
        <sz val="10"/>
        <rFont val="Arial"/>
        <family val="0"/>
        <charset val="1"/>
      </rPr>
      <t xml:space="preserve">.</t>
    </r>
  </si>
  <si>
    <t xml:space="preserve">세 사건을 세 갈래로 나눠 말한다</t>
  </si>
  <si>
    <r>
      <rPr>
        <sz val="10"/>
        <rFont val="Arial"/>
        <family val="0"/>
        <charset val="1"/>
      </rPr>
      <t xml:space="preserve">[OT7] </t>
    </r>
    <r>
      <rPr>
        <sz val="10"/>
        <rFont val="Noto Sans CJK KR"/>
        <family val="2"/>
      </rPr>
      <t xml:space="preserve">순서를 적은 글과 판단을 적은 글은 다르다 — 절차</t>
    </r>
    <r>
      <rPr>
        <sz val="10"/>
        <rFont val="Arial"/>
        <family val="0"/>
        <charset val="1"/>
      </rPr>
      <t xml:space="preserve">(SOP)</t>
    </r>
    <r>
      <rPr>
        <sz val="10"/>
        <rFont val="Noto Sans CJK KR"/>
        <family val="2"/>
      </rPr>
      <t xml:space="preserve">와 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금지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결정 칸이 있는 표로 쓴다</t>
    </r>
  </si>
  <si>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(1. </t>
    </r>
    <r>
      <rPr>
        <sz val="10"/>
        <rFont val="Noto Sans CJK KR"/>
        <family val="2"/>
      </rPr>
      <t xml:space="preserve">잔압을 뺀다 </t>
    </r>
    <r>
      <rPr>
        <sz val="10"/>
        <rFont val="Arial"/>
        <family val="0"/>
        <charset val="1"/>
      </rPr>
      <t xml:space="preserve">2. </t>
    </r>
    <r>
      <rPr>
        <sz val="10"/>
        <rFont val="Noto Sans CJK KR"/>
        <family val="2"/>
      </rPr>
      <t xml:space="preserve">필터를 연다 …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규칙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재고가 재주문점 아래면 주문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절대 하면 안 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문서를 지식으로 만들 때 이 셋을 구분해 뽑아야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에이전트 막에서 규칙은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아니라 규칙표가 맡는다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결정 표로 써 보기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</si>
  <si>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할인 규칙 세 줄이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결정 표로 적혔다</t>
    </r>
  </si>
  <si>
    <r>
      <rPr>
        <sz val="10"/>
        <rFont val="Arial"/>
        <family val="0"/>
        <charset val="1"/>
      </rPr>
      <t xml:space="preserve">[OT8] </t>
    </r>
    <r>
      <rPr>
        <sz val="10"/>
        <rFont val="Noto Sans CJK KR"/>
        <family val="2"/>
      </rPr>
      <t xml:space="preserve">긴 문서가 지식이 되는 길 — 나누고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근거를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확인한다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커피머신 설명서에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칠하고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가 뽑은 표에서 틀린 줄 하나를 찾는다</t>
    </r>
  </si>
  <si>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나누기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한계가 있어서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절차 중간에서 끊지 않게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뽑기</t>
    </r>
    <r>
      <rPr>
        <sz val="10"/>
        <rFont val="Arial"/>
        <family val="0"/>
        <charset val="1"/>
      </rPr>
      <t xml:space="preserve">(AI</t>
    </r>
    <r>
      <rPr>
        <sz val="10"/>
        <rFont val="Noto Sans CJK KR"/>
        <family val="2"/>
      </rPr>
      <t xml:space="preserve">가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찾음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틀 검사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틀에 없는 것은 버림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원문 몇 쪽 몇 줄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등록 전 사람이 본다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틀릴 수 있으니까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커피머신 설명서에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형광펜으로 칠하고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가 뽑은 표를 원문과 대조한다</t>
    </r>
    <r>
      <rPr>
        <sz val="10"/>
        <rFont val="Arial"/>
        <family val="0"/>
        <charset val="1"/>
      </rPr>
      <t xml:space="preserve">.</t>
    </r>
  </si>
  <si>
    <t xml:space="preserve">형광펜 칠한 설명서와 찾아낸 틀린 줄 하나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</si>
  <si>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형광펜</t>
    </r>
  </si>
  <si>
    <r>
      <rPr>
        <sz val="10"/>
        <rFont val="Arial"/>
        <family val="0"/>
        <charset val="1"/>
      </rPr>
      <t xml:space="preserve">[OT9] </t>
    </r>
    <r>
      <rPr>
        <sz val="10"/>
        <rFont val="Noto Sans CJK KR"/>
        <family val="2"/>
      </rPr>
      <t xml:space="preserve">지도를 손가락으로 따라가듯 묻고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지나간 길이 곧 근거가 된다 — 지식 지도에 묻기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관계도에서 질문 두 개를 길로 따라가 답과 길을 적는다</t>
    </r>
  </si>
  <si>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관계 → 도착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표로 찾을 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표 여러 장을 넘나듦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지도로 찾을 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선을 따라감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답의 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원문 구절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그렇게 답했나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사람이 확인할 수 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카페 그림에서 질문 두 개를 길로 따라가 본다</t>
    </r>
    <r>
      <rPr>
        <sz val="10"/>
        <rFont val="Arial"/>
        <family val="0"/>
        <charset val="1"/>
      </rPr>
      <t xml:space="preserve">.</t>
    </r>
  </si>
  <si>
    <t xml:space="preserve">질문 둘의 길과 답을 적었다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</si>
  <si>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arrows.app</t>
    </r>
  </si>
  <si>
    <r>
      <rPr>
        <sz val="10"/>
        <rFont val="Arial"/>
        <family val="0"/>
        <charset val="1"/>
      </rPr>
      <t xml:space="preserve">[OT11] </t>
    </r>
    <r>
      <rPr>
        <sz val="10"/>
        <rFont val="Noto Sans CJK KR"/>
        <family val="2"/>
      </rPr>
      <t xml:space="preserve">지금 값은 지식에 넣지 않고 자리만 적는다 —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위치만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배송 상태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칸의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적는다</t>
    </r>
  </si>
  <si>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잘 안 바뀌는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계속 바뀌는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지식에는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의 이 표 이 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자리만 적는다 — 값을 넣으면 내일이면 틀린 지식이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배송 상태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칸의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적기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</si>
  <si>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적었다</t>
    </r>
  </si>
  <si>
    <r>
      <rPr>
        <sz val="10"/>
        <rFont val="Arial"/>
        <family val="0"/>
        <charset val="1"/>
      </rPr>
      <t xml:space="preserve">[OT12] </t>
    </r>
    <r>
      <rPr>
        <sz val="10"/>
        <rFont val="Noto Sans CJK KR"/>
        <family val="2"/>
      </rPr>
      <t xml:space="preserve">회사가 무엇을 중요하게 보는지 네 관점과 화살표로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좋은 지표끼리 부딪히는 곳을 찾는다 — 전략맵과 상충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전략맵을 종이에 그리고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부딪히는 지표 한 쌍을 찾는다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</si>
  <si>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(BSC):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 네 관점과 원인 → 결과 화살표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(KPI). </t>
    </r>
    <r>
      <rPr>
        <sz val="10"/>
        <rFont val="Noto Sans CJK KR"/>
        <family val="2"/>
      </rPr>
      <t xml:space="preserve">좋은 지표끼리도 부딪힌다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사건에서 미리 본다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납기 ↔ 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</t>
    </r>
    <r>
      <rPr>
        <sz val="10"/>
        <rFont val="Arial"/>
        <family val="0"/>
        <charset val="1"/>
      </rPr>
      <t xml:space="preserve">, B </t>
    </r>
    <r>
      <rPr>
        <sz val="10"/>
        <rFont val="Noto Sans CJK KR"/>
        <family val="2"/>
      </rPr>
      <t xml:space="preserve">정비 기한 준수 ↔ 생산 손실</t>
    </r>
    <r>
      <rPr>
        <sz val="10"/>
        <rFont val="Arial"/>
        <family val="0"/>
        <charset val="1"/>
      </rPr>
      <t xml:space="preserve">,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상충이 에이전트 제안의 재료가 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전략맵 그리기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</si>
  <si>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카페 전략맵에 네 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화살표 셋 이상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부딪히는 지표 한 쌍이 있다</t>
    </r>
  </si>
  <si>
    <r>
      <rPr>
        <sz val="10"/>
        <rFont val="Arial"/>
        <family val="0"/>
        <charset val="1"/>
      </rPr>
      <t xml:space="preserve">[OPA1] </t>
    </r>
    <r>
      <rPr>
        <sz val="10"/>
        <rFont val="Noto Sans CJK KR"/>
        <family val="2"/>
      </rPr>
      <t xml:space="preserve">문서가 없으면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멈춘다 — 지식 지도에서 쿨러 과열의 빈칸을 찾는다
해 보기</t>
    </r>
    <r>
      <rPr>
        <sz val="10"/>
        <rFont val="Arial"/>
        <family val="0"/>
        <charset val="1"/>
      </rPr>
      <t xml:space="preserve">: HYD-01 </t>
    </r>
    <r>
      <rPr>
        <sz val="10"/>
        <rFont val="Noto Sans CJK KR"/>
        <family val="2"/>
      </rPr>
      <t xml:space="preserve">출발 노드를 지도에서 찾고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비어 있는 칸과 보류 사유를 노트에 적는다</t>
    </r>
  </si>
  <si>
    <r>
      <rPr>
        <sz val="10"/>
        <rFont val="Noto Sans CJK KR"/>
        <family val="2"/>
      </rPr>
      <t xml:space="preserve">화면 안내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관리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쿨러 열화 주입 → 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보류하는 것을 보고 보류 사유를 함께 읽는다 → 지식의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수업용 구조판에서 </t>
    </r>
    <r>
      <rPr>
        <sz val="10"/>
        <rFont val="Arial"/>
        <family val="0"/>
        <charset val="1"/>
      </rPr>
      <t xml:space="preserve">HYD-01 ·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센서를 찾는다 →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칸이 비어 있음을 확인한다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빈칸이 다음 행에서 채울 것이다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</si>
  <si>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노드를 찾았고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빈칸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보류 사유를 노트에 적었다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</si>
  <si>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지도 확대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이동이 처음이라 길을 잃는다 — 화면 둘레를 돌며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</si>
  <si>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[OPA2] </t>
    </r>
    <r>
      <rPr>
        <sz val="10"/>
        <rFont val="Noto Sans CJK KR"/>
        <family val="2"/>
      </rPr>
      <t xml:space="preserve">빈칸을 채운다 — 쿨러 매뉴얼을 넣어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조치가 있는 지식으로 만든다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다섯 단계 전부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문서를 올리고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추출 제안을 원문과 대조해 한 항목을 고치고 등록한다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</si>
  <si>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매뉴얼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판정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함께 읽는다 → 올리기 → 구간 나누기 결과를 보며 절차가 끊기지 않았나 확인 → 추출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2~3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기다리는 동안 무엇을 뽑는지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추출 제안 화면에서 자동 표시된 항목을 원문과 대조하고 하나는 고친다 → 등록 → 지도에 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노드가 생긴 것을 본다 → 다시 경보를 넣으면 이번엔 보류 없이 원인을 든다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</si>
  <si>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문서가 등록되고 지도에 쿨러 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조치가 보이며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경보가 더는 보류되지 않는다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</si>
  <si>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대기 </t>
    </r>
    <r>
      <rPr>
        <sz val="10"/>
        <rFont val="Arial"/>
        <family val="0"/>
        <charset val="1"/>
      </rPr>
      <t xml:space="preserve">2~3</t>
    </r>
    <r>
      <rPr>
        <sz val="10"/>
        <rFont val="Noto Sans CJK KR"/>
        <family val="2"/>
      </rPr>
      <t xml:space="preserve">분이 반 전체에 겹친다 — 그동안 원문을 함께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틀린 항목을 고치는 법을 한 번 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</t>
    </r>
  </si>
  <si>
    <r>
      <rPr>
        <sz val="10"/>
        <rFont val="Arial"/>
        <family val="0"/>
        <charset val="1"/>
      </rPr>
      <t xml:space="preserve">[OPA3] </t>
    </r>
    <r>
      <rPr>
        <sz val="10"/>
        <rFont val="Noto Sans CJK KR"/>
        <family val="2"/>
      </rPr>
      <t xml:space="preserve">지식이 생겼으니 물어본다 — 쿨러 과열 질문에 지나간 길과 원문 구절을 근거로 한 답을 받는다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세 개를 쓰고 넣어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답의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구절을 노트에 옮긴다</t>
    </r>
  </si>
  <si>
    <r>
      <rPr>
        <sz val="10"/>
        <rFont val="Noto Sans CJK KR"/>
        <family val="2"/>
      </rPr>
      <t xml:space="preserve">경보 → 증상 → 원인 → 증거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조치의 길을 지도에서 손으로 따라간다 → </t>
    </r>
    <r>
      <rPr>
        <sz val="10"/>
        <rFont val="Arial"/>
        <family val="0"/>
        <charset val="1"/>
      </rPr>
      <t xml:space="preserve">OPA1</t>
    </r>
    <r>
      <rPr>
        <sz val="10"/>
        <rFont val="Noto Sans CJK KR"/>
        <family val="2"/>
      </rPr>
      <t xml:space="preserve">에서 적은 보류 사유를 꼭 답할 질문 세 개로 바꿔 넣는다 → 답을 기다리며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45 s) </t>
    </r>
    <r>
      <rPr>
        <sz val="10"/>
        <rFont val="Noto Sans CJK KR"/>
        <family val="2"/>
      </rPr>
      <t xml:space="preserve">무엇을 보는지 설명 → 답의 근거 노드와 원문 구절을 눌러 읽는다 → 관계 하나를 끊으면 질문이 실패하는 것을 보고 되돌린다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</si>
  <si>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구절과 함께 통과했다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</si>
  <si>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개념을 이 행에서 처음 설명한다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실전반은 지도에 묻기도 — 이론 행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</si>
  <si>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[OPA4] </t>
    </r>
    <r>
      <rPr>
        <sz val="10"/>
        <rFont val="Noto Sans CJK KR"/>
        <family val="2"/>
      </rPr>
      <t xml:space="preserve">답이 가리킨 조치를 하려면 지금 값이 필요하다 — 유온 시계열과 생산 오더 납기의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지식에 잇는다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자리를 조치에 잇고 조회해 본다</t>
    </r>
  </si>
  <si>
    <r>
      <rPr>
        <sz val="10"/>
        <rFont val="Noto Sans CJK KR"/>
        <family val="2"/>
      </rPr>
      <t xml:space="preserve">업무 데이터 연결 화면 → 유온 시계열과 생산 오더 납기가 어느 표 어느 칸인지 고른다 → 조치 노드에 자리로 잇는다 → 조회해서 지금 값이 나오는 것을 본다 → 지식 쪽에는 값이 하나도 없다는 것을 확인한다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이제 일꾼이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몇 도인지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원천에서 읽을 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</si>
  <si>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조치에 자리 둘이 이어져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개다</t>
    </r>
  </si>
  <si>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 개념을 이 행에서 처음 설명한다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이론 행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</si>
  <si>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[OPA5] </t>
    </r>
    <r>
      <rPr>
        <sz val="10"/>
        <rFont val="Noto Sans CJK KR"/>
        <family val="2"/>
      </rPr>
      <t xml:space="preserve">조치가 회사에 무엇을 주고 무엇과 부딪히는지 잇는다 — 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수명과의 상충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사슬과 상충 한 쌍을 지도에서 찾아 노트에 그린다</t>
    </r>
  </si>
  <si>
    <r>
      <rPr>
        <sz val="10"/>
        <rFont val="Noto Sans CJK KR"/>
        <family val="2"/>
      </rPr>
      <t xml:space="preserve">회사 목표 층을 연다 → 즉시 완화 조치에서 납기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영업이익까지 화살표를 따라간다 → 팬 최대 운전이 팬 수명과 부딪히는 상충 관계를 찾는다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상충이 에이전트 막에서 추천을 가르는 재료가 된다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</si>
  <si>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조치의 지표 사슬과 상충 한 쌍이 지도에 보이고 노트에 있다</t>
    </r>
  </si>
  <si>
    <r>
      <rPr>
        <sz val="10"/>
        <rFont val="Arial"/>
        <family val="0"/>
        <charset val="1"/>
      </rPr>
      <t xml:space="preserve">[OPB1]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정비도 문서가 없으면 멈춘다 — 운전시간 </t>
    </r>
    <r>
      <rPr>
        <sz val="10"/>
        <rFont val="Arial"/>
        <family val="0"/>
        <charset val="1"/>
      </rPr>
      <t xml:space="preserve">2,000 h</t>
    </r>
    <r>
      <rPr>
        <sz val="10"/>
        <rFont val="Noto Sans CJK KR"/>
        <family val="2"/>
      </rPr>
      <t xml:space="preserve">가 됐는데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 비어 있다
해 보기</t>
    </r>
    <r>
      <rPr>
        <sz val="10"/>
        <rFont val="Arial"/>
        <family val="0"/>
        <charset val="1"/>
      </rPr>
      <t xml:space="preserve">: HYD-02 </t>
    </r>
    <r>
      <rPr>
        <sz val="10"/>
        <rFont val="Noto Sans CJK KR"/>
        <family val="2"/>
      </rPr>
      <t xml:space="preserve">출발 노드와 빈 예방 조치 칸을 스스로 찾고 짝에게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멈췄나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설명한다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</si>
  <si>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이번엔 학생이 먼저 해 보고 강사가 확인한다 — 운전시간 빨리 감기 </t>
    </r>
    <r>
      <rPr>
        <sz val="10"/>
        <rFont val="Arial"/>
        <family val="0"/>
        <charset val="1"/>
      </rPr>
      <t xml:space="preserve">+300 h → </t>
    </r>
    <r>
      <rPr>
        <sz val="10"/>
        <rFont val="Noto Sans CJK KR"/>
        <family val="2"/>
      </rPr>
      <t xml:space="preserve">정비 도래 보류 → 보류 사유 읽기 → 지도에서 </t>
    </r>
    <r>
      <rPr>
        <sz val="10"/>
        <rFont val="Arial"/>
        <family val="0"/>
        <charset val="1"/>
      </rPr>
      <t xml:space="preserve">HYD-02 · </t>
    </r>
    <r>
      <rPr>
        <sz val="10"/>
        <rFont val="Noto Sans CJK KR"/>
        <family val="2"/>
      </rPr>
      <t xml:space="preserve">운전시간 계수기 찾기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비어 있는 것이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고장 → 조치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고장을 막는 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칸이라는 것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학생에게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멈췄나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말로 설명하게 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</si>
  <si>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보류 사유와 빈칸을 노트에 적고 이유를 말했다</t>
    </r>
  </si>
  <si>
    <r>
      <rPr>
        <sz val="10"/>
        <rFont val="Arial"/>
        <family val="0"/>
        <charset val="1"/>
      </rPr>
      <t xml:space="preserve">[OPB2]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점검표를 넣으면 고치는 정비와 다른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지식에 생긴다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문서를 올리고 추출 제안에서 잔압 해제 금지와 허용 오차를 원문과 대조해 등록한다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</si>
  <si>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다섯 단계를 다시 밟되 학생이 먼저 누르고 강사가 단계 이름을 묻는다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올리기 → 구간 → 추출 → 원문 대조 → 등록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(OEM </t>
    </r>
    <r>
      <rPr>
        <sz val="10"/>
        <rFont val="Noto Sans CJK KR"/>
        <family val="2"/>
      </rPr>
      <t xml:space="preserve">정기 점검표 — </t>
    </r>
    <r>
      <rPr>
        <sz val="10"/>
        <rFont val="Arial"/>
        <family val="0"/>
        <charset val="1"/>
      </rPr>
      <t xml:space="preserve">2,000 · 4,000 · 8,000 h </t>
    </r>
    <r>
      <rPr>
        <sz val="10"/>
        <rFont val="Noto Sans CJK KR"/>
        <family val="2"/>
      </rPr>
      <t xml:space="preserve">패키지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±10 % = 2,000 h </t>
    </r>
    <r>
      <rPr>
        <sz val="10"/>
        <rFont val="Noto Sans CJK KR"/>
        <family val="2"/>
      </rPr>
      <t xml:space="preserve">앞뒤 </t>
    </r>
    <r>
      <rPr>
        <sz val="10"/>
        <rFont val="Arial"/>
        <family val="0"/>
        <charset val="1"/>
      </rPr>
      <t xml:space="preserve">200 h, </t>
    </r>
    <r>
      <rPr>
        <sz val="10"/>
        <rFont val="Noto Sans CJK KR"/>
        <family val="2"/>
      </rPr>
      <t xml:space="preserve">잔압 해제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전에 배관에 남은 압력 빼기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시운전 기준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읽는다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잔압 해제 전 작업 금지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검토에서 꼭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관계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 유형 → 정비 절차</t>
    </r>
    <r>
      <rPr>
        <sz val="10"/>
        <rFont val="Arial"/>
        <family val="0"/>
        <charset val="1"/>
      </rPr>
      <t xml:space="preserve">)"</t>
    </r>
    <r>
      <rPr>
        <sz val="10"/>
        <rFont val="Noto Sans CJK KR"/>
        <family val="2"/>
      </rPr>
      <t xml:space="preserve">가 생긴다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</si>
  <si>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문서가 등록되고 정비 패키지 절차가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고장 유형에 이어져 보인다</t>
    </r>
  </si>
  <si>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</t>
    </r>
  </si>
  <si>
    <r>
      <rPr>
        <sz val="10"/>
        <rFont val="Arial"/>
        <family val="0"/>
        <charset val="1"/>
      </rPr>
      <t xml:space="preserve">[OPB3]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지식에 물으면 고장이 나기 전에 무엇을 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기한을 넘기면 어떻게 되는지 답한다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꼭 답할 질문 셋을 직접 써서 통과시킨다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</si>
  <si>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셋을 학생이 직접 쓰고 넣는다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길이 고장에서 시작하지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도래 → 정비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막는 고장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고장 앞에서 시작한다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질문 하나는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허용 오차 밖으로 미루면</t>
    </r>
    <r>
      <rPr>
        <sz val="10"/>
        <rFont val="Arial"/>
        <family val="0"/>
        <charset val="1"/>
      </rPr>
      <t xml:space="preserve">?"(</t>
    </r>
    <r>
      <rPr>
        <sz val="10"/>
        <rFont val="Noto Sans CJK KR"/>
        <family val="2"/>
      </rPr>
      <t xml:space="preserve">제조사 보증 조건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</si>
  <si>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근거와 함께 통과했다</t>
    </r>
  </si>
  <si>
    <r>
      <rPr>
        <sz val="10"/>
        <rFont val="Arial"/>
        <family val="0"/>
        <charset val="1"/>
      </rPr>
      <t xml:space="preserve">[OPB4]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정비 일정을 잡으려면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오더가 필요하다 — 자리 넷을 잇는다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자리 넷을 잇고 조회한다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</si>
  <si>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데이터 연결에서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고르기 → 자리로 잇기 →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 값 없음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먼저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값이 센서가 아니라 업무 시스템</t>
    </r>
    <r>
      <rPr>
        <sz val="10"/>
        <rFont val="Arial"/>
        <family val="0"/>
        <charset val="1"/>
      </rPr>
      <t xml:space="preserve">(CMMS · </t>
    </r>
    <r>
      <rPr>
        <sz val="10"/>
        <rFont val="Noto Sans CJK KR"/>
        <family val="2"/>
      </rPr>
      <t xml:space="preserve">생산 계획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있다 — 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예정된 정비 시간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</si>
  <si>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자리 넷이 조회되고 지식에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개다</t>
    </r>
  </si>
  <si>
    <r>
      <rPr>
        <sz val="10"/>
        <rFont val="Arial"/>
        <family val="0"/>
        <charset val="1"/>
      </rPr>
      <t xml:space="preserve">[OPB5]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정비가 회사에 주는 것 —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비율이 생산 손실과 부딪힌다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지표 사슬과 상충 한 쌍을 지도에서 찾아 설명한다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</si>
  <si>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회사 목표 층에서 조치 → 지표 → 영업이익 화살표를 학생이 따라간다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정비는 오늘 돈을 쓰고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생산 손실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내일의 큰 고장을 막는다 —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학생에게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왜 이 둘이 부딪히나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말하게 하고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</t>
    </r>
  </si>
  <si>
    <t xml:space="preserve">기한 준수 ↔ 생산 손실이 지도에 보이고 이유를 말했다</t>
  </si>
  <si>
    <r>
      <rPr>
        <sz val="10"/>
        <rFont val="Arial"/>
        <family val="0"/>
        <charset val="1"/>
      </rPr>
      <t xml:space="preserve">[OPC1]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씰 키트가 재주문점 아래로 떨어져도 문서가 없으면 일꾼은 어디서 살지 모른다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노드와 빈 공급사 칸을 혼자 찾는다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</si>
  <si>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학생이 혼자 보류 → 사유 → 빈칸 찾기를 하고 강사는 확인만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시작이 센서도 계수기도 아닌 창고 재고</t>
    </r>
    <r>
      <rPr>
        <sz val="10"/>
        <rFont val="Arial"/>
        <family val="0"/>
        <charset val="1"/>
      </rPr>
      <t xml:space="preserve">(ERP)</t>
    </r>
    <r>
      <rPr>
        <sz val="10"/>
        <rFont val="Noto Sans CJK KR"/>
        <family val="2"/>
      </rPr>
      <t xml:space="preserve">다 — 자재 출고 씰 키트 −</t>
    </r>
    <r>
      <rPr>
        <sz val="10"/>
        <rFont val="Arial"/>
        <family val="0"/>
        <charset val="1"/>
      </rPr>
      <t xml:space="preserve">2 → </t>
    </r>
    <r>
      <rPr>
        <sz val="10"/>
        <rFont val="Noto Sans CJK KR"/>
        <family val="2"/>
      </rPr>
      <t xml:space="preserve">재고 경보 보류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비어 있는 칸은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</t>
    </r>
    <r>
      <rPr>
        <sz val="10"/>
        <rFont val="Arial"/>
        <family val="0"/>
        <charset val="1"/>
      </rPr>
      <t xml:space="preserve">". B</t>
    </r>
    <r>
      <rPr>
        <sz val="10"/>
        <rFont val="Noto Sans CJK KR"/>
        <family val="2"/>
      </rPr>
      <t xml:space="preserve">가 쓴 부품을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채운다는 연결을 짚는다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</si>
  <si>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보류 사유와 빈칸을 노트에 적었다</t>
    </r>
  </si>
  <si>
    <r>
      <rPr>
        <sz val="10"/>
        <rFont val="Arial"/>
        <family val="0"/>
        <charset val="1"/>
      </rPr>
      <t xml:space="preserve">[OPC2]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관리 기준서를 넣으면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규정이 한 지도에 이어진다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문서를 올리고 비승인 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조건을 원문과 대조해 등록한다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</si>
  <si>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다섯 단계를 학생이 스스로 밟고 강사는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몇 번째 단계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만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관리 기준서 — 재주문점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재고가 이 아래로 떨어지면 주문하는 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공급사 목록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읽는다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검토에서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셋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정밀 </t>
    </r>
    <r>
      <rPr>
        <sz val="10"/>
        <rFont val="Arial"/>
        <family val="0"/>
        <charset val="1"/>
      </rPr>
      <t xml:space="preserve">· B-OEM ·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여부가 노드로 생긴다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</si>
  <si>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문서가 등록되고 씰 키트 → 공급사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여부 포함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보인다</t>
    </r>
  </si>
  <si>
    <r>
      <rPr>
        <sz val="10"/>
        <rFont val="Arial"/>
        <family val="0"/>
        <charset val="1"/>
      </rPr>
      <t xml:space="preserve">[OPC3]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지식에 물으면 어느 공급사에서 사면 안 되는지까지 근거를 들고 답한다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꼭 답할 질문 셋을 직접 써서 통과시킨다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</si>
  <si>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 셋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 → 쓰이는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규칙 → 발주 절차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부품에서 시작해 규정으로 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질문 하나는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키트가 모자라면 어느 정비가 늦나</t>
    </r>
    <r>
      <rPr>
        <sz val="10"/>
        <rFont val="Arial"/>
        <family val="0"/>
        <charset val="1"/>
      </rPr>
      <t xml:space="preserve">?"(B</t>
    </r>
    <r>
      <rPr>
        <sz val="10"/>
        <rFont val="Noto Sans CJK KR"/>
        <family val="2"/>
      </rPr>
      <t xml:space="preserve">와 이어짐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찾아 붙이기로는 어려웠던 그 연결 질문</t>
    </r>
    <r>
      <rPr>
        <sz val="10"/>
        <rFont val="Arial"/>
        <family val="0"/>
        <charset val="1"/>
      </rPr>
      <t xml:space="preserve">(OT2)</t>
    </r>
    <r>
      <rPr>
        <sz val="10"/>
        <rFont val="Noto Sans CJK KR"/>
        <family val="2"/>
      </rPr>
      <t xml:space="preserve">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</si>
  <si>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근거와 함께 통과했다</t>
    </r>
  </si>
  <si>
    <r>
      <rPr>
        <sz val="10"/>
        <rFont val="Arial"/>
        <family val="0"/>
        <charset val="1"/>
      </rPr>
      <t xml:space="preserve">[OPC4]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몇 개를 어디서 살지 정하려면 지금 재고와 공급 조건이 필요하다 — 자리를 잇는다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자리를 잇고 조회한다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</si>
  <si>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고르기 → 자리 잇기 →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없음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값이 </t>
    </r>
    <r>
      <rPr>
        <sz val="10"/>
        <rFont val="Arial"/>
        <family val="0"/>
        <charset val="1"/>
      </rPr>
      <t xml:space="preserve">ERP(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조건은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오늘 단가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섞여 있어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규정이고 무엇이 오늘 값인가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가른다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</si>
  <si>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자리가 조회되고 지식에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개다</t>
    </r>
  </si>
  <si>
    <r>
      <rPr>
        <sz val="10"/>
        <rFont val="Arial"/>
        <family val="0"/>
        <charset val="1"/>
      </rPr>
      <t xml:space="preserve">[OPC5]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구매가 회사에 주는 것 — 결품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과 총 구매비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품질이 부딪힌다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상충을 찾고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내용을 한 줄로 적는다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</si>
  <si>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 → 지표 → 영업이익 화살표를 학생이 따라간다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지도 모두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조치라는 같은 틀인데</t>
    </r>
    <r>
      <rPr>
        <sz val="10"/>
        <rFont val="Arial"/>
        <family val="0"/>
        <charset val="1"/>
      </rPr>
      <t xml:space="preserve">, A</t>
    </r>
    <r>
      <rPr>
        <sz val="10"/>
        <rFont val="Noto Sans CJK KR"/>
        <family val="2"/>
      </rPr>
      <t xml:space="preserve">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, B</t>
    </r>
    <r>
      <rPr>
        <sz val="10"/>
        <rFont val="Noto Sans CJK KR"/>
        <family val="2"/>
      </rPr>
      <t xml:space="preserve">는 예방 조치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는 공급 조건과 금지로 채워졌다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</si>
  <si>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상충이 지도에 보이고</t>
    </r>
    <r>
      <rPr>
        <sz val="10"/>
        <rFont val="Arial"/>
        <family val="0"/>
        <charset val="1"/>
      </rPr>
      <t xml:space="preserve">, 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한 줄로 적었다</t>
    </r>
  </si>
  <si>
    <r>
      <rPr>
        <sz val="10"/>
        <rFont val="Arial"/>
        <family val="0"/>
        <charset val="1"/>
      </rPr>
      <t xml:space="preserve">[OL1] </t>
    </r>
    <r>
      <rPr>
        <sz val="10"/>
        <rFont val="Noto Sans CJK KR"/>
        <family val="2"/>
      </rPr>
      <t xml:space="preserve">말로 시켜 만드는 조수와 처음 일한다 — 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물어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공장을 모른다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내 눈으로 확인한다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조수에게 첫 지시를 내려 세 사건 답을 파일로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출발본으로 한 번 되돌린다</t>
    </r>
  </si>
  <si>
    <r>
      <rPr>
        <sz val="10"/>
        <rFont val="Noto Sans CJK KR"/>
        <family val="2"/>
      </rPr>
      <t xml:space="preserve">말로 시키고 결과를 확인하는 방식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무엇인지</t>
    </r>
    <r>
      <rPr>
        <sz val="10"/>
        <rFont val="Arial"/>
        <family val="0"/>
        <charset val="1"/>
      </rPr>
      <t xml:space="preserve">. 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폴더 열기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조수 켜기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키로 연결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파일로 남기기 → 생성 대기 → 만든 것을 쉬운 말로 읽기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 → 출발본으로 되돌리기 연습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</si>
  <si>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세 답이 파일로 남았고 우리 공장 사실이 없음을 표시했으며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되돌리기를 한 번 했다</t>
    </r>
  </si>
  <si>
    <r>
      <rPr>
        <sz val="10"/>
        <rFont val="Arial"/>
        <family val="0"/>
        <charset val="1"/>
      </rPr>
      <t xml:space="preserve">VS Code · </t>
    </r>
    <r>
      <rPr>
        <sz val="10"/>
        <rFont val="Noto Sans CJK KR"/>
        <family val="2"/>
      </rPr>
      <t xml:space="preserve">터미널</t>
    </r>
    <r>
      <rPr>
        <sz val="10"/>
        <rFont val="Arial"/>
        <family val="0"/>
        <charset val="1"/>
      </rPr>
      <t xml:space="preserve">(Claude Code)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</si>
  <si>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VS Code </t>
    </r>
    <r>
      <rPr>
        <sz val="10"/>
        <rFont val="Noto Sans CJK KR"/>
        <family val="2"/>
      </rPr>
      <t xml:space="preserve">확장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키 연결에서 반쯤 막힌다 — 첫 </t>
    </r>
    <r>
      <rPr>
        <sz val="10"/>
        <rFont val="Arial"/>
        <family val="0"/>
        <charset val="1"/>
      </rPr>
      <t xml:space="preserve">15</t>
    </r>
    <r>
      <rPr>
        <sz val="10"/>
        <rFont val="Noto Sans CJK KR"/>
        <family val="2"/>
      </rPr>
      <t xml:space="preserve">분은 돌아다니며 연결부터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</si>
  <si>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r>
      <rPr>
        <sz val="10"/>
        <rFont val="Arial"/>
        <family val="0"/>
        <charset val="1"/>
      </rPr>
      <t xml:space="preserve">[OL2] </t>
    </r>
    <r>
      <rPr>
        <sz val="10"/>
        <rFont val="Noto Sans CJK KR"/>
        <family val="2"/>
      </rPr>
      <t xml:space="preserve">지식의 틀을 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직접 세운다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그림을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넣어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조수로 공장 틀을 세워 그림으로 확인한다</t>
    </r>
  </si>
  <si>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  <r>
      <rPr>
        <sz val="10"/>
        <rFont val="Arial"/>
        <family val="0"/>
        <charset val="1"/>
      </rPr>
      <t xml:space="preserve">(Neo4j Browser)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(OT4)</t>
    </r>
    <r>
      <rPr>
        <sz val="10"/>
        <rFont val="Noto Sans CJK KR"/>
        <family val="2"/>
      </rPr>
      <t xml:space="preserve">를 붙여 넣어 그림으로 보기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그다음 조수에게 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쪽을 주고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설비 이름이 두 번 생기지 않게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만들게 한다 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관계 셋 포함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생성 대기 → 그림 읽기 → 빠진 관계를 고치는 두 번째 지시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</si>
  <si>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그림으로 보인다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</si>
  <si>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DB </t>
    </r>
    <r>
      <rPr>
        <sz val="10"/>
        <rFont val="Noto Sans CJK KR"/>
        <family val="2"/>
      </rPr>
      <t xml:space="preserve">접속 주소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비밀번호 오타가 잦다 — 칠판에 크게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</si>
  <si>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r>
      <rPr>
        <sz val="10"/>
        <rFont val="Arial"/>
        <family val="0"/>
        <charset val="1"/>
      </rPr>
      <t xml:space="preserve">[OL4] </t>
    </r>
    <r>
      <rPr>
        <sz val="10"/>
        <rFont val="Noto Sans CJK KR"/>
        <family val="2"/>
      </rPr>
      <t xml:space="preserve">세 문서를 절차 중간에서 끊지 않고 나눈다 — 포털의 구간 나누기를 내 손으로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문서를 나누고 끊긴 절차가 없는지 확인한다</t>
    </r>
  </si>
  <si>
    <r>
      <rPr>
        <sz val="10"/>
        <rFont val="Noto Sans CJK KR"/>
        <family val="2"/>
      </rPr>
      <t xml:space="preserve">세 문서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쿨러 매뉴얼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점검표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기준서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절 단위로 나누는 지시 → 조각 목록과 경계 읽기 → 절차가 끊긴 조각을 찾아 다시 나누게 고치기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매뉴얼은 구간이 어떻게 나뉘는지 녹화로 보여 준다</t>
    </r>
    <r>
      <rPr>
        <sz val="10"/>
        <rFont val="Arial"/>
        <family val="0"/>
        <charset val="1"/>
      </rPr>
      <t xml:space="preserve">.</t>
    </r>
  </si>
  <si>
    <t xml:space="preserve">세 문서가 절 단위 조각으로 나뉘고 절차 중간에서 끊긴 조각이 없다</t>
  </si>
  <si>
    <r>
      <rPr>
        <sz val="10"/>
        <rFont val="Arial"/>
        <family val="0"/>
        <charset val="1"/>
      </rPr>
      <t xml:space="preserve">[OL5] </t>
    </r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문서 추출을 돌리고 거절 목록과 근거 구간을 확인한다</t>
    </r>
  </si>
  <si>
    <r>
      <rPr>
        <sz val="10"/>
        <rFont val="Noto Sans CJK KR"/>
        <family val="2"/>
      </rPr>
      <t xml:space="preserve">조각마다 틀에 맞춰 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 밖 항목은 버리고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원문 구간을 붙이라는 지시 → 세 문서 추출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문서마다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분 안팎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거절 목록 읽기 →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에서 금지 규칙이 뽑혔는지 확인 → 일부러 틀을 빼고 시켜 틀 밖 항목이 쏟아지는 것을 보고 되돌린다</t>
    </r>
    <r>
      <rPr>
        <sz val="10"/>
        <rFont val="Arial"/>
        <family val="0"/>
        <charset val="1"/>
      </rPr>
      <t xml:space="preserve">.</t>
    </r>
  </si>
  <si>
    <t xml:space="preserve">세 문서 추출 결과에 틀 밖 항목이 없고 항목마다 원문 구간이 붙었다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</si>
  <si>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대기가 겹쳐 서버가 느려진다 — 모둠별로 문서 하나씩 나눠 돌리고 결과를 바꿔 본다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EXT ·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</si>
  <si>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r>
      <rPr>
        <sz val="10"/>
        <rFont val="Arial"/>
        <family val="0"/>
        <charset val="1"/>
      </rPr>
      <t xml:space="preserve">[OL6] </t>
    </r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목록에서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거절을 해 보고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되돌리기를 한 번씩 한다</t>
    </r>
  </si>
  <si>
    <r>
      <rPr>
        <sz val="10"/>
        <rFont val="Noto Sans CJK KR"/>
        <family val="2"/>
      </rPr>
      <t xml:space="preserve">추출 결과를 검토 목록으로 보여 주게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승인한 것만 고장 유형에 이어 등록 → 승인 안 한 항목이 안 들어갔는지 확인 → 방금 넣은 묶음 되돌리기 → 다시 등록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창에서 세 사건의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본다</t>
    </r>
    <r>
      <rPr>
        <sz val="10"/>
        <rFont val="Arial"/>
        <family val="0"/>
        <charset val="1"/>
      </rPr>
      <t xml:space="preserve">.</t>
    </r>
  </si>
  <si>
    <t xml:space="preserve">승인한 항목만 내 그래프에 들어가고 되돌리기 뒤 원래대로 돌아온다</t>
  </si>
  <si>
    <r>
      <rPr>
        <sz val="10"/>
        <rFont val="Arial"/>
        <family val="0"/>
        <charset val="1"/>
      </rPr>
      <t xml:space="preserve">[OL7] </t>
    </r>
    <r>
      <rPr>
        <sz val="10"/>
        <rFont val="Noto Sans CJK KR"/>
        <family val="2"/>
      </rPr>
      <t xml:space="preserve">내 지식 지도에 물으면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 — 문서만 찾아 붙인 답과 견줘 본다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질문을 내 지도로 답하게 하고 문서 찾기 답과 차이를 표로 적는다</t>
    </r>
  </si>
  <si>
    <r>
      <rPr>
        <sz val="10"/>
        <rFont val="Noto Sans CJK KR"/>
        <family val="2"/>
      </rPr>
      <t xml:space="preserve">질문 → 지식 그래프 질의 → 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구절을 내는 지시 → 세 사건 연결 질문 하나씩 → 출발본에 준비된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문서만 찾아 붙인 답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과 나란히 비교 → 내 꼭 답할 질문을 자동 검사로 돌리고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끊어 실패로 바뀌는 것을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</si>
  <si>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세 질문에 지도 답이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구절과 함께 나오고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답과의 차이를 표에 적었다</t>
    </r>
  </si>
  <si>
    <r>
      <rPr>
        <sz val="10"/>
        <rFont val="Arial"/>
        <family val="0"/>
        <charset val="1"/>
      </rPr>
      <t xml:space="preserve">[OL8]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표 어느 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자리만 잇는다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자리 연결을 만들고 조회한다</t>
    </r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</si>
  <si>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</t>
    </r>
    <r>
      <rPr>
        <sz val="10"/>
        <rFont val="Noto Sans CJK KR"/>
        <family val="2"/>
      </rPr>
      <t xml:space="preserve">를 조수에게 쉬운 말로 읽게 한다 →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값은 이 표 이 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자리 연결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시킨다 → 값 노드가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개인지 확인 → 자리로 조회해 지금 값이 나오는지 본다 → 일부러 값을 넣게 시켜 다음 날 틀려지는 장면을 보고 되돌린다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</si>
  <si>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자리 연결만 생기고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연결로 조회한 값이 나온다</t>
    </r>
  </si>
  <si>
    <r>
      <rPr>
        <sz val="10"/>
        <rFont val="Arial"/>
        <family val="0"/>
        <charset val="1"/>
      </rPr>
      <t xml:space="preserve">[AT1]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와 일을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다르다 — 에이전트의 네 부분과 되풀이 고리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맛집 예약 역할극을 두 라운드 하고 기록지를 쓴다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</si>
  <si>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일하는 방식은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생각하고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움직이고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행동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다시 본다의 되풀이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동네 맛집 예약 — 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손님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기록지에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적고</t>
    </r>
    <r>
      <rPr>
        <sz val="10"/>
        <rFont val="Arial"/>
        <family val="0"/>
        <charset val="1"/>
      </rPr>
      <t xml:space="preserve">, 2</t>
    </r>
    <r>
      <rPr>
        <sz val="10"/>
        <rFont val="Noto Sans CJK KR"/>
        <family val="2"/>
      </rPr>
      <t xml:space="preserve">라운드에서 도구 카드 하나를 빼면 어떻게 되나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</si>
  <si>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역할극 기록지에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관찰이 두 번 이상 적혔다</t>
    </r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</si>
  <si>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</si>
  <si>
    <r>
      <rPr>
        <sz val="10"/>
        <rFont val="Arial"/>
        <family val="0"/>
        <charset val="1"/>
      </rPr>
      <t xml:space="preserve">[AT2] AI</t>
    </r>
    <r>
      <rPr>
        <sz val="10"/>
        <rFont val="Noto Sans CJK KR"/>
        <family val="2"/>
      </rPr>
      <t xml:space="preserve">가 부를 수 있는 기능은 네 칸으로 적고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규격에 맞춰 꽂는다 — 도구와 도구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일꾼마다 필요한 손만
해 보기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날씨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도구 카드 네 칸을 쓰고</t>
    </r>
    <r>
      <rPr>
        <sz val="10"/>
        <rFont val="Arial"/>
        <family val="0"/>
        <charset val="1"/>
      </rPr>
      <t xml:space="preserve">, B · C </t>
    </r>
    <r>
      <rPr>
        <sz val="10"/>
        <rFont val="Noto Sans CJK KR"/>
        <family val="2"/>
      </rPr>
      <t xml:space="preserve">일꾼에게 줄 서버를 고른다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</si>
  <si>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(MCP): </t>
    </r>
    <r>
      <rPr>
        <sz val="10"/>
        <rFont val="Noto Sans CJK KR"/>
        <family val="2"/>
      </rPr>
      <t xml:space="preserve">도구 서버 하나로 어느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에도 같은 도구를 붙인다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일꾼마다 필요한 손만 준다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</si>
  <si>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도구 카드 네 칸이 채워졌고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일꾼의 서버를 구분해 말한다</t>
    </r>
  </si>
  <si>
    <r>
      <rPr>
        <sz val="10"/>
        <rFont val="Arial"/>
        <family val="0"/>
        <charset val="1"/>
      </rPr>
      <t xml:space="preserve">[AT3] </t>
    </r>
    <r>
      <rPr>
        <sz val="10"/>
        <rFont val="Noto Sans CJK KR"/>
        <family val="2"/>
      </rPr>
      <t xml:space="preserve">지금 값은 원천에 물어야 알고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읽기만 한다 — 바꾸는 일은 사람이 승인한 뒤 시스템이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 셋마다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고르고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바꾸는 도구를 나눈다</t>
    </r>
  </si>
  <si>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의 차이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는 어디에 물어야 하나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하지 않는다 — 담당자가 한 번 승인한 뒤 시스템이 한다</t>
    </r>
    <r>
      <rPr>
        <sz val="10"/>
        <rFont val="Arial"/>
        <family val="0"/>
        <charset val="1"/>
      </rPr>
      <t xml:space="preserve">(BPMN </t>
    </r>
    <r>
      <rPr>
        <sz val="10"/>
        <rFont val="Noto Sans CJK KR"/>
        <family val="2"/>
      </rPr>
      <t xml:space="preserve">막에서 그 흐름을 만든다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</si>
  <si>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KR"/>
        <family val="2"/>
      </rPr>
      <t xml:space="preserve">질문 셋의 원천을 골랐고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바꾸기 도구 예를 하나씩 든다</t>
    </r>
  </si>
  <si>
    <r>
      <rPr>
        <sz val="10"/>
        <rFont val="Arial"/>
        <family val="0"/>
        <charset val="1"/>
      </rPr>
      <t xml:space="preserve">[AT4] </t>
    </r>
    <r>
      <rPr>
        <sz val="10"/>
        <rFont val="Noto Sans CJK KR"/>
        <family val="2"/>
      </rPr>
      <t xml:space="preserve">선배의 체크리스트가 일하는 순서를 바꾼다 — 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줄을 쓰고 짝과 바꿔 본다</t>
    </r>
  </si>
  <si>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= "</t>
    </r>
    <r>
      <rPr>
        <sz val="10"/>
        <rFont val="Noto Sans CJK KR"/>
        <family val="2"/>
      </rPr>
      <t xml:space="preserve">이런 일은 이 순서로 확인하라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는 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요령과 도구의 차이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요령이 있을 때와 없을 때 일꾼의 확인 순서 그림 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세 사건의 요령 미리보기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정기 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</si>
  <si>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줄을 썼다</t>
    </r>
  </si>
  <si>
    <r>
      <rPr>
        <sz val="10"/>
        <rFont val="Arial"/>
        <family val="0"/>
        <charset val="1"/>
      </rPr>
      <t xml:space="preserve">[AT5] </t>
    </r>
    <r>
      <rPr>
        <sz val="10"/>
        <rFont val="Noto Sans CJK KR"/>
        <family val="2"/>
      </rPr>
      <t xml:space="preserve">매번 같아야 하는 판단은 규칙이 맡고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근거를 모아 설명한다 — 판단 규칙표
해 보기</t>
    </r>
    <r>
      <rPr>
        <sz val="10"/>
        <rFont val="Arial"/>
        <family val="0"/>
        <charset val="1"/>
      </rPr>
      <t xml:space="preserve">: bpmn.io </t>
    </r>
    <r>
      <rPr>
        <sz val="10"/>
        <rFont val="Noto Sans CJK KR"/>
        <family val="2"/>
      </rPr>
      <t xml:space="preserve">규칙표로 경비 규정 세 줄을 만든다</t>
    </r>
  </si>
  <si>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빼기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감점은 규칙이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모으기와 설명은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근거가 없으면 멈춘다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판단 규칙표</t>
    </r>
    <r>
      <rPr>
        <sz val="10"/>
        <rFont val="Arial"/>
        <family val="0"/>
        <charset val="1"/>
      </rPr>
      <t xml:space="preserve">(DMN)</t>
    </r>
    <r>
      <rPr>
        <sz val="10"/>
        <rFont val="Noto Sans CJK KR"/>
        <family val="2"/>
      </rPr>
      <t xml:space="preserve">를 </t>
    </r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규칙표 화면에서 처음 만든다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경비 규정 세 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세 사건의 규칙 미리보기 — 비승인 공급사 제외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밖 미루기 제외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</si>
  <si>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경비 규정 세 줄이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출력이 있는 규칙표로 만들어졌다</t>
    </r>
  </si>
  <si>
    <r>
      <rPr>
        <sz val="10"/>
        <rFont val="Arial"/>
        <family val="0"/>
        <charset val="1"/>
      </rPr>
      <t xml:space="preserve">bpmn.io(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</si>
  <si>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 칸 넣기가 처음이라 느리다 — 첫 줄은 함께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둘째 줄부터 각자</t>
    </r>
  </si>
  <si>
    <r>
      <rPr>
        <sz val="10"/>
        <rFont val="Arial"/>
        <family val="0"/>
        <charset val="1"/>
      </rPr>
      <t xml:space="preserve">[AT6] </t>
    </r>
    <r>
      <rPr>
        <sz val="10"/>
        <rFont val="Noto Sans CJK KR"/>
        <family val="2"/>
      </rPr>
      <t xml:space="preserve">앞으로 어떻게 될지를 숫자로 본다 — 예측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유온이 언제 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운전시간이 언제 한계에 닿나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기온 표로 오후 기온을 어림하고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사건의 예측 값이 무엇을 뜻하는지 말한다</t>
    </r>
  </si>
  <si>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안을 비교하려면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그 안을 고르면 어떻게 되나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알아야 한다 — </t>
    </r>
    <r>
      <rPr>
        <sz val="10"/>
        <rFont val="Arial"/>
        <family val="0"/>
        <charset val="1"/>
      </rPr>
      <t xml:space="preserve">A: 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</t>
    </r>
    <r>
      <rPr>
        <sz val="10"/>
        <rFont val="Noto Sans CJK KR"/>
        <family val="2"/>
      </rPr>
      <t xml:space="preserve">면 몇 분 뒤 유온이 몇 ℃인가</t>
    </r>
    <r>
      <rPr>
        <sz val="10"/>
        <rFont val="Arial"/>
        <family val="0"/>
        <charset val="1"/>
      </rPr>
      <t xml:space="preserve">, B: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예측도 틀릴 수 있으니 범위로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하루 기온 표에서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시 기온을 어림해 본다</t>
    </r>
    <r>
      <rPr>
        <sz val="10"/>
        <rFont val="Arial"/>
        <family val="0"/>
        <charset val="1"/>
      </rPr>
      <t xml:space="preserve">.</t>
    </r>
  </si>
  <si>
    <t xml:space="preserve">두 사건의 예측 값이 무엇을 뜻하는지 말한다</t>
  </si>
  <si>
    <r>
      <rPr>
        <sz val="10"/>
        <rFont val="Arial"/>
        <family val="0"/>
        <charset val="1"/>
      </rPr>
      <t xml:space="preserve">[AT7] </t>
    </r>
    <r>
      <rPr>
        <sz val="10"/>
        <rFont val="Noto Sans CJK KR"/>
        <family val="2"/>
      </rPr>
      <t xml:space="preserve">점수가 아니라 돈으로 비교해 하나를 고르고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값이 바뀌면 언제 뒤집히는지 안다 — 손익과 경계값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 손익을 종이로 계산하고 뒤집히는 값을 찾는다</t>
    </r>
  </si>
  <si>
    <r>
      <rPr>
        <sz val="10"/>
        <rFont val="Noto Sans CJK KR"/>
        <family val="2"/>
      </rPr>
      <t xml:space="preserve">손익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원으로 비교한다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납기 지체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손실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 하나를 바꾸면 순위가 뒤집히는 경계값이 있다 — 그 값을 알면 추천을 얼마나 믿을지 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시간 값을 바꿔 뒤집히는 경계 찾기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</si>
  <si>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지하철에서 뒤집히는 값을 찾았다</t>
    </r>
  </si>
  <si>
    <r>
      <rPr>
        <sz val="10"/>
        <rFont val="Arial"/>
        <family val="0"/>
        <charset val="1"/>
      </rPr>
      <t xml:space="preserve">[AT8] AI </t>
    </r>
    <r>
      <rPr>
        <sz val="10"/>
        <rFont val="Noto Sans CJK KR"/>
        <family val="2"/>
      </rPr>
      <t xml:space="preserve">판단은 흔들린다 — 정답표를 먼저 쓰고 여러 번 돌려 채점한다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맛집 예약 정답표 한 줄을 쓴다</t>
    </r>
  </si>
  <si>
    <r>
      <rPr>
        <sz val="10"/>
        <rFont val="Noto Sans CJK KR"/>
        <family val="2"/>
      </rPr>
      <t xml:space="preserve">같은 질문 다섯 번의 결과 사례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왜 흔들리나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다음 말 맞히기 — </t>
    </r>
    <r>
      <rPr>
        <sz val="10"/>
        <rFont val="Arial"/>
        <family val="0"/>
        <charset val="1"/>
      </rPr>
      <t xml:space="preserve">OT1). </t>
    </r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반드시 빠질 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정답표는 사람이 쓴다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 업무를 아는 사람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여러 번 돌려 몇 번 맞았는지로 믿음을 숫자로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종이로 맛집 예약 정답표 한 줄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</si>
  <si>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정답표 한 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썼다</t>
    </r>
  </si>
  <si>
    <r>
      <rPr>
        <sz val="10"/>
        <rFont val="Arial"/>
        <family val="0"/>
        <charset val="1"/>
      </rPr>
      <t xml:space="preserve">[APA1] </t>
    </r>
    <r>
      <rPr>
        <sz val="10"/>
        <rFont val="Noto Sans CJK KR"/>
        <family val="2"/>
      </rPr>
      <t xml:space="preserve">쿨러 지식을 쓰는 냉각 긴급 대응 일꾼을 만든다 —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요령을 붙이고 근거 있는 답을 받는다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일꾼을 만들어 저장하고 두 질문의 도구 호출 과정을 노트에 적는다</t>
    </r>
  </si>
  <si>
    <r>
      <rPr>
        <sz val="10"/>
        <rFont val="Noto Sans CJK KR"/>
        <family val="2"/>
      </rPr>
      <t xml:space="preserve">에이전트 화면 안내 → 기본 일꾼 복제 →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설비가 스스로 멈추는 안전 한계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인터록</t>
    </r>
    <r>
      <rPr>
        <sz val="10"/>
        <rFont val="Arial"/>
        <family val="0"/>
        <charset val="1"/>
      </rPr>
      <t xml:space="preserve">, 65 ℃)</t>
    </r>
    <r>
      <rPr>
        <sz val="10"/>
        <rFont val="Noto Sans CJK KR"/>
        <family val="2"/>
      </rPr>
      <t xml:space="preserve">에 닿기 전에 유온을 내리고 생산 손실 최소</t>
    </r>
    <r>
      <rPr>
        <sz val="10"/>
        <rFont val="Arial"/>
        <family val="0"/>
        <charset val="1"/>
      </rPr>
      <t xml:space="preserve">") →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→ 연결 검사 →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붙이기 → 질문 두 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유온이 오르는 원인 후보는</t>
    </r>
    <r>
      <rPr>
        <sz val="10"/>
        <rFont val="Arial"/>
        <family val="0"/>
        <charset val="1"/>
      </rPr>
      <t xml:space="preserve">?" / "</t>
    </r>
    <r>
      <rPr>
        <sz val="10"/>
        <rFont val="Noto Sans CJK KR"/>
        <family val="2"/>
      </rPr>
      <t xml:space="preserve">지금 유온과 팬 지시값은</t>
    </r>
    <r>
      <rPr>
        <sz val="10"/>
        <rFont val="Arial"/>
        <family val="0"/>
        <charset val="1"/>
      </rPr>
      <t xml:space="preserve">?")</t>
    </r>
    <r>
      <rPr>
        <sz val="10"/>
        <rFont val="Noto Sans CJK KR"/>
        <family val="2"/>
      </rPr>
      <t xml:space="preserve">를 하고 도구 호출 과정을 한 줄씩 읽는다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</si>
  <si>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답에 지도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출처가 붙었다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</si>
  <si>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 검사에서 빨간 표시가 나는 학생 — 대부분 서버를 안 고른 것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함께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 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작업 요령 개념을 이 행에서 처음 설명한다</t>
    </r>
  </si>
  <si>
    <r>
      <rPr>
        <sz val="10"/>
        <rFont val="Arial"/>
        <family val="0"/>
        <charset val="1"/>
      </rPr>
      <t xml:space="preserve">[APA2] </t>
    </r>
    <r>
      <rPr>
        <sz val="10"/>
        <rFont val="Noto Sans CJK KR"/>
        <family val="2"/>
      </rPr>
      <t xml:space="preserve">일꾼이 생겼으니 사건을 맡긴다 — 세 안을 규칙과 돈으로 견줘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80 %" </t>
    </r>
    <r>
      <rPr>
        <sz val="10"/>
        <rFont val="Noto Sans CJK KR"/>
        <family val="2"/>
      </rPr>
      <t xml:space="preserve">하나를 추천받는다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실행을 돌리고 제안 카드에서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 이유를 노트에 옮긴다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</si>
  <si>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진단 → 후보 → 규칙 → 순위 진행을 기다리며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단계마다 무엇을 보는지 설명 → 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80 %) ·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 — 팬만 최대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온도가 충분히 안 내려감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70 %(</t>
    </r>
    <r>
      <rPr>
        <sz val="10"/>
        <rFont val="Noto Sans CJK KR"/>
        <family val="2"/>
      </rPr>
      <t xml:space="preserve">큰 고객사</t>
    </r>
    <r>
      <rPr>
        <sz val="10"/>
        <rFont val="Arial"/>
        <family val="0"/>
        <charset val="1"/>
      </rPr>
      <t xml:space="preserve">(OEM) </t>
    </r>
    <r>
      <rPr>
        <sz val="10"/>
        <rFont val="Noto Sans CJK KR"/>
        <family val="2"/>
      </rPr>
      <t xml:space="preserve">주문 납기를 놓침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저장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</si>
  <si>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제안 카드가 저장되고 지는 안 둘의 이유를 적었다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</si>
  <si>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반 전체가 동시에 돌리면 대기가 길어진다 — 기다리는 동안 진행 단계 화면을 함께 읽는다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반마다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 개념을 이 행에서 처음 설명한다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W4</t>
    </r>
  </si>
  <si>
    <r>
      <rPr>
        <sz val="10"/>
        <rFont val="Arial"/>
        <family val="0"/>
        <charset val="1"/>
      </rPr>
      <t xml:space="preserve">[APA3] </t>
    </r>
    <r>
      <rPr>
        <sz val="10"/>
        <rFont val="Noto Sans CJK KR"/>
        <family val="2"/>
      </rPr>
      <t xml:space="preserve">추천을 받았으니 흔들어 본다 — 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값을 바꾸면 언제 추천이 뒤집히는지 찾는다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두 개를 바꿔 뒤집히는 경계를 찾아 노트에 적는다</t>
    </r>
  </si>
  <si>
    <r>
      <rPr>
        <sz val="10"/>
        <rFont val="Noto Sans CJK KR"/>
        <family val="2"/>
      </rPr>
      <t xml:space="preserve">값 바꿔 보기 화면 → 부하를 바꿔 다시 돌린다 → 납기 여유를 바꿔 다시 돌린다 → 추천이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70 %"</t>
    </r>
    <r>
      <rPr>
        <sz val="10"/>
        <rFont val="Noto Sans CJK KR"/>
        <family val="2"/>
      </rPr>
      <t xml:space="preserve">로 뒤집히는 경계값을 찾는다 → 왜 그 값에서 뒤집히는지 손익 줄로 설명한다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</si>
  <si>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추천이 뒤집히는 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값을 노트에 적었다</t>
    </r>
  </si>
  <si>
    <r>
      <rPr>
        <sz val="10"/>
        <rFont val="Arial"/>
        <family val="0"/>
        <charset val="1"/>
      </rPr>
      <t xml:space="preserve">[APA4] </t>
    </r>
    <r>
      <rPr>
        <sz val="10"/>
        <rFont val="Noto Sans CJK KR"/>
        <family val="2"/>
      </rPr>
      <t xml:space="preserve">추천과 경계를 알았으니 믿을 만한지 잰다 — 내가 쓴 정답표로 냉각 일꾼을 여러 번 채점한다
해 보기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정답표를 쓰고 채점을 돌려 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흔들린 항목을 적는다</t>
    </r>
  </si>
  <si>
    <r>
      <rPr>
        <sz val="10"/>
        <rFont val="Noto Sans CJK KR"/>
        <family val="2"/>
      </rPr>
      <t xml:space="preserve">판단 채점 화면 → 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핀 막힘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 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70 %)</t>
    </r>
    <r>
      <rPr>
        <sz val="10"/>
        <rFont val="Noto Sans CJK KR"/>
        <family val="2"/>
      </rPr>
      <t xml:space="preserve">를 직접 쓴다 → 여러 번 돌려 채점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기다리는 동안 흔들림이 왜 생기는지 다시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점수와 흔들린 항목 읽기 →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닫으며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 만들기 → 제안 → 흔들기 → 채점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한 줄로 정리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</si>
  <si>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 점수와 흔들린 항목이 저장됐다</t>
    </r>
  </si>
  <si>
    <r>
      <rPr>
        <sz val="10"/>
        <rFont val="Arial"/>
        <family val="0"/>
        <charset val="1"/>
      </rPr>
      <t xml:space="preserve">[APB1]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계획 일꾼을 만든다 — 보전용 업무 서버를 붙여 정비 패키지와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오더로 답하게 한다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일꾼을 스스로 만들어 두 질문에 답하게 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</si>
  <si>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복제 →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 → 도구 → 연결 검사 → 요령 → 질문하기를 학생이 먼저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단계마다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이건 네 부분 중 무엇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기한을 지키며 생산 손실 최소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보전용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이력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계획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→ 허용 오차 → 생산 오더 → 인력 → 부품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"2,000 h </t>
    </r>
    <r>
      <rPr>
        <sz val="10"/>
        <rFont val="Noto Sans CJK KR"/>
        <family val="2"/>
      </rPr>
      <t xml:space="preserve">패키지는 무엇을 하나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지금 </t>
    </r>
    <r>
      <rPr>
        <sz val="10"/>
        <rFont val="Arial"/>
        <family val="0"/>
        <charset val="1"/>
      </rPr>
      <t xml:space="preserve">HYD-02 · 03 </t>
    </r>
    <r>
      <rPr>
        <sz val="10"/>
        <rFont val="Noto Sans CJK KR"/>
        <family val="2"/>
      </rPr>
      <t xml:space="preserve">운전시간과 이번 주 오더는</t>
    </r>
    <r>
      <rPr>
        <sz val="10"/>
        <rFont val="Arial"/>
        <family val="0"/>
        <charset val="1"/>
      </rPr>
      <t xml:space="preserve">".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</si>
  <si>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일꾼이 저장되고 두 답에 정비 패키지 길과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오더 값이 붙었다</t>
    </r>
  </si>
  <si>
    <r>
      <rPr>
        <sz val="10"/>
        <rFont val="Arial"/>
        <family val="0"/>
        <charset val="1"/>
      </rPr>
      <t xml:space="preserve">[APB2]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정비를 맡긴다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인력을 저울질해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추천받는다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시험 실행을 돌리고 지는 안 셋의 이유를 적는다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</si>
  <si>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→ 진행 단계 → 제안 카드 읽기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먼저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소리 내 읽기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추천 — 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HYD-03</t>
    </r>
    <r>
      <rPr>
        <sz val="10"/>
        <rFont val="Noto Sans CJK KR"/>
        <family val="2"/>
      </rPr>
      <t xml:space="preserve">은 허용 오차 안에서 다음 정비 시간으로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 — 지금 바로 정지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생산 오더 손실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허용 오차 밖으로 미루기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제조사 보증에 기한 안 점검 기록이 필요해 규칙으로 제외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두 대 묶기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인력 부족으로 감점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운전시간이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</si>
  <si>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제안 카드가 저장되고 지는 안 셋의 이유를 적었다</t>
    </r>
  </si>
  <si>
    <r>
      <rPr>
        <sz val="10"/>
        <rFont val="Arial"/>
        <family val="0"/>
        <charset val="1"/>
      </rPr>
      <t xml:space="preserve">[APB3]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정비 인력과 생산 오더를 바꿔 보면 언제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두 대 묶기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이기는지 찾는다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인력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오더를 바꿔 뒤집히는 값을 찾는다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</si>
  <si>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 → 다시 돌리기 → 경계값 찾기를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바꿀 값이 센서가 아니라 업무 계획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인력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인력을 늘리면 묶기가 이기고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오더가 몰리면 미루기 쪽으로 기우는 것을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다만 허용 오차 밖은 값을 바꿔도 규칙이 계속 뺀다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</si>
  <si>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묶기가 이기는 인력 값과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규칙이 계속 빼는 안을 적었다</t>
    </r>
  </si>
  <si>
    <r>
      <rPr>
        <sz val="10"/>
        <rFont val="Arial"/>
        <family val="0"/>
        <charset val="1"/>
      </rPr>
      <t xml:space="preserve">[APB4]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일꾼을 채점한다 — 허용 오차 밖 미루기를 늘 빼는가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정답표를 쓰고 채점해 짝과 점수를 견준다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</si>
  <si>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쓰기 → 여러 번 채점 → 점수 읽기를 학생이 혼자 하고 짝과 점수를 견준다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칸이 고장 원인이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빠질 안은 허용 오차 밖 미루기</t>
    </r>
    <r>
      <rPr>
        <sz val="10"/>
        <rFont val="Arial"/>
        <family val="0"/>
        <charset val="1"/>
      </rPr>
      <t xml:space="preserve">. B</t>
    </r>
    <r>
      <rPr>
        <sz val="10"/>
        <rFont val="Noto Sans CJK KR"/>
        <family val="2"/>
      </rPr>
      <t xml:space="preserve">를 닫으며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와 무엇이 같고 무엇이 달랐는지 한 줄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</si>
  <si>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 점수가 저장됐다</t>
    </r>
  </si>
  <si>
    <r>
      <rPr>
        <sz val="10"/>
        <rFont val="Arial"/>
        <family val="0"/>
        <charset val="1"/>
      </rPr>
      <t xml:space="preserve">[APC1]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일꾼을 만든다 — 구매용 업무 서버를 붙여 승인 공급사와 지금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조건으로 답하게 한다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일꾼을 혼자 만들어 두 질문에 답하게 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</si>
  <si>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만들기 전 단계를 학생이 혼자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다 만든 뒤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결품 없이 총비용 최소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구매 규정 준수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구매용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만 붙이고 보전용은 붙이지 않는다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재고 → 재주문점 → 승인 공급사 → 총비용 → 납기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 지금 재고와 재주문점은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승인 공급사는 어디</t>
    </r>
    <r>
      <rPr>
        <sz val="10"/>
        <rFont val="Arial"/>
        <family val="0"/>
        <charset val="1"/>
      </rPr>
      <t xml:space="preserve">". </t>
    </r>
    <r>
      <rPr>
        <sz val="10"/>
        <rFont val="Noto Sans CJK KR"/>
        <family val="2"/>
      </rPr>
      <t xml:space="preserve">세 일꾼의 손이 다르다는 것을 설정 화면으로 확인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</si>
  <si>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일꾼이 저장되고 두 답에 공급사 길과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값이 붙었다</t>
    </r>
  </si>
  <si>
    <r>
      <rPr>
        <sz val="10"/>
        <rFont val="Arial"/>
        <family val="0"/>
        <charset val="1"/>
      </rPr>
      <t xml:space="preserve">[APC2]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구매를 맡긴다 — 공급사 셋을 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품질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견줘 </t>
    </r>
    <r>
      <rPr>
        <sz val="10"/>
        <rFont val="Arial"/>
        <family val="0"/>
        <charset val="1"/>
      </rPr>
      <t xml:space="preserve">"B-OEM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추천받는다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시험 실행을 돌리고 카드 숫자로 총비용을 계산해 본다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</si>
  <si>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→ 진행 단계 → 제안 카드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공급사 비교표가 카드에 붙는다 — 추천 </t>
    </r>
    <r>
      <rPr>
        <sz val="10"/>
        <rFont val="Arial"/>
        <family val="0"/>
        <charset val="1"/>
      </rPr>
      <t xml:space="preserve">B-OEM 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정밀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단가는 싸지만 불량률 </t>
    </r>
    <r>
      <rPr>
        <sz val="10"/>
        <rFont val="Arial"/>
        <family val="0"/>
        <charset val="1"/>
      </rPr>
      <t xml:space="preserve">12 %</t>
    </r>
    <r>
      <rPr>
        <sz val="10"/>
        <rFont val="Noto Sans CJK KR"/>
        <family val="2"/>
      </rPr>
      <t xml:space="preserve">라 불량 기대비용을 더한 총비용이 더 큼</t>
    </r>
    <r>
      <rPr>
        <sz val="10"/>
        <rFont val="Arial"/>
        <family val="0"/>
        <charset val="1"/>
      </rPr>
      <t xml:space="preserve">),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가장 싸지만 비승인 공급사라 규칙으로 제외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기대비용을 카드 숫자로 직접 계산해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</si>
  <si>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제안 카드가 저장되고 총비용 계산이 카드와 맞는다</t>
    </r>
  </si>
  <si>
    <r>
      <rPr>
        <sz val="10"/>
        <rFont val="Arial"/>
        <family val="0"/>
        <charset val="1"/>
      </rPr>
      <t xml:space="preserve">[APC3]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단가를 바꿔 보면 언제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정밀이 이기는지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그래도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트레이딩은 왜 끝까지 지는지 본다
해 보기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정밀이 이기는 불량률 경계를 찾는다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</si>
  <si>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바꿔 보기 → 경계 찾기를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불량률을 낮추면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정밀이 이기는 경계가 있고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트레이딩은 아무리 싸져도 규칙이 뺀다 — 돈으로 지는 안과 규칙으로 지는 안의 차이를 다시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</si>
  <si>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정밀이 이기는 불량률 경계를 적었다</t>
    </r>
  </si>
  <si>
    <r>
      <rPr>
        <sz val="10"/>
        <rFont val="Arial"/>
        <family val="0"/>
        <charset val="1"/>
      </rPr>
      <t xml:space="preserve">[APC4]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일꾼을 채점한다 — 비승인 공급사를 늘 빼는가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정답표를 쓰고 채점하고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일꾼의 차이를 한 줄로 적는다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</si>
  <si>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채점 → 점수를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일꾼 모두 같은 네 부분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인데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달라 판단 근거가 손익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인력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갈렸다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</si>
  <si>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 점수가 저장되고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한 줄로 적었다</t>
    </r>
  </si>
  <si>
    <r>
      <rPr>
        <sz val="10"/>
        <rFont val="Arial"/>
        <family val="0"/>
        <charset val="1"/>
      </rPr>
      <t xml:space="preserve">[AL1] </t>
    </r>
    <r>
      <rPr>
        <sz val="10"/>
        <rFont val="Noto Sans CJK KR"/>
        <family val="2"/>
      </rPr>
      <t xml:space="preserve">스스로 무엇을 확인할지 정해 한 단계씩 밟는 작은 일꾼을 만든다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작은 일꾼을 만들어 콘솔의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읽는다</t>
    </r>
  </si>
  <si>
    <r>
      <rPr>
        <sz val="10"/>
        <rFont val="Noto Sans CJK KR"/>
        <family val="2"/>
      </rPr>
      <t xml:space="preserve">질문을 받으면 확인할 것을 정하고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준비된 함수로 값을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판단해 답하는 작은 일꾼을 시킨다 → 콘솔에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관찰이 찍히는 것을 읽는다 → 함수 하나를 빼고 돌려 일꾼이 어떻게 다르게 움직이는지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역할극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라운드와 같은 실험</t>
    </r>
    <r>
      <rPr>
        <sz val="10"/>
        <rFont val="Arial"/>
        <family val="0"/>
        <charset val="1"/>
      </rPr>
      <t xml:space="preserve">).</t>
    </r>
  </si>
  <si>
    <t xml:space="preserve">한 질문에 생각 → 행동 → 관찰이 두 번 이상 콘솔에 남는다</t>
  </si>
  <si>
    <r>
      <rPr>
        <sz val="10"/>
        <rFont val="Arial"/>
        <family val="0"/>
        <charset val="1"/>
      </rPr>
      <t xml:space="preserve">[AL3] </t>
    </r>
    <r>
      <rPr>
        <sz val="10"/>
        <rFont val="Noto Sans CJK KR"/>
        <family val="2"/>
      </rPr>
      <t xml:space="preserve">내가 만든 지식 지도를 규격으로 꽂아 일꾼이 직접 길을 찾게 한다 — 쓰기는 거절된다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지도를 꽂고 세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쓰기 요청을 돌린다</t>
    </r>
  </si>
  <si>
    <r>
      <rPr>
        <sz val="10"/>
        <rFont val="Noto Sans CJK KR"/>
        <family val="2"/>
      </rPr>
      <t xml:space="preserve">지식 그래프 연결 설정을 붙이게 시킨다 → 일꾼이 틀을 먼저 읽고 질의를 쓰는 기록을 본다 → 세 사건 질문 답이 </t>
    </r>
    <r>
      <rPr>
        <sz val="10"/>
        <rFont val="Arial"/>
        <family val="0"/>
        <charset val="1"/>
      </rPr>
      <t xml:space="preserve">OL7</t>
    </r>
    <r>
      <rPr>
        <sz val="10"/>
        <rFont val="Noto Sans CJK KR"/>
        <family val="2"/>
      </rPr>
      <t xml:space="preserve">과 같은지 확인 → 일부러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노드를 하나 지워 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시켜 거절되는 것을 본다</t>
    </r>
    <r>
      <rPr>
        <sz val="10"/>
        <rFont val="Arial"/>
        <family val="0"/>
        <charset val="1"/>
      </rPr>
      <t xml:space="preserve">.</t>
    </r>
  </si>
  <si>
    <t xml:space="preserve">일꾼이 틀 읽기 → 읽기 질의 순서로 답하고 쓰기 요청은 거절된다</t>
  </si>
  <si>
    <r>
      <rPr>
        <sz val="10"/>
        <rFont val="Arial"/>
        <family val="0"/>
        <charset val="1"/>
      </rPr>
      <t xml:space="preserve">[AL4]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 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만들어 포털에 등록하고 연결 검사를 통과시킨다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서버 둘을 만들어 포털 연결 검사를 통과시킨다</t>
    </r>
  </si>
  <si>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작은 서버를 시킨다 → 생성 대기 → 도구 목록 읽기 → 포털에 등록 → 연결 검사 → 같은 뼈대로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→ 쓰기 도구를 넣어 달라고 했을 때 막히는지 확인</t>
    </r>
    <r>
      <rPr>
        <sz val="10"/>
        <rFont val="Arial"/>
        <family val="0"/>
        <charset val="1"/>
      </rPr>
      <t xml:space="preserve">.</t>
    </r>
  </si>
  <si>
    <t xml:space="preserve">내 서버 둘이 포털 연결 검사를 통과하고 쓰기 도구는 거절된다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</si>
  <si>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등록 주소를 잘못 넣는 경우가 많다 — 화면에 예시를 띄워 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</si>
  <si>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r>
      <rPr>
        <sz val="10"/>
        <rFont val="Arial"/>
        <family val="0"/>
        <charset val="1"/>
      </rPr>
      <t xml:space="preserve">[AL6] </t>
    </r>
    <r>
      <rPr>
        <sz val="10"/>
        <rFont val="Noto Sans CJK KR"/>
        <family val="2"/>
      </rPr>
      <t xml:space="preserve">위험한 안은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매겨 추천안 하나와 지는 안의 이유를 낸다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일꾼으로 세 사건 추천을 내고 값 하나를 바꿔 본다</t>
    </r>
  </si>
  <si>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(AT5</t>
    </r>
    <r>
      <rPr>
        <sz val="10"/>
        <rFont val="Noto Sans CJK KR"/>
        <family val="2"/>
      </rPr>
      <t xml:space="preserve">에서 만든 모양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붙이게 시킨다 → 금지 안이 빠지는지</t>
    </r>
    <r>
      <rPr>
        <sz val="10"/>
        <rFont val="Arial"/>
        <family val="0"/>
        <charset val="1"/>
      </rPr>
      <t xml:space="preserve">(C</t>
    </r>
    <r>
      <rPr>
        <sz val="10"/>
        <rFont val="Noto Sans CJK KR"/>
        <family val="2"/>
      </rPr>
      <t xml:space="preserve">트레이딩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남은 안을 원으로 비교해 순위 → 추천 하나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지는 안 이유 출력 → 값 하나를 바꿔 순위가 뒤집히는 경계도 내 일꾼이 찾게 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</si>
  <si>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내 일꾼이 금지 안을 빼고 추천 하나와 지는 안 이유를 내며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값을 바꾸면 순위가 바뀐다</t>
    </r>
  </si>
  <si>
    <r>
      <rPr>
        <sz val="10"/>
        <rFont val="Arial"/>
        <family val="0"/>
        <charset val="1"/>
      </rPr>
      <t xml:space="preserve">[AL7] </t>
    </r>
    <r>
      <rPr>
        <sz val="10"/>
        <rFont val="Noto Sans CJK KR"/>
        <family val="2"/>
      </rPr>
      <t xml:space="preserve">내 일꾼의 판단 다섯 건을 정답표로 자동 채점하고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일꾼의 점수와 견준다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채점기를 만들어 포털 점수와 비교한다</t>
    </r>
  </si>
  <si>
    <r>
      <rPr>
        <sz val="10"/>
        <rFont val="Noto Sans CJK KR"/>
        <family val="2"/>
      </rPr>
      <t xml:space="preserve">정답표와 판단 다섯 건을 비교해 항목별 점수를 내는 채점기를 시킨다 → 내 점수와 포털 점수를 항목별로 비교 → 다른 칸이 있으면 무엇이 달랐는지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찾는다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</si>
  <si>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내 채점기 점수와 포털 점수가 항목별로 나란히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다르면 그 이유를 적었다</t>
    </r>
  </si>
  <si>
    <r>
      <rPr>
        <sz val="10"/>
        <rFont val="Arial"/>
        <family val="0"/>
        <charset val="1"/>
      </rPr>
      <t xml:space="preserve">[BT1] </t>
    </r>
    <r>
      <rPr>
        <sz val="10"/>
        <rFont val="Noto Sans CJK KR"/>
        <family val="2"/>
      </rPr>
      <t xml:space="preserve">레시피와 오늘 저녁 요리는 다르다 — 업무 흐름의 정의와 실제 한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기호 다섯 개
해 보기</t>
    </r>
    <r>
      <rPr>
        <sz val="10"/>
        <rFont val="Arial"/>
        <family val="0"/>
        <charset val="1"/>
      </rPr>
      <t xml:space="preserve">: bpmn.io</t>
    </r>
    <r>
      <rPr>
        <sz val="10"/>
        <rFont val="Noto Sans CJK KR"/>
        <family val="2"/>
      </rPr>
      <t xml:space="preserve">로 카페 주문 흐름을 따라 그려 내보낸다</t>
    </r>
  </si>
  <si>
    <r>
      <rPr>
        <sz val="10"/>
        <rFont val="Noto Sans CJK KR"/>
        <family val="2"/>
      </rPr>
      <t xml:space="preserve">업무 흐름</t>
    </r>
    <r>
      <rPr>
        <sz val="10"/>
        <rFont val="Arial"/>
        <family val="0"/>
        <charset val="1"/>
      </rPr>
      <t xml:space="preserve">(BPMN) = </t>
    </r>
    <r>
      <rPr>
        <sz val="10"/>
        <rFont val="Noto Sans CJK KR"/>
        <family val="2"/>
      </rPr>
      <t xml:space="preserve">일의 레시피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처리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오늘의 한 건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). 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흐름을 함께 따라 그려 파일로 내보낸다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</si>
  <si>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카페 주문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</t>
    </r>
    <r>
      <rPr>
        <sz val="10"/>
        <rFont val="Arial"/>
        <family val="0"/>
        <charset val="1"/>
      </rPr>
      <t xml:space="preserve">.bpmn </t>
    </r>
    <r>
      <rPr>
        <sz val="10"/>
        <rFont val="Noto Sans CJK KR"/>
        <family val="2"/>
      </rPr>
      <t xml:space="preserve">파일로 내보냈다</t>
    </r>
  </si>
  <si>
    <t xml:space="preserve">bpmn.io</t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</si>
  <si>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도형 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 잇기가 처음 — 둘째 일부터 각자</t>
    </r>
  </si>
  <si>
    <r>
      <rPr>
        <sz val="10"/>
        <rFont val="Arial"/>
        <family val="0"/>
        <charset val="1"/>
      </rPr>
      <t xml:space="preserve">[BT2] </t>
    </r>
    <r>
      <rPr>
        <sz val="10"/>
        <rFont val="Noto Sans CJK KR"/>
        <family val="2"/>
      </rPr>
      <t xml:space="preserve">일어난 일을 시간순으로 붙이면 누가 바통을 넘기는지 보인다 — 사건 펼치기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흐름을 여는 것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 사건 포스트잇을 칸 셋에 붙이고 일 다섯 개 안팎으로 묶어 발표한다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</si>
  <si>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스토밍</t>
    </r>
    <r>
      <rPr>
        <sz val="10"/>
        <rFont val="Arial"/>
        <family val="0"/>
        <charset val="1"/>
      </rPr>
      <t xml:space="preserve">): 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 붙이고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찾는다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 — 에이전트의 진단 → 후보 → 규칙 → 제안은 일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첫 사건이 흐름을 연다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센서 경보</t>
    </r>
    <r>
      <rPr>
        <sz val="10"/>
        <rFont val="Arial"/>
        <family val="0"/>
        <charset val="1"/>
      </rPr>
      <t xml:space="preserve">(A) · </t>
    </r>
    <r>
      <rPr>
        <sz val="10"/>
        <rFont val="Noto Sans CJK KR"/>
        <family val="2"/>
      </rPr>
      <t xml:space="preserve">운전시간 계수기</t>
    </r>
    <r>
      <rPr>
        <sz val="10"/>
        <rFont val="Arial"/>
        <family val="0"/>
        <charset val="1"/>
      </rPr>
      <t xml:space="preserve">(B) · </t>
    </r>
    <r>
      <rPr>
        <sz val="10"/>
        <rFont val="Noto Sans CJK KR"/>
        <family val="2"/>
      </rPr>
      <t xml:space="preserve">재고 기준</t>
    </r>
    <r>
      <rPr>
        <sz val="10"/>
        <rFont val="Arial"/>
        <family val="0"/>
        <charset val="1"/>
      </rPr>
      <t xml:space="preserve">(C) —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.</t>
    </r>
  </si>
  <si>
    <t xml:space="preserve">포스트잇이 칸 셋에 시간순으로 붙고 일 다섯 개 안팎으로 묶였다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</si>
  <si>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</si>
  <si>
    <r>
      <rPr>
        <sz val="10"/>
        <rFont val="Arial"/>
        <family val="0"/>
        <charset val="1"/>
      </rPr>
      <t xml:space="preserve">[BT3] AI</t>
    </r>
    <r>
      <rPr>
        <sz val="10"/>
        <rFont val="Noto Sans CJK KR"/>
        <family val="2"/>
      </rPr>
      <t xml:space="preserve">가 바로 실행하면 안 된다 — 담당자가 자기 업무를 딱 한 번 승인하고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실행은 시스템이 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환불 역할극에서 승인 없이 실행하려다 막혀 본다</t>
    </r>
  </si>
  <si>
    <r>
      <rPr>
        <sz val="10"/>
        <rFont val="Noto Sans CJK KR"/>
        <family val="2"/>
      </rPr>
      <t xml:space="preserve">제안과 실행을 나눈다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승인하는 사람은 자기 업무의 담당자 한 사람 — 운전원</t>
    </r>
    <r>
      <rPr>
        <sz val="10"/>
        <rFont val="Arial"/>
        <family val="0"/>
        <charset val="1"/>
      </rPr>
      <t xml:space="preserve">(A) · </t>
    </r>
    <r>
      <rPr>
        <sz val="10"/>
        <rFont val="Noto Sans CJK KR"/>
        <family val="2"/>
      </rPr>
      <t xml:space="preserve">설비보전팀장</t>
    </r>
    <r>
      <rPr>
        <sz val="10"/>
        <rFont val="Arial"/>
        <family val="0"/>
        <charset val="1"/>
      </rPr>
      <t xml:space="preserve">(B) · </t>
    </r>
    <r>
      <rPr>
        <sz val="10"/>
        <rFont val="Noto Sans CJK KR"/>
        <family val="2"/>
      </rPr>
      <t xml:space="preserve">구매 담당</t>
    </r>
    <r>
      <rPr>
        <sz val="10"/>
        <rFont val="Arial"/>
        <family val="0"/>
        <charset val="1"/>
      </rPr>
      <t xml:space="preserve">(C), </t>
    </r>
    <r>
      <rPr>
        <sz val="10"/>
        <rFont val="Noto Sans CJK KR"/>
        <family val="2"/>
      </rPr>
      <t xml:space="preserve">한 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승인 뒤 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시스템이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환불이 안 되는 가게</t>
    </r>
    <r>
      <rPr>
        <sz val="10"/>
        <rFont val="Arial"/>
        <family val="0"/>
        <charset val="1"/>
      </rPr>
      <t xml:space="preserve">.</t>
    </r>
  </si>
  <si>
    <t xml:space="preserve">역할극에서 승인 없이는 실행이 안 되는 것을 확인했다</t>
  </si>
  <si>
    <r>
      <rPr>
        <sz val="10"/>
        <rFont val="Noto Sans CJK KR"/>
        <family val="2"/>
      </rPr>
      <t xml:space="preserve">강사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</si>
  <si>
    <r>
      <rPr>
        <sz val="10"/>
        <rFont val="Arial"/>
        <family val="0"/>
        <charset val="1"/>
      </rPr>
      <t xml:space="preserve">[BT4] </t>
    </r>
    <r>
      <rPr>
        <sz val="10"/>
        <rFont val="Noto Sans CJK KR"/>
        <family val="2"/>
      </rPr>
      <t xml:space="preserve">기다리거나 늦을 때 흐름이 갈 길을 미리 그린다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예정된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갈림길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흐름에 타이머와 갈림길을 그려 내보낸다</t>
    </r>
  </si>
  <si>
    <r>
      <rPr>
        <sz val="10"/>
        <rFont val="Noto Sans CJK KR"/>
        <family val="2"/>
      </rPr>
      <t xml:space="preserve">타이머 셋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 </t>
    </r>
    <r>
      <rPr>
        <sz val="10"/>
        <rFont val="Noto Sans CJK KR"/>
        <family val="2"/>
      </rPr>
      <t xml:space="preserve">낮에는 설비를 세울 수 없어 예정된 정비 시간까지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). bpmn.io</t>
    </r>
    <r>
      <rPr>
        <sz val="10"/>
        <rFont val="Noto Sans CJK KR"/>
        <family val="2"/>
      </rPr>
      <t xml:space="preserve">로 배달 흐름에 </t>
    </r>
    <r>
      <rPr>
        <sz val="10"/>
        <rFont val="Arial"/>
        <family val="0"/>
        <charset val="1"/>
      </rPr>
      <t xml:space="preserve">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타이머와 갈림길을 그린다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</si>
  <si>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배달 흐름에 </t>
    </r>
    <r>
      <rPr>
        <sz val="10"/>
        <rFont val="Arial"/>
        <family val="0"/>
        <charset val="1"/>
      </rPr>
      <t xml:space="preserve">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타이머와 갈림길이 있다</t>
    </r>
  </si>
  <si>
    <r>
      <rPr>
        <sz val="10"/>
        <rFont val="Arial"/>
        <family val="0"/>
        <charset val="1"/>
      </rPr>
      <t xml:space="preserve">[BT5] </t>
    </r>
    <r>
      <rPr>
        <sz val="10"/>
        <rFont val="Noto Sans CJK KR"/>
        <family val="2"/>
      </rPr>
      <t xml:space="preserve">해 놓고 끝이 아니다 — 시스템이 효과를 확인해 결과 보고를 올려야 일이 닫히고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닫힌 건이 지표가 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사건의 자동 확인 항목과 미달 때 남는 것을 표로 적는다</t>
    </r>
  </si>
  <si>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</t>
    </r>
    <r>
      <rPr>
        <sz val="10"/>
        <rFont val="Arial"/>
        <family val="0"/>
        <charset val="1"/>
      </rPr>
      <t xml:space="preserve">(A) 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</t>
    </r>
    <r>
      <rPr>
        <sz val="10"/>
        <rFont val="Arial"/>
        <family val="0"/>
        <charset val="1"/>
      </rPr>
      <t xml:space="preserve">(B) 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(C). </t>
    </r>
    <r>
      <rPr>
        <sz val="10"/>
        <rFont val="Noto Sans CJK KR"/>
        <family val="2"/>
      </rPr>
      <t xml:space="preserve">확인이 실패해도 조용히 닫지 않는다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닫힌 건이 쌓이면 지표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</t>
    </r>
    <r>
      <rPr>
        <sz val="10"/>
        <rFont val="Noto Sans CJK KR"/>
        <family val="2"/>
      </rPr>
      <t xml:space="preserve">로 돌아본다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흐름을 바꿔 배포하면 새 건부터 새 판이 쓰이고 되돌릴 수 있다</t>
    </r>
    <r>
      <rPr>
        <sz val="10"/>
        <rFont val="Arial"/>
        <family val="0"/>
        <charset val="1"/>
      </rPr>
      <t xml:space="preserve">.</t>
    </r>
  </si>
  <si>
    <t xml:space="preserve">세 사건의 자동 확인 항목과 미달 때 무엇이 남는지 말한다</t>
  </si>
  <si>
    <r>
      <rPr>
        <sz val="10"/>
        <rFont val="Arial"/>
        <family val="0"/>
        <charset val="1"/>
      </rPr>
      <t xml:space="preserve">[BPA1] </t>
    </r>
    <r>
      <rPr>
        <sz val="10"/>
        <rFont val="Noto Sans CJK KR"/>
        <family val="2"/>
      </rPr>
      <t xml:space="preserve">쿨러 과열 흐름을 그려 포털에 올린다 — 경보로 열리고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운전원 승인 없이는 명령이 못 나가게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
</t>
    </r>
    <r>
      <rPr>
        <sz val="10"/>
        <rFont val="Noto Sans CJK KR"/>
        <family val="2"/>
      </rPr>
      <t xml:space="preserve">해 보기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흐름을 그려 올리고 사전 검사를 통과시켜 배포한다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</si>
  <si>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사건을 말로 펼친다 → </t>
    </r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에 칸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담당자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시스템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 → 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지연 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정상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갈림길을 그린다 → 내보내기 → 포털에 가져오기 → 일마다 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정하기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일부러 승인을 빼고 사전 검사 → 거절 사유 읽고 고치기 → 배포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판본이 생기는 것 확인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</si>
  <si>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흐름이 사전 검사를 통과해 배포됐다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승인을 뺀 그림의 거절 사유를 봤다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</si>
  <si>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속도 차가 크다 — 늦은 학생은 견본 파일에서 이어 그리기</t>
    </r>
  </si>
  <si>
    <r>
      <rPr>
        <sz val="10"/>
        <rFont val="Arial"/>
        <family val="0"/>
        <charset val="1"/>
      </rPr>
      <t xml:space="preserve">[BPA2] </t>
    </r>
    <r>
      <rPr>
        <sz val="10"/>
        <rFont val="Noto Sans CJK KR"/>
        <family val="2"/>
      </rPr>
      <t xml:space="preserve">흐름이 올라갔으니 한 건을 끝까지 닫는다 — 경보 → 제안 → 운전원 승인 → 냉각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유온 확인 → 결과 보고
해 보기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한 건을 운전원으로 승인해 결과 보고까지 닫는다</t>
    </r>
  </si>
  <si>
    <r>
      <rPr>
        <sz val="10"/>
        <rFont val="Noto Sans CJK KR"/>
        <family val="2"/>
      </rPr>
      <t xml:space="preserve">쿨러 열화 주입 → 경보로 처리 건이 열리는 것 보기 → 일꾼 진행</t>
    </r>
    <r>
      <rPr>
        <sz val="10"/>
        <rFont val="Arial"/>
        <family val="0"/>
        <charset val="1"/>
      </rPr>
      <t xml:space="preserve">(3~4</t>
    </r>
    <r>
      <rPr>
        <sz val="10"/>
        <rFont val="Noto Sans CJK KR"/>
        <family val="2"/>
      </rPr>
      <t xml:space="preserve">분 동안 하이라이트가 어디서 멈추는지 설명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내 작업함에서 운전원으로 제안 카드 읽고 한 번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</t>
    </r>
    <r>
      <rPr>
        <sz val="10"/>
        <rFont val="Arial"/>
        <family val="0"/>
        <charset val="1"/>
      </rPr>
      <t xml:space="preserve">(45 s) →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값을 따라간다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</si>
  <si>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처리 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</si>
  <si>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[BPA3] </t>
    </r>
    <r>
      <rPr>
        <sz val="10"/>
        <rFont val="Noto Sans CJK KR"/>
        <family val="2"/>
      </rPr>
      <t xml:space="preserve">정상으로 닫아 봤으니 어긋나는 길도 밟는다 — 승인이 늦으면 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유온이 안 내려가면 미달 보고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지연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건을 하나 만들어 결과 보고를 읽는다</t>
    </r>
  </si>
  <si>
    <r>
      <rPr>
        <sz val="10"/>
        <rFont val="Noto Sans CJK KR"/>
        <family val="2"/>
      </rPr>
      <t xml:space="preserve">두 번째 건을 일으키고 승인을 일부러 미룬다 → 지연 알림이 남는 것을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실행은 여전히 </t>
    </r>
    <r>
      <rPr>
        <sz val="10"/>
        <rFont val="Arial"/>
        <family val="0"/>
        <charset val="1"/>
      </rPr>
      <t xml:space="preserve">0) → </t>
    </r>
    <r>
      <rPr>
        <sz val="10"/>
        <rFont val="Noto Sans CJK KR"/>
        <family val="2"/>
      </rPr>
      <t xml:space="preserve">승인 → 외기 고온 버튼으로 유온이 안 내려가는 조건을 만든다 → 재관측 → 미달 보고 → 처리 건 목록에서 정상 건과 나란히 보고 회복 시간 지표를 읽는다 → 되돌리기</t>
    </r>
    <r>
      <rPr>
        <sz val="10"/>
        <rFont val="Arial"/>
        <family val="0"/>
        <charset val="1"/>
      </rPr>
      <t xml:space="preserve">. A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</si>
  <si>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두 번째 건이 지연 알림 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</si>
  <si>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[BPB1]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흐름을 그려 올린다 — 예정된 정비 시간까지 기다렸다가 정비하고 시운전으로 확인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흐름을 그려 올리고 배포한다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</si>
  <si>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펼치기 → 칸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그리기 → 가져오기 → 매핑 → 사전 검사 → 배포를 학생이 먼저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단계 이름을 묻는다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 — 정비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예정된 정비 시간까지 기다리는 타이머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정비 수행 → 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기준 통과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. "</t>
    </r>
    <r>
      <rPr>
        <sz val="10"/>
        <rFont val="Noto Sans CJK KR"/>
        <family val="2"/>
      </rPr>
      <t xml:space="preserve">정비 수행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사람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정비사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하는 일이라 칸이 바뀐다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</si>
  <si>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흐름이 사전 검사를 통과해 배포됐다</t>
    </r>
  </si>
  <si>
    <r>
      <rPr>
        <sz val="10"/>
        <rFont val="Arial"/>
        <family val="0"/>
        <charset val="1"/>
      </rPr>
      <t xml:space="preserve">[BPB2]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정기 정비 한 건을 끝까지 닫는다 — 팀장 승인 →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→ 예정된 시간에 정비 → 시운전 확인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한 건을 설비보전팀장으로 승인해 결과 보고까지 닫는다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</si>
  <si>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일으키기 → 일꾼 진행 → 내 작업함 승인 → 실행 → 확인 → 결과 보고를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빨리 감기 </t>
    </r>
    <r>
      <rPr>
        <sz val="10"/>
        <rFont val="Arial"/>
        <family val="0"/>
        <charset val="1"/>
      </rPr>
      <t xml:space="preserve">+300 h</t>
    </r>
    <r>
      <rPr>
        <sz val="10"/>
        <rFont val="Noto Sans CJK KR"/>
        <family val="2"/>
      </rPr>
      <t xml:space="preserve">로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오더와 생산팀 공지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버튼으로 몇 분으로 줄임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</si>
  <si>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처리 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계수기 리셋</t>
    </r>
    <r>
      <rPr>
        <sz val="10"/>
        <rFont val="Arial"/>
        <family val="0"/>
        <charset val="1"/>
      </rPr>
      <t xml:space="preserve">)"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</si>
  <si>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[BPB3]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시운전이 기준에 못 미치면 계수기를 리셋하지 않고 미달로 닫는다
해 보기</t>
    </r>
    <r>
      <rPr>
        <sz val="10"/>
        <rFont val="Arial"/>
        <family val="0"/>
        <charset val="1"/>
      </rPr>
      <t xml:space="preserve">: B </t>
    </r>
    <r>
      <rPr>
        <sz val="10"/>
        <rFont val="Noto Sans CJK KR"/>
        <family val="2"/>
      </rPr>
      <t xml:space="preserve">시운전 미달 건을 만들어 결과 보고와 계수기를 확인한다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</si>
  <si>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 → 어긋나는 조건 → 미달 보고 → 지표 읽기를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어긋나는 곳이 승인이 아니라 시운전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</t>
    </r>
    <r>
      <rPr>
        <sz val="10"/>
        <rFont val="Arial"/>
        <family val="0"/>
        <charset val="1"/>
      </rPr>
      <t xml:space="preserve">) — </t>
    </r>
    <r>
      <rPr>
        <sz val="10"/>
        <rFont val="Noto Sans CJK KR"/>
        <family val="2"/>
      </rPr>
      <t xml:space="preserve">미달이면 계수기를 리셋하지 않아 다음 정비 도래가 그대로 남는다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정비 기한 준수 지표를 읽고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닫는다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</si>
  <si>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두 번째 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닫히고 계수기가 리셋되지 않았다</t>
    </r>
  </si>
  <si>
    <r>
      <rPr>
        <sz val="10"/>
        <rFont val="Arial"/>
        <family val="0"/>
        <charset val="1"/>
      </rPr>
      <t xml:space="preserve">[BPC1]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흐름을 그려 올린다 — 발주하고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입고될 때까지 기다리고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납기 안에 왔는지 확인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흐름을 혼자 그려 올리고 배포한다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</si>
  <si>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그리기 → 가져오기 → 매핑 → 사전 검사 → 배포를 학생이 혼자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다 그린 뒤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 — 발주안 제안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기다리는 타이머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안에 입고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기다림이 공장 밖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달려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</si>
  <si>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흐름이 사전 검사를 통과해 배포됐다</t>
    </r>
  </si>
  <si>
    <r>
      <rPr>
        <sz val="10"/>
        <rFont val="Arial"/>
        <family val="0"/>
        <charset val="1"/>
      </rPr>
      <t xml:space="preserve">[BPC2]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예비품 구매 한 건을 끝까지 닫는다 —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기다림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한 건을 구매 담당으로 승인해 결과 보고까지 닫는다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</si>
  <si>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→ 일꾼 → 승인 → 실행 → 확인 → 보고를 학생이 혼자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자재 출고 씰 키트 −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로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발주와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부서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버튼으로 줄임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끝에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가 남긴 작업지시 </t>
    </r>
    <r>
      <rPr>
        <sz val="10"/>
        <rFont val="Arial"/>
        <family val="0"/>
        <charset val="1"/>
      </rPr>
      <t xml:space="preserve">· B</t>
    </r>
    <r>
      <rPr>
        <sz val="10"/>
        <rFont val="Noto Sans CJK KR"/>
        <family val="2"/>
      </rPr>
      <t xml:space="preserve">가 쓴 씰 키트 </t>
    </r>
    <r>
      <rPr>
        <sz val="10"/>
        <rFont val="Arial"/>
        <family val="0"/>
        <charset val="1"/>
      </rPr>
      <t xml:space="preserve">· C</t>
    </r>
    <r>
      <rPr>
        <sz val="10"/>
        <rFont val="Noto Sans CJK KR"/>
        <family val="2"/>
      </rPr>
      <t xml:space="preserve">가 채운 재고를 한 줄로 잇는다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</si>
  <si>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처리 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입고 완료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</si>
  <si>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[BPC3] (</t>
    </r>
    <r>
      <rPr>
        <sz val="10"/>
        <rFont val="Noto Sans CJK KR"/>
        <family val="2"/>
      </rPr>
      <t xml:space="preserve">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납기를 넘기면 지연으로 닫는다 — 그리고 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
해 보기</t>
    </r>
    <r>
      <rPr>
        <sz val="10"/>
        <rFont val="Arial"/>
        <family val="0"/>
        <charset val="1"/>
      </rPr>
      <t xml:space="preserve">: C </t>
    </r>
    <r>
      <rPr>
        <sz val="10"/>
        <rFont val="Noto Sans CJK KR"/>
        <family val="2"/>
      </rPr>
      <t xml:space="preserve">납기 초과 건을 만들어 지연 보고를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흐름의 차이를 한 줄로 적는다</t>
    </r>
  </si>
  <si>
    <r>
      <rPr>
        <sz val="10"/>
        <rFont val="Noto Sans CJK KR"/>
        <family val="2"/>
      </rPr>
      <t xml:space="preserve">복습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 → 어긋나는 조건 → 결과 보고 → 지표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어긋나는 곳이 공장 밖 — 납기 초과 → 지연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마지막 몇 분은 강사 정리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세 흐름 모두 제안 → 한 번 승인 → 실행 → 자동 확인 → 결과 보고라는 같은 뼈대인데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 항목이 달랐다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</si>
  <si>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두 번째 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닫히고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같은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결과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한 줄로 적었다</t>
    </r>
  </si>
  <si>
    <r>
      <rPr>
        <sz val="10"/>
        <rFont val="Arial"/>
        <family val="0"/>
        <charset val="1"/>
      </rPr>
      <t xml:space="preserve">[BL1] </t>
    </r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파일을 만들어 사전 검사를 통과시킨다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</si>
  <si>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흐름을 문장으로 설명해 흐름 파일</t>
    </r>
    <r>
      <rPr>
        <sz val="10"/>
        <rFont val="Arial"/>
        <family val="0"/>
        <charset val="1"/>
      </rPr>
      <t xml:space="preserve">(BPMN)</t>
    </r>
    <r>
      <rPr>
        <sz val="10"/>
        <rFont val="Noto Sans CJK KR"/>
        <family val="2"/>
      </rPr>
      <t xml:space="preserve">을 만들게 시킨다 → </t>
    </r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로 열어 그림 확인 → 포털에 가져와 사전 검사 → 거절 사유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위치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읽기 → 고치기 지시 → 통과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</si>
  <si>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만든 흐름 파일이 사전 검사를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처음 거절 사유와 고친 곳을 적었다</t>
    </r>
  </si>
  <si>
    <r>
      <rPr>
        <sz val="10"/>
        <rFont val="Arial"/>
        <family val="0"/>
        <charset val="1"/>
      </rPr>
      <t xml:space="preserve">[BL2] </t>
    </r>
    <r>
      <rPr>
        <sz val="10"/>
        <rFont val="Noto Sans CJK KR"/>
        <family val="2"/>
      </rPr>
      <t xml:space="preserve">신호가 오면 서버가 내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맡긴다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신호를 보내 내 일꾼이 한 번 불리는지 본다</t>
    </r>
  </si>
  <si>
    <r>
      <rPr>
        <sz val="10"/>
        <rFont val="Noto Sans CJK KR"/>
        <family val="2"/>
      </rPr>
      <t xml:space="preserve">이상 신호 메시지를 받으면 내 일꾼을 불러 진단시키고 결과와 도구 호출 기록을 저장하는 작은 서버를 시킨다 → 신호를 하나 보내 본다 → 일꾼이 한 번만 불리는지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기록이 포털 일 처리 과정과 같은 모양인지 확인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</si>
  <si>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신호 한 건에 내 일꾼이 한 번 불리고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기록이 남는다</t>
    </r>
  </si>
  <si>
    <r>
      <rPr>
        <sz val="10"/>
        <rFont val="Arial"/>
        <family val="0"/>
        <charset val="1"/>
      </rPr>
      <t xml:space="preserve">[BL3] </t>
    </r>
    <r>
      <rPr>
        <sz val="10"/>
        <rFont val="Noto Sans CJK KR"/>
        <family val="2"/>
      </rPr>
      <t xml:space="preserve">사람이 승인하기 전에는 실행이 한 번도 일어나지 않는 승인 단계를 만든다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담당자를 돌려 실행 횟수를 확인한다</t>
    </r>
  </si>
  <si>
    <r>
      <rPr>
        <sz val="10"/>
        <rFont val="Noto Sans CJK KR"/>
        <family val="2"/>
      </rPr>
      <t xml:space="preserve">추천안을 받아 담당자가 승인해야만 실행 함수를 부르는 단계를 시킨다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 승인을 각각 돌려 본다 → 승인 전 실행 횟수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을 기록으로 확인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</si>
  <si>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승인 없이는 실행 함수가 한 번도 불리지 않고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담당자 승인은 거절된다</t>
    </r>
  </si>
  <si>
    <r>
      <rPr>
        <sz val="10"/>
        <rFont val="Arial"/>
        <family val="0"/>
        <charset val="1"/>
      </rPr>
      <t xml:space="preserve">[BL4] </t>
    </r>
    <r>
      <rPr>
        <sz val="10"/>
        <rFont val="Noto Sans CJK KR"/>
        <family val="2"/>
      </rPr>
      <t xml:space="preserve">신호 → 진단 → 승인 → 실행 → 자동 확인 → 결과 보고를 한 줄로 잇고 닫는다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 하나로 여섯 단계를 돌리고 미달 조건도 돌린다</t>
    </r>
  </si>
  <si>
    <r>
      <rPr>
        <sz val="10"/>
        <rFont val="Arial"/>
        <family val="0"/>
        <charset val="1"/>
      </rPr>
      <t xml:space="preserve">BL2 · BL3 </t>
    </r>
    <r>
      <rPr>
        <sz val="10"/>
        <rFont val="Noto Sans CJK KR"/>
        <family val="2"/>
      </rPr>
      <t xml:space="preserve">결과를 이어 승인되면 실행 → 재관측 →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끝나게 시킨다 → 신호 하나로 여섯 단계 기록이 순서대로 남는지 → 미달 조건으로 한 번 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</si>
  <si>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신호 하나에 여섯 단계 기록이 순서대로 남고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조건에서는 미달 보고로 끝난다</t>
    </r>
  </si>
  <si>
    <r>
      <rPr>
        <sz val="10"/>
        <rFont val="Noto Sans CJK KR"/>
        <family val="2"/>
      </rPr>
      <t xml:space="preserve">반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돕기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랩업 결과가 없는 학생은 출발본으로 이어 받는다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근거</t>
    </r>
    <r>
      <rPr>
        <sz val="10"/>
        <rFont val="Arial"/>
        <family val="0"/>
        <charset val="1"/>
      </rPr>
      <t xml:space="preserve">: CC · REOBS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</si>
  <si>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r>
      <rPr>
        <sz val="10"/>
        <rFont val="Arial"/>
        <family val="0"/>
        <charset val="1"/>
      </rPr>
      <t xml:space="preserve">[E1] </t>
    </r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실제 제품에서는 어디에 있나 —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소개와 강사 시연
해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강사 시연을 보며 내가 만든 것이 제품의 어느 화면인지 노트에 적는다</t>
    </r>
  </si>
  <si>
    <r>
      <rPr>
        <sz val="10"/>
        <rFont val="Noto Sans CJK KR"/>
        <family val="2"/>
      </rPr>
      <t xml:space="preserve">강사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): ProcessGPT</t>
    </r>
    <r>
      <rPr>
        <sz val="10"/>
        <rFont val="Noto Sans CJK KR"/>
        <family val="2"/>
      </rPr>
      <t xml:space="preserve">가 무엇이고 누가 쓰나 → 같은 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처음부터 끝까지 → 내가 만든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제품의 어느 화면인가 → 제품이 더하는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제품 안 흐름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말로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잇는 데이터 연결 — 보여 주기만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질문 받기 → 과정 노트 마지막 쪽 안내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</si>
  <si>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제품의 어느 화면인지 노트에 적었다</t>
    </r>
  </si>
  <si>
    <r>
      <rPr>
        <b val="true"/>
        <sz val="10"/>
        <color rgb="FFFFFFFF"/>
        <rFont val="Noto Sans CJK KR"/>
        <family val="2"/>
      </rPr>
      <t xml:space="preserve">통합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</si>
  <si>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통합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</si>
  <si>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</si>
  <si>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</si>
  <si>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가치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행 제목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</si>
  <si>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만들 것</t>
  </si>
  <si>
    <r>
      <rPr>
        <b val="true"/>
        <sz val="10"/>
        <color rgb="FFFFFFFF"/>
        <rFont val="Noto Sans CJK KR"/>
        <family val="2"/>
      </rPr>
      <t xml:space="preserve">지시 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말로 시키기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</si>
  <si>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콘솔에서 보이는 과정</t>
  </si>
  <si>
    <t xml:space="preserve">포털에서 비교할 같은 기능</t>
  </si>
  <si>
    <t xml:space="preserve">확인할 결과</t>
  </si>
  <si>
    <t xml:space="preserve">필요한 출발본</t>
  </si>
  <si>
    <t xml:space="preserve">L1</t>
  </si>
  <si>
    <r>
      <rPr>
        <sz val="10"/>
        <rFont val="Noto Sans CJK KR"/>
        <family val="2"/>
      </rPr>
      <t xml:space="preserve">말로 시켜 만드는 조수와 처음 일한다 — 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물어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공장을 모른다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내 눈으로 확인한다</t>
    </r>
  </si>
  <si>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남기는 첫 프로그램</t>
    </r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</si>
  <si>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쿨러 유온이 오르면 원인과 조치는</t>
    </r>
    <r>
      <rPr>
        <sz val="10"/>
        <rFont val="Arial"/>
        <family val="0"/>
        <charset val="1"/>
      </rPr>
      <t xml:space="preserve">? HYD-02 2,000 h </t>
    </r>
    <r>
      <rPr>
        <sz val="10"/>
        <rFont val="Noto Sans CJK KR"/>
        <family val="2"/>
      </rPr>
      <t xml:space="preserve">정비는 무엇을 하나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씰 키트는 어디서 사나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세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</t>
    </r>
    <r>
      <rPr>
        <sz val="10"/>
        <rFont val="Arial"/>
        <family val="0"/>
        <charset val="1"/>
      </rPr>
      <t xml:space="preserve">answers.md</t>
    </r>
    <r>
      <rPr>
        <sz val="10"/>
        <rFont val="Noto Sans CJK KR"/>
        <family val="2"/>
      </rPr>
      <t xml:space="preserve">에 남겨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</si>
  <si>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답 저장</t>
    </r>
  </si>
  <si>
    <r>
      <rPr>
        <sz val="10"/>
        <rFont val="Noto Sans CJK KR"/>
        <family val="2"/>
      </rPr>
      <t xml:space="preserve">적재 전 경보의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</si>
  <si>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세 답이 일반론이고 우리 공장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절차가 없음</t>
    </r>
  </si>
  <si>
    <r>
      <rPr>
        <sz val="10"/>
        <rFont val="Noto Sans CJK KR"/>
        <family val="2"/>
      </rPr>
      <t xml:space="preserve">랩업 작업 폴더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</si>
  <si>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t xml:space="preserve">L2</t>
  </si>
  <si>
    <r>
      <rPr>
        <sz val="10"/>
        <rFont val="Noto Sans CJK KR"/>
        <family val="2"/>
      </rPr>
      <t xml:space="preserve">지식의 틀을 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직접 세운다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</t>
    </r>
  </si>
  <si>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지식의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</si>
  <si>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틀 설명대로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유형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클래스와 관계를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고장 → 조치는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 세 관계로 나눠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</si>
  <si>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카페 그림 실행 → 틀 초안 →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검토 → 고치기 지시 → 저장</t>
    </r>
  </si>
  <si>
    <t xml:space="preserve">지식 지도의 클래스 구성</t>
  </si>
  <si>
    <r>
      <rPr>
        <sz val="10"/>
        <rFont val="Noto Sans CJK KR"/>
        <family val="2"/>
      </rPr>
      <t xml:space="preserve">클래스와 관계 셋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제약이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보임</t>
    </r>
  </si>
  <si>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DB, </t>
    </r>
    <r>
      <rPr>
        <sz val="10"/>
        <rFont val="Noto Sans CJK KR"/>
        <family val="2"/>
      </rPr>
      <t xml:space="preserve">카페 관계도 파일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틀</t>
    </r>
  </si>
  <si>
    <t xml:space="preserve">L3</t>
  </si>
  <si>
    <t xml:space="preserve">—</t>
  </si>
  <si>
    <t xml:space="preserve">공장 뼈대를 틀에 채운다 — 두 번 넣어도 같은 결과가 나와야 믿을 수 있다</t>
  </si>
  <si>
    <t xml:space="preserve">공장 뼈대 적재기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</si>
  <si>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CSV</t>
    </r>
    <r>
      <rPr>
        <sz val="10"/>
        <rFont val="Noto Sans CJK KR"/>
        <family val="2"/>
      </rPr>
      <t xml:space="preserve">의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계수기를 틀에 맞춰 넣어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두 번 실행해도 결과가 같아야 해</t>
    </r>
    <r>
      <rPr>
        <sz val="10"/>
        <rFont val="Arial"/>
        <family val="0"/>
        <charset val="1"/>
      </rPr>
      <t xml:space="preserve">."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</si>
  <si>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읽기 → 넣기 → 노드 수 → 다시 실행 → 같은 수</t>
    </r>
  </si>
  <si>
    <t xml:space="preserve">수업용 구조판</t>
  </si>
  <si>
    <r>
      <rPr>
        <sz val="10"/>
        <rFont val="Noto Sans CJK KR"/>
        <family val="2"/>
      </rPr>
      <t xml:space="preserve">두 번 실행 뒤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수 같음</t>
    </r>
  </si>
  <si>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CSV, </t>
    </r>
    <r>
      <rPr>
        <sz val="10"/>
        <rFont val="Noto Sans CJK KR"/>
        <family val="2"/>
      </rPr>
      <t xml:space="preserve">정답 적재기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오프라인은 이것을 출발본으로</t>
    </r>
    <r>
      <rPr>
        <sz val="10"/>
        <rFont val="Arial"/>
        <family val="0"/>
        <charset val="1"/>
      </rPr>
      <t xml:space="preserve">)</t>
    </r>
  </si>
  <si>
    <t xml:space="preserve">L4</t>
  </si>
  <si>
    <t xml:space="preserve">세 문서를 절차 중간에서 끊지 않고 나눈다 — 포털의 구간 나누기를 내 손으로</t>
  </si>
  <si>
    <t xml:space="preserve">문서 나누기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</si>
  <si>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세 문서를 제목 단위로 나누고 조각마다 제목과 범위를 출력해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절차 중간에서 끊지 마</t>
    </r>
    <r>
      <rPr>
        <sz val="10"/>
        <rFont val="Arial"/>
        <family val="0"/>
        <charset val="1"/>
      </rPr>
      <t xml:space="preserve">."</t>
    </r>
  </si>
  <si>
    <t xml:space="preserve">조각 목록 → 끊긴 절차가 있으면 다시 나누기</t>
  </si>
  <si>
    <t xml:space="preserve">문서 적재의 구간 나누기 결과</t>
  </si>
  <si>
    <t xml:space="preserve">조각마다 절차가 끊기지 않음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</si>
  <si>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문서 텍스트</t>
    </r>
  </si>
  <si>
    <t xml:space="preserve">L5</t>
  </si>
  <si>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</t>
    </r>
  </si>
  <si>
    <t xml:space="preserve">조각에서 지식 뽑기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</si>
  <si>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조각마다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조치와 관계를 틀에 맞춰 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없는 것은 버리고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원문 구간을 붙여 줘</t>
    </r>
    <r>
      <rPr>
        <sz val="10"/>
        <rFont val="Arial"/>
        <family val="0"/>
        <charset val="1"/>
      </rPr>
      <t xml:space="preserve">."</t>
    </r>
  </si>
  <si>
    <t xml:space="preserve">조각별 추출 → 틀 검사 → 거절 목록 → 근거 구간</t>
  </si>
  <si>
    <t xml:space="preserve">추출 제안 화면</t>
  </si>
  <si>
    <r>
      <rPr>
        <sz val="10"/>
        <rFont val="Noto Sans CJK KR"/>
        <family val="2"/>
      </rPr>
      <t xml:space="preserve">틀 밖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근거 구간</t>
    </r>
  </si>
  <si>
    <r>
      <rPr>
        <sz val="10"/>
        <rFont val="Noto Sans CJK KR"/>
        <family val="2"/>
      </rPr>
      <t xml:space="preserve">조각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추출 결과</t>
    </r>
  </si>
  <si>
    <t xml:space="preserve">L6</t>
  </si>
  <si>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</t>
    </r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</si>
  <si>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</si>
  <si>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추출 결과를 검토 목록으로 보여 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승인한 것만 고장 유형에 이어 등록해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방금 넣은 묶음을 되돌리는 명령도 만들어</t>
    </r>
    <r>
      <rPr>
        <sz val="10"/>
        <rFont val="Arial"/>
        <family val="0"/>
        <charset val="1"/>
      </rPr>
      <t xml:space="preserve">."</t>
    </r>
  </si>
  <si>
    <t xml:space="preserve">검토 목록 → 승인 → 등록 → 되돌리기 → 다시 등록</t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</si>
  <si>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</t>
    </r>
  </si>
  <si>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건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 뒤 원래대로</t>
    </r>
  </si>
  <si>
    <t xml:space="preserve">추출 결과</t>
  </si>
  <si>
    <t xml:space="preserve">L7</t>
  </si>
  <si>
    <r>
      <rPr>
        <sz val="10"/>
        <rFont val="Noto Sans CJK KR"/>
        <family val="2"/>
      </rPr>
      <t xml:space="preserve">내 지식 지도에 물으면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 — 문서만 찾아 붙인 답과 견줘 본다</t>
    </r>
  </si>
  <si>
    <r>
      <rPr>
        <sz val="10"/>
        <rFont val="Noto Sans CJK KR"/>
        <family val="2"/>
      </rPr>
      <t xml:space="preserve">지도에 물어 근거 붙여 답하기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꼭 답할 질문 검사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</si>
  <si>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내 지식 그래프에서 길을 찾아 답하고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지나간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관계와 원문 구절을 같이 보여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꼭 답할 질문 목록으로 자동 검사도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</si>
  <si>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 → 질의 생성 → 지나간 길 → 원문 구절 → 답 → 검사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실패</t>
    </r>
  </si>
  <si>
    <t xml:space="preserve">꼭 답할 질문의 답과 근거 노드</t>
  </si>
  <si>
    <r>
      <rPr>
        <sz val="10"/>
        <rFont val="Noto Sans CJK KR"/>
        <family val="2"/>
      </rPr>
      <t xml:space="preserve">세 질문 모두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구절이 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관계를 끊으면 검사 실패</t>
    </r>
  </si>
  <si>
    <r>
      <rPr>
        <sz val="10"/>
        <rFont val="Noto Sans CJK KR"/>
        <family val="2"/>
      </rPr>
      <t xml:space="preserve">등록된 지식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 예</t>
    </r>
  </si>
  <si>
    <t xml:space="preserve">L8</t>
  </si>
  <si>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표 어느 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자리만 잇는다</t>
    </r>
  </si>
  <si>
    <t xml:space="preserve">값의 자리 연결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</si>
  <si>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구조를 읽고 생산 오더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조건이 어느 표 어느 칸인지 지식에 자리로 이어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값은 넣지 마</t>
    </r>
    <r>
      <rPr>
        <sz val="10"/>
        <rFont val="Arial"/>
        <family val="0"/>
        <charset val="1"/>
      </rPr>
      <t xml:space="preserve">."</t>
    </r>
  </si>
  <si>
    <t xml:space="preserve">표 구조 읽기 → 대상 칸 → 자리 연결 → 값 노드 없음 확인 → 조회</t>
  </si>
  <si>
    <t xml:space="preserve">업무 데이터 연결</t>
  </si>
  <si>
    <r>
      <rPr>
        <sz val="10"/>
        <rFont val="Noto Sans CJK KR"/>
        <family val="2"/>
      </rPr>
      <t xml:space="preserve">자리만 생기고 값 노드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조회 값이 나옴</t>
    </r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</si>
  <si>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 파일</t>
    </r>
  </si>
  <si>
    <t xml:space="preserve">L9</t>
  </si>
  <si>
    <t xml:space="preserve">이 조치가 회사 이익의 어디에 닿고 무엇과 부딪히는지 내 지도에 묻는다</t>
  </si>
  <si>
    <t xml:space="preserve">회사 목표 층과 상충 질의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</si>
  <si>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네 관점 지표와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이것을 올리면 저것이 내려간다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는 상충 관계를 더하고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조치가 닿는 지표와 부딪히는 지표를 찾아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</si>
  <si>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추가 → 사슬 질의 → 상충 질의</t>
    </r>
  </si>
  <si>
    <t xml:space="preserve">회사 목표 층</t>
  </si>
  <si>
    <t xml:space="preserve">세 사건마다 사슬과 상충이 나옴</t>
  </si>
  <si>
    <r>
      <rPr>
        <sz val="10"/>
        <rFont val="Noto Sans CJK KR"/>
        <family val="2"/>
      </rPr>
      <t xml:space="preserve">네 관점 지표 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오프라인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실전반은 완성 지표 층</t>
    </r>
    <r>
      <rPr>
        <sz val="10"/>
        <rFont val="Arial"/>
        <family val="0"/>
        <charset val="1"/>
      </rPr>
      <t xml:space="preserve">)</t>
    </r>
  </si>
  <si>
    <t xml:space="preserve">L10</t>
  </si>
  <si>
    <t xml:space="preserve">스스로 무엇을 확인할지 정해 한 단계씩 밟는 작은 일꾼을 만든다</t>
  </si>
  <si>
    <t xml:space="preserve">작은 일꾼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</si>
  <si>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무엇을 확인할지 정하고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준비된 함수로 값을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판단해 답하는 작은 일꾼을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단계마다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찍어</t>
    </r>
    <r>
      <rPr>
        <sz val="10"/>
        <rFont val="Arial"/>
        <family val="0"/>
        <charset val="1"/>
      </rPr>
      <t xml:space="preserve">."</t>
    </r>
  </si>
  <si>
    <t xml:space="preserve">생각 → 함수 호출 → 관찰 → 판단 반복 기록</t>
  </si>
  <si>
    <t xml:space="preserve">질문하기의 도구 호출 과정</t>
  </si>
  <si>
    <t xml:space="preserve">한 질문에 관찰 → 판단 → 행동이 두 번 이상</t>
  </si>
  <si>
    <r>
      <rPr>
        <sz val="10"/>
        <rFont val="Noto Sans CJK KR"/>
        <family val="2"/>
      </rPr>
      <t xml:space="preserve">함수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빈 작업 폴더</t>
    </r>
  </si>
  <si>
    <t xml:space="preserve">L11</t>
  </si>
  <si>
    <t xml:space="preserve">내 일꾼이 쿨러의 지금 유온과 팬 지시값을 직접 묻게 도구를 붙인다</t>
  </si>
  <si>
    <t xml:space="preserve">지금 값 조회 도구</t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</si>
  <si>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지금 유온과 팬 지시값을 돌려주는 함수를 도구로 등록해 일꾼이 필요할 때 부르게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</si>
  <si>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도구 목록 →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답</t>
    </r>
  </si>
  <si>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써 보기</t>
    </r>
  </si>
  <si>
    <t xml:space="preserve">도구 값이 포털 그래프와 같음</t>
  </si>
  <si>
    <r>
      <rPr>
        <sz val="10"/>
        <rFont val="Noto Sans CJK KR"/>
        <family val="2"/>
      </rPr>
      <t xml:space="preserve">시계열 읽기 주소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오프라인은 완성 도구를 출발본으로</t>
    </r>
    <r>
      <rPr>
        <sz val="10"/>
        <rFont val="Arial"/>
        <family val="0"/>
        <charset val="1"/>
      </rPr>
      <t xml:space="preserve">)</t>
    </r>
  </si>
  <si>
    <t xml:space="preserve">L12</t>
  </si>
  <si>
    <t xml:space="preserve">내가 만든 지식 지도를 규격으로 꽂아 일꾼이 직접 길을 찾게 한다 — 쓰기는 거절된다</t>
  </si>
  <si>
    <t xml:space="preserve">지식 지도 꽂기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</si>
  <si>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지식 그래프 연결로 먼저 틀을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질문을 질의로 찾아 근거와 함께 답해 줘</t>
    </r>
    <r>
      <rPr>
        <sz val="10"/>
        <rFont val="Arial"/>
        <family val="0"/>
        <charset val="1"/>
      </rPr>
      <t xml:space="preserve">." → </t>
    </r>
    <r>
      <rPr>
        <sz val="10"/>
        <rFont val="Noto Sans CJK KR"/>
        <family val="2"/>
      </rPr>
      <t xml:space="preserve">이어서 쓰기 요청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</si>
  <si>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 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 질의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질의 생성 → 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쓰기는 거절</t>
    </r>
  </si>
  <si>
    <t xml:space="preserve">지식 지도 도구</t>
  </si>
  <si>
    <r>
      <rPr>
        <sz val="10"/>
        <rFont val="Noto Sans CJK KR"/>
        <family val="2"/>
      </rPr>
      <t xml:space="preserve">답이 내 지도 답</t>
    </r>
    <r>
      <rPr>
        <sz val="10"/>
        <rFont val="Arial"/>
        <family val="0"/>
        <charset val="1"/>
      </rPr>
      <t xml:space="preserve">(OL7)</t>
    </r>
    <r>
      <rPr>
        <sz val="10"/>
        <rFont val="Noto Sans CJK KR"/>
        <family val="2"/>
      </rPr>
      <t xml:space="preserve">과 같고 쓰기 거절</t>
    </r>
  </si>
  <si>
    <t xml:space="preserve">읽기 전용 연결 설정 파일</t>
  </si>
  <si>
    <t xml:space="preserve">L13</t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</si>
  <si>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 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만들어 포털에 등록하고 연결 검사를 통과시킨다</t>
    </r>
  </si>
  <si>
    <t xml:space="preserve">내 업무 도구 서버 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</si>
  <si>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에서 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계획을 읽기만 하는 작은 도구 서버를 만들어 줘</t>
    </r>
    <r>
      <rPr>
        <sz val="10"/>
        <rFont val="Arial"/>
        <family val="0"/>
        <charset val="1"/>
      </rPr>
      <t xml:space="preserve">." → "</t>
    </r>
    <r>
      <rPr>
        <sz val="10"/>
        <rFont val="Noto Sans CJK KR"/>
        <family val="2"/>
      </rPr>
      <t xml:space="preserve">같은 뼈대로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읽는 서버도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</si>
  <si>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서버 생성 → 연결 → 도구 목록 →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→ 포털 등록</t>
    </r>
  </si>
  <si>
    <r>
      <rPr>
        <sz val="10"/>
        <rFont val="Noto Sans CJK KR"/>
        <family val="2"/>
      </rPr>
      <t xml:space="preserve">도구 서버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</si>
  <si>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포털 연결 검사 통과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거절</t>
    </r>
  </si>
  <si>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읽기 주소</t>
    </r>
  </si>
  <si>
    <t xml:space="preserve">L14</t>
  </si>
  <si>
    <t xml:space="preserve">작업 요령을 써서 일꾼이 확인하는 순서를 바꾼다</t>
  </si>
  <si>
    <t xml:space="preserve">작업 요령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</si>
  <si>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정기 정비를 볼 때 기한 → 허용 오차 → 생산 오더 → 인력 → 부품 순으로 확인하라는 요령 문서를 써서 붙이고 같은 질문을 다시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</si>
  <si>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호출 순서 비교</t>
    </r>
  </si>
  <si>
    <t xml:space="preserve">요령 붙이기</t>
  </si>
  <si>
    <t xml:space="preserve">첫 호출 순서가 바뀜</t>
  </si>
  <si>
    <t xml:space="preserve">요령 문서 틀</t>
  </si>
  <si>
    <t xml:space="preserve">L15</t>
  </si>
  <si>
    <r>
      <rPr>
        <sz val="10"/>
        <rFont val="Noto Sans CJK KR"/>
        <family val="2"/>
      </rPr>
      <t xml:space="preserve">위험한 안은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매겨 추천안 하나와 지는 안의 이유를 낸다</t>
    </r>
  </si>
  <si>
    <t xml:space="preserve">규칙으로 빼고 돈으로 순위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</si>
  <si>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조건 하나와 결과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제외 또는 감점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로 된 규칙을 붙이고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안을 돈으로 비교해 추천 하나와 지는 안 이유를 내게 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 하나를 바꾸면 순위가 어떻게 되는지도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</si>
  <si>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규칙 →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→ 손익 계산 → 순위 → 추천 → 값 바꿔 다시</t>
    </r>
  </si>
  <si>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</t>
    </r>
  </si>
  <si>
    <t xml:space="preserve">금지 안이 빠지고 값을 바꾸면 순위가 바뀜</t>
  </si>
  <si>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후보 안 예</t>
    </r>
  </si>
  <si>
    <t xml:space="preserve">L16</t>
  </si>
  <si>
    <r>
      <rPr>
        <sz val="10"/>
        <rFont val="Noto Sans CJK KR"/>
        <family val="2"/>
      </rPr>
      <t xml:space="preserve">내 일꾼의 판단 다섯 건을 정답표로 자동 채점하고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일꾼의 점수와 견준다</t>
    </r>
  </si>
  <si>
    <t xml:space="preserve">채점기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</si>
  <si>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일꾼 판단 다섯 건을 비교해 항목별 점수를 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점수와 나란히 보여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</si>
  <si>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읽기 → 항목별 일치 → 합계 → 포털 점수 비교</t>
    </r>
  </si>
  <si>
    <t xml:space="preserve">내 점수와 포털 점수가 항목별로 나란히</t>
  </si>
  <si>
    <r>
      <rPr>
        <sz val="10"/>
        <rFont val="Noto Sans CJK KR"/>
        <family val="2"/>
      </rPr>
      <t xml:space="preserve">정답표 양식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채움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다섯 건</t>
    </r>
  </si>
  <si>
    <t xml:space="preserve">L17</t>
  </si>
  <si>
    <r>
      <rPr>
        <sz val="10"/>
        <rFont val="Noto Sans CJK KR"/>
        <family val="2"/>
      </rPr>
      <t xml:space="preserve">지금까지 붙인 것을 한 일꾼에 모아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일꾼과 같은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근거를 내는지 겨뤄 본다</t>
    </r>
  </si>
  <si>
    <t xml:space="preserve">모은 일꾼 겨루기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</si>
  <si>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지금까지 만든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규칙을 한 일꾼에 모아 쿨러 사건 추천안을 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 결과와 비교해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</si>
  <si>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연결 목록 → 도구 호출 순서 →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→ 비교표</t>
    </r>
  </si>
  <si>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판단 채점</t>
    </r>
  </si>
  <si>
    <r>
      <rPr>
        <sz val="10"/>
        <rFont val="Noto Sans CJK KR"/>
        <family val="2"/>
      </rPr>
      <t xml:space="preserve">추천이 같고 근거가 붙음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다르면 이유</t>
    </r>
    <r>
      <rPr>
        <sz val="10"/>
        <rFont val="Arial"/>
        <family val="0"/>
        <charset val="1"/>
      </rPr>
      <t xml:space="preserve">)</t>
    </r>
  </si>
  <si>
    <t xml:space="preserve">앞 랩업 결과</t>
  </si>
  <si>
    <t xml:space="preserve">L18</t>
  </si>
  <si>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</t>
    </r>
  </si>
  <si>
    <t xml:space="preserve">말로 흐름 파일 만들기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</si>
  <si>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쿨러 경보로 시작해 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 → 유온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끝나는 흐름 파일을 칸 셋으로 만들어 줘</t>
    </r>
    <r>
      <rPr>
        <sz val="10"/>
        <rFont val="Arial"/>
        <family val="0"/>
        <charset val="1"/>
      </rPr>
      <t xml:space="preserve">."</t>
    </r>
  </si>
  <si>
    <t xml:space="preserve">흐름 파일 생성 → 포털 가져오기 → 사전 검사 사유 → 고치기 지시 → 통과</t>
  </si>
  <si>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</t>
    </r>
  </si>
  <si>
    <t xml:space="preserve">사전 검사 통과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</si>
  <si>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 설명 문장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견본 파일</t>
    </r>
  </si>
  <si>
    <t xml:space="preserve">L19</t>
  </si>
  <si>
    <r>
      <rPr>
        <sz val="10"/>
        <rFont val="Noto Sans CJK KR"/>
        <family val="2"/>
      </rPr>
      <t xml:space="preserve">신호가 오면 서버가 내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맡긴다</t>
    </r>
  </si>
  <si>
    <t xml:space="preserve">신호로 일꾼 자동 호출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</si>
  <si>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이상 신호 메시지를 받으면 내 일꾼을 불러 진단을 시키고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결과와 도구 호출 기록을 저장해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</si>
  <si>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신호 수신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도구 호출 기록 → 결과 저장 → 다음 신호 대기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</si>
  <si>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</t>
    </r>
  </si>
  <si>
    <r>
      <rPr>
        <sz val="10"/>
        <rFont val="Noto Sans CJK KR"/>
        <family val="2"/>
      </rPr>
      <t xml:space="preserve">신호 한 건에 한 번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기록 남음</t>
    </r>
  </si>
  <si>
    <r>
      <rPr>
        <sz val="10"/>
        <rFont val="Noto Sans CJK KR"/>
        <family val="2"/>
      </rPr>
      <t xml:space="preserve">신호 메시지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수신 주소</t>
    </r>
  </si>
  <si>
    <t xml:space="preserve">L20</t>
  </si>
  <si>
    <t xml:space="preserve">사람이 승인하기 전에는 실행이 한 번도 일어나지 않는 승인 단계를 만든다</t>
  </si>
  <si>
    <t xml:space="preserve">사람 승인 단계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</si>
  <si>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일꾼의 추천안을 받아 담당자가 승인해야만 실행 함수를 부르는 단계를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담당자를 각각 돌려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</si>
  <si>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추천안 → 승인 대기 → 승인 시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시 끝</t>
    </r>
  </si>
  <si>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</si>
  <si>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</si>
  <si>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r>
      <rPr>
        <sz val="10"/>
        <rFont val="Noto Sans CJK KR"/>
        <family val="2"/>
      </rPr>
      <t xml:space="preserve">추천안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단계 뼈대</t>
    </r>
  </si>
  <si>
    <t xml:space="preserve">L21</t>
  </si>
  <si>
    <t xml:space="preserve">신호 → 진단 → 승인 → 실행 → 자동 확인 → 결과 보고를 한 줄로 잇고 닫는다</t>
  </si>
  <si>
    <t xml:space="preserve">한 줄로 잇고 닫기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</si>
  <si>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자동 진단 결과를 승인 단계로 넘기고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승인되면 실행 → 재관측 →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끝나게 이어 줘</t>
    </r>
    <r>
      <rPr>
        <sz val="10"/>
        <rFont val="Arial"/>
        <family val="0"/>
        <charset val="1"/>
      </rPr>
      <t xml:space="preserve">."</t>
    </r>
  </si>
  <si>
    <t xml:space="preserve">신호 → 진단 → 승인 대기 → 승인 → 실행 → 확인 → 보고</t>
  </si>
  <si>
    <t xml:space="preserve">처리 건 진행</t>
  </si>
  <si>
    <r>
      <rPr>
        <sz val="10"/>
        <rFont val="Noto Sans CJK KR"/>
        <family val="2"/>
      </rPr>
      <t xml:space="preserve">여섯 단계가 순서대로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보고도 남음</t>
    </r>
  </si>
  <si>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단계 결과</t>
    </r>
  </si>
  <si>
    <t xml:space="preserve">L22</t>
  </si>
  <si>
    <t xml:space="preserve">승인이 기한 안에 오지 않으면 지연 알림을 보낸다 — 실행은 여전히 승인 뒤에만</t>
  </si>
  <si>
    <t xml:space="preserve">승인 지연 알림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</si>
  <si>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승인 단계에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정해진 시간 안에 승인이 없으면 지연 알림을 남긴다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를 더해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실행은 여전히 승인 뒤에만</t>
    </r>
    <r>
      <rPr>
        <sz val="10"/>
        <rFont val="Arial"/>
        <family val="0"/>
        <charset val="1"/>
      </rPr>
      <t xml:space="preserve">."</t>
    </r>
  </si>
  <si>
    <t xml:space="preserve">승인 대기 → 시간 초과 → 지연 알림 → 실행 없음 → 승인 → 실행</t>
  </si>
  <si>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</si>
  <si>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</si>
  <si>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t xml:space="preserve">한 줄 잇기 결과</t>
  </si>
  <si>
    <r>
      <rPr>
        <sz val="10"/>
        <rFont val="Noto Sans CJK KR"/>
        <family val="2"/>
      </rPr>
      <t xml:space="preserve">랩업은 포털에서 방금 끝까지 써 본 기능을 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</t>
    </r>
    <r>
      <rPr>
        <sz val="10"/>
        <rFont val="Arial"/>
        <family val="0"/>
        <charset val="1"/>
      </rPr>
      <t xml:space="preserve">(Claude Code)</t>
    </r>
    <r>
      <rPr>
        <sz val="10"/>
        <rFont val="Noto Sans CJK KR"/>
        <family val="2"/>
      </rPr>
      <t xml:space="preserve">에게 말로 시켜 다시 만드는 곳이다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행마다 강사 시연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 → 학생 따라 만들기 → 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출발본으로 되돌리기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가 들어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끝은 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포털의 같은 기능과 같은 결과인가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맞춰 본다</t>
    </r>
    <r>
      <rPr>
        <sz val="10"/>
        <rFont val="Arial"/>
        <family val="0"/>
        <charset val="1"/>
      </rPr>
      <t xml:space="preserve">. "—"</t>
    </r>
    <r>
      <rPr>
        <sz val="10"/>
        <rFont val="Noto Sans CJK KR"/>
        <family val="2"/>
      </rPr>
      <t xml:space="preserve">는 그 실라버스에 없는 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출발본으로 줌</t>
    </r>
    <r>
      <rPr>
        <sz val="10"/>
        <rFont val="Arial"/>
        <family val="0"/>
        <charset val="1"/>
      </rPr>
      <t xml:space="preserve">).</t>
    </r>
  </si>
  <si>
    <t xml:space="preserve">단계</t>
  </si>
  <si>
    <t xml:space="preserve">내용</t>
  </si>
  <si>
    <t xml:space="preserve">1</t>
  </si>
  <si>
    <t xml:space="preserve">지식의 틀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</si>
  <si>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공급사의 틀을 읽고 세운다</t>
    </r>
  </si>
  <si>
    <t xml:space="preserve">9, 10, 11, 12, 19, 35</t>
  </si>
  <si>
    <t xml:space="preserve">9, 10, 11, 12, 18, 34</t>
  </si>
  <si>
    <t xml:space="preserve">9, 10, 11, 14, 30</t>
  </si>
  <si>
    <t xml:space="preserve">9, 10, 11, 12, 16, 32</t>
  </si>
  <si>
    <t xml:space="preserve">2</t>
  </si>
  <si>
    <t xml:space="preserve">공장 뼈대</t>
  </si>
  <si>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계수기를 중복 없이 넣는다</t>
    </r>
  </si>
  <si>
    <t xml:space="preserve">19, 36</t>
  </si>
  <si>
    <t xml:space="preserve">18</t>
  </si>
  <si>
    <t xml:space="preserve">14</t>
  </si>
  <si>
    <t xml:space="preserve">16</t>
  </si>
  <si>
    <t xml:space="preserve">3</t>
  </si>
  <si>
    <t xml:space="preserve">문서 → 지식</t>
  </si>
  <si>
    <r>
      <rPr>
        <sz val="10"/>
        <rFont val="Noto Sans CJK KR"/>
        <family val="2"/>
      </rPr>
      <t xml:space="preserve">세 문서를 나누고 뽑고 검토해 등록한다</t>
    </r>
    <r>
      <rPr>
        <sz val="10"/>
        <rFont val="Arial"/>
        <family val="0"/>
        <charset val="1"/>
      </rPr>
      <t xml:space="preserve">(A → B → C)</t>
    </r>
  </si>
  <si>
    <t xml:space="preserve">13, 14, 20, 25, 30, 37, 38, 39</t>
  </si>
  <si>
    <t xml:space="preserve">13, 14, 19, 24, 29, 35, 36, 37</t>
  </si>
  <si>
    <t xml:space="preserve">12, 15, 20, 25, 31, 32, 33</t>
  </si>
  <si>
    <t xml:space="preserve">13, 14, 17, 22, 27, 33, 34, 35</t>
  </si>
  <si>
    <t xml:space="preserve">4</t>
  </si>
  <si>
    <t xml:space="preserve">지식에 묻기</t>
  </si>
  <si>
    <t xml:space="preserve">꼭 답할 질문으로 근거 있는 답을 확인한다</t>
  </si>
  <si>
    <t xml:space="preserve">15, 16, 21, 26, 31, 40</t>
  </si>
  <si>
    <t xml:space="preserve">15, 20, 25, 30, 38</t>
  </si>
  <si>
    <t xml:space="preserve">16, 21, 26, 34</t>
  </si>
  <si>
    <t xml:space="preserve">18, 23, 28, 36</t>
  </si>
  <si>
    <t xml:space="preserve">5</t>
  </si>
  <si>
    <t xml:space="preserve">지금 값의 자리</t>
  </si>
  <si>
    <r>
      <rPr>
        <sz val="10"/>
        <rFont val="Noto Sans CJK KR"/>
        <family val="2"/>
      </rPr>
      <t xml:space="preserve">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 지식에는 자리만 잇는다</t>
    </r>
  </si>
  <si>
    <t xml:space="preserve">17, 22, 27, 32, 41</t>
  </si>
  <si>
    <t xml:space="preserve">16, 21, 26, 31, 39</t>
  </si>
  <si>
    <t xml:space="preserve">17, 22, 27, 35</t>
  </si>
  <si>
    <t xml:space="preserve">19, 24, 29, 37</t>
  </si>
  <si>
    <t xml:space="preserve">6</t>
  </si>
  <si>
    <t xml:space="preserve">회사 목표</t>
  </si>
  <si>
    <r>
      <rPr>
        <sz val="10"/>
        <rFont val="Noto Sans CJK KR"/>
        <family val="2"/>
      </rPr>
      <t xml:space="preserve">조치를 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상충에 잇는다</t>
    </r>
  </si>
  <si>
    <t xml:space="preserve">18, 23, 28, 33, 42</t>
  </si>
  <si>
    <t xml:space="preserve">17, 22, 27, 32</t>
  </si>
  <si>
    <t xml:space="preserve">13, 18, 23, 28</t>
  </si>
  <si>
    <t xml:space="preserve">15, 20, 25, 30</t>
  </si>
  <si>
    <t xml:space="preserve">7</t>
  </si>
  <si>
    <t xml:space="preserve">일꾼 만들기</t>
  </si>
  <si>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요령을 붙인다</t>
    </r>
  </si>
  <si>
    <t xml:space="preserve">43, 44, 45, 46, 51, 55, 59, 63, 64, 65, 66, 67</t>
  </si>
  <si>
    <t xml:space="preserve">40, 41, 42, 43, 48, 52, 56, 60, 61, 62</t>
  </si>
  <si>
    <t xml:space="preserve">36, 37, 38, 42, 46, 50, 54, 55, 56</t>
  </si>
  <si>
    <t xml:space="preserve">38, 39, 40, 41, 45, 49, 53, 57, 58, 59</t>
  </si>
  <si>
    <t xml:space="preserve">8</t>
  </si>
  <si>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흔들기</t>
    </r>
  </si>
  <si>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손익으로 추천 하나를 받고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값을 바꿔 경계를 찾는다</t>
    </r>
  </si>
  <si>
    <t xml:space="preserve">47, 48, 49, 52, 53, 56, 57, 60, 61, 68</t>
  </si>
  <si>
    <t xml:space="preserve">44, 45, 46, 49, 50, 53, 54, 57, 58, 63</t>
  </si>
  <si>
    <t xml:space="preserve">39, 40, 43, 44, 47, 48, 51, 52, 57</t>
  </si>
  <si>
    <t xml:space="preserve">42, 43, 46, 47, 50, 51, 54, 55, 60</t>
  </si>
  <si>
    <t xml:space="preserve">9</t>
  </si>
  <si>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겨루기</t>
    </r>
  </si>
  <si>
    <t xml:space="preserve">정답표로 여러 번 채점하고 포털 일꾼과 견준다</t>
  </si>
  <si>
    <t xml:space="preserve">50, 54, 58, 62, 69, 70</t>
  </si>
  <si>
    <t xml:space="preserve">47, 51, 55, 59, 64</t>
  </si>
  <si>
    <t xml:space="preserve">41, 45, 49, 53, 58</t>
  </si>
  <si>
    <t xml:space="preserve">44, 48, 52, 56, 61</t>
  </si>
  <si>
    <t xml:space="preserve">10</t>
  </si>
  <si>
    <r>
      <rPr>
        <sz val="10"/>
        <rFont val="Noto Sans CJK KR"/>
        <family val="2"/>
      </rPr>
      <t xml:space="preserve">흐름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올리기</t>
    </r>
  </si>
  <si>
    <r>
      <rPr>
        <sz val="10"/>
        <rFont val="Noto Sans CJK KR"/>
        <family val="2"/>
      </rPr>
      <t xml:space="preserve">칸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5~6</t>
    </r>
    <r>
      <rPr>
        <sz val="10"/>
        <rFont val="Noto Sans CJK KR"/>
        <family val="2"/>
      </rPr>
      <t xml:space="preserve">개 흐름을 그려 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</si>
  <si>
    <t xml:space="preserve">71, 72, 74, 76, 79, 82, 85</t>
  </si>
  <si>
    <t xml:space="preserve">65, 66, 68, 70, 73, 76, 79</t>
  </si>
  <si>
    <t xml:space="preserve">59, 60, 62, 64, 67, 70</t>
  </si>
  <si>
    <t xml:space="preserve">62, 63, 65, 67, 70, 73, 76</t>
  </si>
  <si>
    <t xml:space="preserve">11</t>
  </si>
  <si>
    <t xml:space="preserve">한 건 닫기</t>
  </si>
  <si>
    <t xml:space="preserve">자동 시작 → 제안 → 한 번 승인 → 실행 → 자동 확인 → 결과 보고</t>
  </si>
  <si>
    <t xml:space="preserve">73, 75, 77, 80, 83, 86, 87, 88</t>
  </si>
  <si>
    <t xml:space="preserve">67, 69, 71, 74, 77, 80, 81, 82</t>
  </si>
  <si>
    <t xml:space="preserve">61, 63, 65, 68, 71, 73, 74, 75</t>
  </si>
  <si>
    <t xml:space="preserve">64, 66, 68, 71, 74, 77, 78, 79</t>
  </si>
  <si>
    <t xml:space="preserve">12</t>
  </si>
  <si>
    <t xml:space="preserve">어긋나는 길</t>
  </si>
  <si>
    <r>
      <rPr>
        <sz val="10"/>
        <rFont val="Noto Sans CJK KR"/>
        <family val="2"/>
      </rPr>
      <t xml:space="preserve">승인 지연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지연</t>
    </r>
  </si>
  <si>
    <t xml:space="preserve">78, 81, 84, 89</t>
  </si>
  <si>
    <t xml:space="preserve">72, 75, 78</t>
  </si>
  <si>
    <t xml:space="preserve">66, 69, 72</t>
  </si>
  <si>
    <t xml:space="preserve">69, 72, 75</t>
  </si>
  <si>
    <t xml:space="preserve">막</t>
  </si>
  <si>
    <t xml:space="preserve">통합 영상</t>
  </si>
  <si>
    <t xml:space="preserve">통합 오프라인</t>
  </si>
  <si>
    <t xml:space="preserve">실전 영상</t>
  </si>
  <si>
    <t xml:space="preserve">실전 오프라인</t>
  </si>
  <si>
    <t xml:space="preserve">막 합계</t>
  </si>
  <si>
    <t xml:space="preserve">전체 합계</t>
  </si>
  <si>
    <t xml:space="preserve">고정 합계</t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</si>
  <si>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합계 − 고정</t>
    </r>
    <r>
      <rPr>
        <b val="true"/>
        <sz val="10"/>
        <rFont val="Arial"/>
        <family val="0"/>
        <charset val="1"/>
      </rPr>
      <t xml:space="preserve">)</t>
    </r>
  </si>
  <si>
    <t xml:space="preserve">시트 합계와 같은가</t>
  </si>
  <si>
    <r>
      <rPr>
        <b val="true"/>
        <sz val="10"/>
        <rFont val="Noto Sans CJK KR"/>
        <family val="2"/>
      </rPr>
      <t xml:space="preserve">세 막 비율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목표 온톨로지 </t>
    </r>
    <r>
      <rPr>
        <b val="true"/>
        <sz val="10"/>
        <rFont val="Arial"/>
        <family val="0"/>
        <charset val="1"/>
      </rPr>
      <t xml:space="preserve">40 : </t>
    </r>
    <r>
      <rPr>
        <b val="true"/>
        <sz val="10"/>
        <rFont val="Noto Sans CJK KR"/>
        <family val="2"/>
      </rPr>
      <t xml:space="preserve">에이전트 </t>
    </r>
    <r>
      <rPr>
        <b val="true"/>
        <sz val="10"/>
        <rFont val="Arial"/>
        <family val="0"/>
        <charset val="1"/>
      </rPr>
      <t xml:space="preserve">35 : BPMN 25)</t>
    </r>
  </si>
  <si>
    <t xml:space="preserve">고정 구간</t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</si>
  <si>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지식 자산화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S1 · S2)</t>
    </r>
  </si>
  <si>
    <r>
      <rPr>
        <sz val="10"/>
        <rFont val="Noto Sans CJK KR"/>
        <family val="2"/>
      </rPr>
      <t xml:space="preserve">마무리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</t>
    </r>
  </si>
  <si>
    <r>
      <rPr>
        <sz val="10"/>
        <rFont val="Noto Sans CJK KR"/>
        <family val="2"/>
      </rPr>
      <t xml:space="preserve">포털 사건 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회색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은 사건별 몫이다 — </t>
    </r>
    <r>
      <rPr>
        <sz val="10"/>
        <rFont val="Arial"/>
        <family val="0"/>
        <charset val="1"/>
      </rPr>
      <t xml:space="preserve">A : B : C ≈ 4 : 3 : 3(A</t>
    </r>
    <r>
      <rPr>
        <sz val="10"/>
        <rFont val="Noto Sans CJK KR"/>
        <family val="2"/>
      </rPr>
      <t xml:space="preserve">는 처음이라 조금 더</t>
    </r>
    <r>
      <rPr>
        <sz val="10"/>
        <rFont val="Arial"/>
        <family val="0"/>
        <charset val="1"/>
      </rPr>
      <t xml:space="preserve">, B · C</t>
    </r>
    <r>
      <rPr>
        <sz val="10"/>
        <rFont val="Noto Sans CJK KR"/>
        <family val="2"/>
      </rPr>
      <t xml:space="preserve">는 복습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새로운 점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막 합계는 이론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.</t>
    </r>
  </si>
  <si>
    <t xml:space="preserve">약칭</t>
  </si>
  <si>
    <t xml:space="preserve">값과 출처</t>
  </si>
  <si>
    <r>
      <rPr>
        <b val="true"/>
        <sz val="10"/>
        <color rgb="FFFFFFFF"/>
        <rFont val="Noto Sans CJK KR"/>
        <family val="2"/>
      </rPr>
      <t xml:space="preserve">쓰인 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통합 영상 </t>
    </r>
    <r>
      <rPr>
        <b val="true"/>
        <sz val="10"/>
        <color rgb="FFFFFFFF"/>
        <rFont val="Arial"/>
        <family val="0"/>
        <charset val="1"/>
      </rPr>
      <t xml:space="preserve">No)</t>
    </r>
  </si>
  <si>
    <t xml:space="preserve">CASE</t>
  </si>
  <si>
    <r>
      <rPr>
        <sz val="10"/>
        <rFont val="Noto Sans CJK KR"/>
        <family val="2"/>
      </rPr>
      <t xml:space="preserve">쿨러 처리 건 전체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작업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종결</t>
    </r>
    <r>
      <rPr>
        <sz val="10"/>
        <rFont val="Arial"/>
        <family val="0"/>
        <charset val="1"/>
      </rPr>
      <t xml:space="preserve">) 4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55</t>
    </r>
    <r>
      <rPr>
        <sz val="10"/>
        <rFont val="Noto Sans CJK KR"/>
        <family val="2"/>
      </rPr>
      <t xml:space="preserve">초 — </t>
    </r>
    <r>
      <rPr>
        <sz val="10"/>
        <rFont val="Arial"/>
        <family val="0"/>
        <charset val="1"/>
      </rPr>
      <t xml:space="preserve">HANDOFF.md A154</t>
    </r>
  </si>
  <si>
    <t xml:space="preserve">6, 77</t>
  </si>
  <si>
    <t xml:space="preserve">W4</t>
  </si>
  <si>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진단 → 후보 → 규칙 → 순위</t>
    </r>
    <r>
      <rPr>
        <sz val="10"/>
        <rFont val="Arial"/>
        <family val="0"/>
        <charset val="1"/>
      </rPr>
      <t xml:space="preserve">) 3~4</t>
    </r>
    <r>
      <rPr>
        <sz val="10"/>
        <rFont val="Noto Sans CJK KR"/>
        <family val="2"/>
      </rPr>
      <t xml:space="preserve">분 — </t>
    </r>
    <r>
      <rPr>
        <sz val="10"/>
        <rFont val="Arial"/>
        <family val="0"/>
        <charset val="1"/>
      </rPr>
      <t xml:space="preserve">HANDOFF.md A158</t>
    </r>
  </si>
  <si>
    <t xml:space="preserve">6, 19, 52, 53, 54, 56, 57, 58, 60, 61, 62, 69, 70, 77, 80, 83</t>
  </si>
  <si>
    <t xml:space="preserve">REOBS</t>
  </si>
  <si>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15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÷ </t>
    </r>
    <r>
      <rPr>
        <sz val="10"/>
        <rFont val="Noto Sans CJK KR"/>
        <family val="2"/>
      </rPr>
      <t xml:space="preserve">배속 </t>
    </r>
    <r>
      <rPr>
        <sz val="10"/>
        <rFont val="Arial"/>
        <family val="0"/>
        <charset val="1"/>
      </rPr>
      <t xml:space="preserve">20 = 45 s — CLAUDE.md §3, scenario-research.md §9</t>
    </r>
  </si>
  <si>
    <t xml:space="preserve">6, 77, 78, 88</t>
  </si>
  <si>
    <t xml:space="preserve">RAISE</t>
  </si>
  <si>
    <r>
      <rPr>
        <sz val="10"/>
        <rFont val="Noto Sans CJK KR"/>
        <family val="2"/>
      </rPr>
      <t xml:space="preserve">경보 발생 </t>
    </r>
    <r>
      <rPr>
        <sz val="10"/>
        <rFont val="Arial"/>
        <family val="0"/>
        <charset val="1"/>
      </rPr>
      <t xml:space="preserve">16~33 s(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32.7 s) — HANDOFF.md A128</t>
    </r>
  </si>
  <si>
    <t xml:space="preserve">EXT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</si>
  <si>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문서 추출 </t>
    </r>
    <r>
      <rPr>
        <sz val="10"/>
        <rFont val="Arial"/>
        <family val="0"/>
        <charset val="1"/>
      </rPr>
      <t xml:space="preserve">127~158 s — HANDOFF.md A098 · A128</t>
    </r>
  </si>
  <si>
    <t xml:space="preserve">20, 25, 30, 38</t>
  </si>
  <si>
    <t xml:space="preserve">CC</t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</si>
  <si>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지시 한 번 생성 </t>
    </r>
    <r>
      <rPr>
        <sz val="10"/>
        <rFont val="Arial"/>
        <family val="0"/>
        <charset val="1"/>
      </rPr>
      <t xml:space="preserve">1~3</t>
    </r>
    <r>
      <rPr>
        <sz val="10"/>
        <rFont val="Noto Sans CJK KR"/>
        <family val="2"/>
      </rPr>
      <t xml:space="preserve">분 — 실측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가까운 근거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추출 </t>
    </r>
    <r>
      <rPr>
        <sz val="10"/>
        <rFont val="Arial"/>
        <family val="0"/>
        <charset val="1"/>
      </rPr>
      <t xml:space="preserve">127~158 s(A098 · A128)</t>
    </r>
  </si>
  <si>
    <t xml:space="preserve">34, 35, 36, 37, 38, 39, 40, 41, 42, 63, 64, 65, 66, 67, 68, 69, 70, 85, 86, 87, 88, 89</t>
  </si>
  <si>
    <t xml:space="preserve">WAIT</t>
  </si>
  <si>
    <r>
      <rPr>
        <sz val="10"/>
        <rFont val="Noto Sans CJK KR"/>
        <family val="2"/>
      </rPr>
      <t xml:space="preserve">예정된 정비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기다림은 수업 버튼으로 몇 분으로 줄인다 — 시나리오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문서</t>
    </r>
  </si>
  <si>
    <t xml:space="preserve">80, 81, 83, 84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</si>
</sst>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Noto Sans CJK KR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Noto Sans CJK KR"/>
      <family val="2"/>
    </font>
    <font>
      <sz val="10"/>
      <name val="Noto Sans CJK KR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Noto Sans CJK KR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08080"/>
      <name val="Noto Sans CJK KR"/>
      <family val="2"/>
    </font>
    <font>
      <sz val="10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BDD7EE"/>
        <bgColor rgb="FFC8C8C8"/>
      </patternFill>
    </fill>
    <fill>
      <patternFill patternType="solid">
        <fgColor rgb="FFEDEDED"/>
        <bgColor rgb="FFEAF2FB"/>
      </patternFill>
    </fill>
    <fill>
      <patternFill patternType="solid">
        <fgColor rgb="FFEAF2FB"/>
        <bgColor rgb="FFEAF7EE"/>
      </patternFill>
    </fill>
    <fill>
      <patternFill patternType="solid">
        <fgColor rgb="FFEAF7EE"/>
        <bgColor rgb="FFEAF2FB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4858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2CC"/>
      <rgbColor rgb="FFEAF7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B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36.39"/>
    <col collapsed="false" customWidth="true" hidden="false" outlineLevel="0" max="4" min="4" style="0" width="45.49"/>
    <col collapsed="false" customWidth="true" hidden="false" outlineLevel="0" max="5" min="5" style="0" width="40.03"/>
    <col collapsed="false" customWidth="true" hidden="false" outlineLevel="0" max="9" min="6" style="0" width="10.92"/>
  </cols>
  <sheetData>
    <row r="1" customFormat="false" ht="27.75" hidden="false" customHeight="true" outlineLevel="0" collapsed="false">
      <c r="B1" s="1" t="s">
        <v>0</v>
      </c>
      <c r="C1" s="2" t="s">
        <v>1</v>
      </c>
      <c r="D1" s="2"/>
      <c r="E1" s="2"/>
      <c r="F1" s="2"/>
      <c r="G1" s="2"/>
      <c r="H1" s="2"/>
      <c r="I1" s="2"/>
    </row>
    <row r="2" customFormat="false" ht="27.75" hidden="false" customHeight="true" outlineLevel="0" collapsed="false">
      <c r="B2" s="1" t="s">
        <v>2</v>
      </c>
      <c r="C2" s="2" t="s">
        <v>3</v>
      </c>
      <c r="D2" s="2"/>
      <c r="E2" s="2"/>
      <c r="F2" s="2"/>
      <c r="G2" s="2"/>
      <c r="H2" s="2"/>
      <c r="I2" s="2"/>
    </row>
    <row r="3" customFormat="false" ht="27.75" hidden="false" customHeight="true" outlineLevel="0" collapsed="false">
      <c r="B3" s="1" t="s">
        <v>4</v>
      </c>
      <c r="C3" s="2" t="s">
        <v>5</v>
      </c>
      <c r="D3" s="2"/>
      <c r="E3" s="2"/>
      <c r="F3" s="2"/>
      <c r="G3" s="2"/>
      <c r="H3" s="2"/>
      <c r="I3" s="2"/>
    </row>
    <row r="4" customFormat="false" ht="45" hidden="false" customHeight="true" outlineLevel="0" collapsed="false">
      <c r="B4" s="1" t="s">
        <v>6</v>
      </c>
      <c r="C4" s="2" t="s">
        <v>7</v>
      </c>
      <c r="D4" s="2"/>
      <c r="E4" s="2"/>
      <c r="F4" s="2"/>
      <c r="G4" s="2"/>
      <c r="H4" s="2"/>
      <c r="I4" s="2"/>
    </row>
    <row r="5" customFormat="false" ht="27.75" hidden="false" customHeight="true" outlineLevel="0" collapsed="false">
      <c r="B5" s="1" t="s">
        <v>8</v>
      </c>
      <c r="C5" s="2" t="s">
        <v>9</v>
      </c>
      <c r="D5" s="2"/>
      <c r="E5" s="2"/>
      <c r="F5" s="2"/>
      <c r="G5" s="2"/>
      <c r="H5" s="2"/>
      <c r="I5" s="2"/>
    </row>
    <row r="6" customFormat="false" ht="45" hidden="false" customHeight="true" outlineLevel="0" collapsed="false">
      <c r="B6" s="1" t="s">
        <v>10</v>
      </c>
      <c r="C6" s="2" t="s">
        <v>11</v>
      </c>
      <c r="D6" s="2"/>
      <c r="E6" s="2"/>
      <c r="F6" s="2"/>
      <c r="G6" s="2"/>
      <c r="H6" s="2"/>
      <c r="I6" s="2"/>
    </row>
    <row r="7" customFormat="false" ht="27.75" hidden="false" customHeight="true" outlineLevel="0" collapsed="false">
      <c r="B7" s="1" t="s">
        <v>12</v>
      </c>
      <c r="C7" s="2" t="s">
        <v>13</v>
      </c>
      <c r="D7" s="2"/>
      <c r="E7" s="2"/>
      <c r="F7" s="2"/>
      <c r="G7" s="2"/>
      <c r="H7" s="2"/>
      <c r="I7" s="2"/>
    </row>
    <row r="8" customFormat="false" ht="45" hidden="false" customHeight="true" outlineLevel="0" collapsed="false">
      <c r="B8" s="1" t="s">
        <v>14</v>
      </c>
      <c r="C8" s="3" t="s">
        <v>15</v>
      </c>
      <c r="D8" s="3"/>
      <c r="E8" s="3"/>
      <c r="F8" s="3"/>
      <c r="G8" s="3"/>
      <c r="H8" s="3"/>
      <c r="I8" s="3"/>
    </row>
    <row r="9" customFormat="false" ht="45" hidden="false" customHeight="true" outlineLevel="0" collapsed="false">
      <c r="B9" s="1" t="s">
        <v>16</v>
      </c>
      <c r="C9" s="2" t="s">
        <v>17</v>
      </c>
      <c r="D9" s="2"/>
      <c r="E9" s="2"/>
      <c r="F9" s="2"/>
      <c r="G9" s="2"/>
      <c r="H9" s="2"/>
      <c r="I9" s="2"/>
    </row>
    <row r="10" customFormat="false" ht="27.75" hidden="false" customHeight="true" outlineLevel="0" collapsed="false">
      <c r="B10" s="1" t="s">
        <v>18</v>
      </c>
      <c r="C10" s="2" t="s">
        <v>19</v>
      </c>
      <c r="D10" s="2"/>
      <c r="E10" s="2"/>
      <c r="F10" s="2"/>
      <c r="G10" s="2"/>
      <c r="H10" s="2"/>
      <c r="I10" s="2"/>
    </row>
    <row r="12" customFormat="false" ht="29.85" hidden="false" customHeight="false" outlineLevel="0" collapsed="false">
      <c r="A12" s="4" t="s">
        <v>20</v>
      </c>
      <c r="B12" s="4" t="s">
        <v>21</v>
      </c>
      <c r="C12" s="4" t="s">
        <v>22</v>
      </c>
      <c r="D12" s="4" t="s">
        <v>23</v>
      </c>
      <c r="E12" s="4" t="s">
        <v>24</v>
      </c>
      <c r="F12" s="4" t="s">
        <v>25</v>
      </c>
      <c r="G12" s="4" t="s">
        <v>26</v>
      </c>
      <c r="H12" s="4" t="s">
        <v>27</v>
      </c>
      <c r="I12" s="4" t="s">
        <v>28</v>
      </c>
    </row>
    <row r="13" customFormat="false" ht="69.75" hidden="false" customHeight="true" outlineLevel="0" collapsed="false">
      <c r="A13" s="5" t="n">
        <v>1</v>
      </c>
      <c r="B13" s="2" t="s">
        <v>29</v>
      </c>
      <c r="C13" s="2" t="s">
        <v>30</v>
      </c>
      <c r="D13" s="2" t="s">
        <v>31</v>
      </c>
      <c r="E13" s="5" t="s">
        <v>32</v>
      </c>
      <c r="F13" s="5" t="n">
        <f aca="false">'07_시간 배분'!D3</f>
        <v>175</v>
      </c>
      <c r="G13" s="5" t="n">
        <f aca="false">'07_시간 배분'!E3</f>
        <v>190</v>
      </c>
      <c r="H13" s="5" t="n">
        <f aca="false">'07_시간 배분'!F3</f>
        <v>150</v>
      </c>
      <c r="I13" s="5" t="n">
        <f aca="false">'07_시간 배분'!G3</f>
        <v>170</v>
      </c>
    </row>
    <row r="14" customFormat="false" ht="69.75" hidden="false" customHeight="true" outlineLevel="0" collapsed="false">
      <c r="A14" s="5" t="n">
        <v>2</v>
      </c>
      <c r="B14" s="2" t="s">
        <v>33</v>
      </c>
      <c r="C14" s="2" t="s">
        <v>34</v>
      </c>
      <c r="D14" s="2" t="s">
        <v>35</v>
      </c>
      <c r="E14" s="5" t="s">
        <v>36</v>
      </c>
      <c r="F14" s="5" t="n">
        <f aca="false">'07_시간 배분'!D10</f>
        <v>975</v>
      </c>
      <c r="G14" s="5" t="n">
        <f aca="false">'07_시간 배분'!E10</f>
        <v>925</v>
      </c>
      <c r="H14" s="5" t="n">
        <f aca="false">'07_시간 배분'!F10</f>
        <v>690</v>
      </c>
      <c r="I14" s="5" t="n">
        <f aca="false">'07_시간 배분'!G10</f>
        <v>835</v>
      </c>
    </row>
    <row r="15" customFormat="false" ht="69.75" hidden="false" customHeight="true" outlineLevel="0" collapsed="false">
      <c r="A15" s="5" t="n">
        <v>3</v>
      </c>
      <c r="B15" s="2" t="s">
        <v>37</v>
      </c>
      <c r="C15" s="2" t="s">
        <v>38</v>
      </c>
      <c r="D15" s="2" t="s">
        <v>39</v>
      </c>
      <c r="E15" s="5" t="s">
        <v>36</v>
      </c>
      <c r="F15" s="5" t="n">
        <f aca="false">'07_시간 배분'!D17</f>
        <v>840</v>
      </c>
      <c r="G15" s="5" t="n">
        <f aca="false">'07_시간 배분'!E17</f>
        <v>770</v>
      </c>
      <c r="H15" s="5" t="n">
        <f aca="false">'07_시간 배분'!F17</f>
        <v>605</v>
      </c>
      <c r="I15" s="5" t="n">
        <f aca="false">'07_시간 배분'!G17</f>
        <v>700</v>
      </c>
    </row>
    <row r="16" customFormat="false" ht="69.75" hidden="false" customHeight="true" outlineLevel="0" collapsed="false">
      <c r="A16" s="5" t="n">
        <v>4</v>
      </c>
      <c r="B16" s="3" t="s">
        <v>40</v>
      </c>
      <c r="C16" s="2" t="s">
        <v>41</v>
      </c>
      <c r="D16" s="2" t="s">
        <v>42</v>
      </c>
      <c r="E16" s="5" t="s">
        <v>36</v>
      </c>
      <c r="F16" s="5" t="n">
        <f aca="false">'07_시간 배분'!D24</f>
        <v>610</v>
      </c>
      <c r="G16" s="5" t="n">
        <f aca="false">'07_시간 배분'!E24</f>
        <v>595</v>
      </c>
      <c r="H16" s="5" t="n">
        <f aca="false">'07_시간 배분'!F24</f>
        <v>445</v>
      </c>
      <c r="I16" s="5" t="n">
        <f aca="false">'07_시간 배분'!G24</f>
        <v>545</v>
      </c>
    </row>
    <row r="17" customFormat="false" ht="69.75" hidden="false" customHeight="true" outlineLevel="0" collapsed="false">
      <c r="A17" s="5" t="n">
        <v>5</v>
      </c>
      <c r="B17" s="2" t="s">
        <v>43</v>
      </c>
      <c r="C17" s="2" t="s">
        <v>44</v>
      </c>
      <c r="D17" s="2" t="s">
        <v>45</v>
      </c>
      <c r="E17" s="5" t="s">
        <v>32</v>
      </c>
      <c r="F17" s="5" t="n">
        <f aca="false">'07_시간 배분'!D26</f>
        <v>40</v>
      </c>
      <c r="G17" s="5" t="n">
        <f aca="false">'07_시간 배분'!E26</f>
        <v>40</v>
      </c>
      <c r="H17" s="5" t="n">
        <f aca="false">'07_시간 배분'!F26</f>
        <v>30</v>
      </c>
      <c r="I17" s="5" t="n">
        <f aca="false">'07_시간 배분'!G26</f>
        <v>30</v>
      </c>
    </row>
    <row r="18" customFormat="false" ht="15" hidden="false" customHeight="false" outlineLevel="0" collapsed="false">
      <c r="B18" s="1" t="s">
        <v>46</v>
      </c>
      <c r="F18" s="6" t="n">
        <f aca="false">SUM(F13:F17)</f>
        <v>2640</v>
      </c>
      <c r="G18" s="6" t="n">
        <f aca="false">SUM(G13:G17)</f>
        <v>2520</v>
      </c>
      <c r="H18" s="6" t="n">
        <f aca="false">SUM(H13:H17)</f>
        <v>1920</v>
      </c>
      <c r="I18" s="6" t="n">
        <f aca="false">SUM(I13:I17)</f>
        <v>2280</v>
      </c>
    </row>
    <row r="19" customFormat="false" ht="15" hidden="false" customHeight="false" outlineLevel="0" collapsed="false">
      <c r="B19" s="1" t="s">
        <v>47</v>
      </c>
      <c r="F19" s="7" t="n">
        <v>2640</v>
      </c>
      <c r="G19" s="7" t="n">
        <v>2520</v>
      </c>
      <c r="H19" s="7" t="n">
        <v>1920</v>
      </c>
      <c r="I19" s="7" t="n">
        <v>2280</v>
      </c>
    </row>
    <row r="20" customFormat="false" ht="15" hidden="false" customHeight="false" outlineLevel="0" collapsed="false">
      <c r="B20" s="1" t="s">
        <v>48</v>
      </c>
      <c r="F20" s="6" t="n">
        <f aca="false">F18-F19</f>
        <v>0</v>
      </c>
      <c r="G20" s="6" t="n">
        <f aca="false">G18-G19</f>
        <v>0</v>
      </c>
      <c r="H20" s="6" t="n">
        <f aca="false">H18-H19</f>
        <v>0</v>
      </c>
      <c r="I20" s="6" t="n">
        <f aca="false">I18-I19</f>
        <v>0</v>
      </c>
    </row>
    <row r="22" customFormat="false" ht="15" hidden="false" customHeight="true" outlineLevel="0" collapsed="false">
      <c r="B22" s="1" t="s">
        <v>49</v>
      </c>
      <c r="C22" s="3" t="s">
        <v>50</v>
      </c>
      <c r="D22" s="3"/>
      <c r="E22" s="3"/>
      <c r="F22" s="3"/>
      <c r="G22" s="3"/>
      <c r="H22" s="3"/>
      <c r="I22" s="3"/>
    </row>
  </sheetData>
  <mergeCells count="11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22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4" min="3" style="0" width="5.46"/>
    <col collapsed="false" customWidth="true" hidden="false" outlineLevel="0" max="5" min="5" style="0" width="38.21"/>
    <col collapsed="false" customWidth="true" hidden="false" outlineLevel="0" max="6" min="6" style="0" width="72.79"/>
    <col collapsed="false" customWidth="true" hidden="false" outlineLevel="0" max="7" min="7" style="0" width="23.66"/>
    <col collapsed="false" customWidth="true" hidden="false" outlineLevel="0" max="8" min="8" style="0" width="18.2"/>
    <col collapsed="false" customWidth="true" hidden="false" outlineLevel="0" max="10" min="9" style="0" width="8.19"/>
    <col collapsed="false" customWidth="true" hidden="false" outlineLevel="0" max="11" min="11" style="0" width="7.28"/>
    <col collapsed="false" customWidth="true" hidden="false" outlineLevel="0" max="12" min="12" style="0" width="32.76"/>
  </cols>
  <sheetData>
    <row r="1" customFormat="false" ht="44" hidden="false" customHeight="false" outlineLevel="0" collapsed="false">
      <c r="A1" s="8" t="s">
        <v>51</v>
      </c>
      <c r="B1" s="4" t="s">
        <v>20</v>
      </c>
      <c r="C1" s="4" t="s">
        <v>52</v>
      </c>
      <c r="D1" s="4" t="s">
        <v>24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  <c r="L1" s="4" t="s">
        <v>60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("&amp;SUM(K3:K8)&amp;"분)"</f>
        <v>1. 시작 — 공장의 값이 업무가 되기까지, 우리가 끝까지 만들 것을 먼저 본다  (175분)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58.2" hidden="false" customHeight="false" outlineLevel="0" collapsed="false">
      <c r="A3" s="10" t="n">
        <v>1</v>
      </c>
      <c r="B3" s="11" t="s">
        <v>61</v>
      </c>
      <c r="C3" s="11" t="s">
        <v>61</v>
      </c>
      <c r="D3" s="11"/>
      <c r="E3" s="3" t="s">
        <v>62</v>
      </c>
      <c r="F3" s="2" t="s">
        <v>63</v>
      </c>
      <c r="G3" s="2" t="s">
        <v>64</v>
      </c>
      <c r="H3" s="2" t="s">
        <v>65</v>
      </c>
      <c r="I3" s="7" t="n">
        <v>20</v>
      </c>
      <c r="J3" s="7" t="n">
        <v>0</v>
      </c>
      <c r="K3" s="5" t="n">
        <f aca="false">I3+J3</f>
        <v>20</v>
      </c>
      <c r="L3" s="2"/>
    </row>
    <row r="4" customFormat="false" ht="58.2" hidden="false" customHeight="false" outlineLevel="0" collapsed="false">
      <c r="A4" s="11" t="n">
        <v>2</v>
      </c>
      <c r="B4" s="11" t="s">
        <v>61</v>
      </c>
      <c r="C4" s="11" t="s">
        <v>61</v>
      </c>
      <c r="D4" s="11"/>
      <c r="E4" s="3" t="s">
        <v>66</v>
      </c>
      <c r="F4" s="2" t="s">
        <v>67</v>
      </c>
      <c r="G4" s="3" t="s">
        <v>68</v>
      </c>
      <c r="H4" s="2" t="s">
        <v>65</v>
      </c>
      <c r="I4" s="7" t="n">
        <v>10</v>
      </c>
      <c r="J4" s="7" t="n">
        <v>30</v>
      </c>
      <c r="K4" s="5" t="n">
        <f aca="false">I4+J4</f>
        <v>40</v>
      </c>
      <c r="L4" s="2" t="s">
        <v>69</v>
      </c>
    </row>
    <row r="5" customFormat="false" ht="58.2" hidden="false" customHeight="false" outlineLevel="0" collapsed="false">
      <c r="A5" s="11" t="n">
        <v>3</v>
      </c>
      <c r="B5" s="11" t="s">
        <v>61</v>
      </c>
      <c r="C5" s="11" t="s">
        <v>61</v>
      </c>
      <c r="D5" s="11"/>
      <c r="E5" s="3" t="s">
        <v>70</v>
      </c>
      <c r="F5" s="2" t="s">
        <v>71</v>
      </c>
      <c r="G5" s="3" t="s">
        <v>72</v>
      </c>
      <c r="H5" s="2" t="s">
        <v>65</v>
      </c>
      <c r="I5" s="7" t="n">
        <v>15</v>
      </c>
      <c r="J5" s="7" t="n">
        <v>10</v>
      </c>
      <c r="K5" s="5" t="n">
        <f aca="false">I5+J5</f>
        <v>25</v>
      </c>
      <c r="L5" s="2"/>
    </row>
    <row r="6" customFormat="false" ht="72.35" hidden="false" customHeight="false" outlineLevel="0" collapsed="false">
      <c r="A6" s="11" t="n">
        <v>4</v>
      </c>
      <c r="B6" s="11" t="s">
        <v>61</v>
      </c>
      <c r="C6" s="11" t="s">
        <v>61</v>
      </c>
      <c r="D6" s="11"/>
      <c r="E6" s="3" t="s">
        <v>73</v>
      </c>
      <c r="F6" s="2" t="s">
        <v>74</v>
      </c>
      <c r="G6" s="2" t="s">
        <v>75</v>
      </c>
      <c r="H6" s="2" t="s">
        <v>65</v>
      </c>
      <c r="I6" s="7" t="n">
        <v>15</v>
      </c>
      <c r="J6" s="7" t="n">
        <v>10</v>
      </c>
      <c r="K6" s="5" t="n">
        <f aca="false">I6+J6</f>
        <v>25</v>
      </c>
      <c r="L6" s="2" t="s">
        <v>76</v>
      </c>
    </row>
    <row r="7" customFormat="false" ht="58.2" hidden="false" customHeight="false" outlineLevel="0" collapsed="false">
      <c r="A7" s="11" t="n">
        <v>5</v>
      </c>
      <c r="B7" s="11" t="s">
        <v>61</v>
      </c>
      <c r="C7" s="11" t="s">
        <v>61</v>
      </c>
      <c r="D7" s="11"/>
      <c r="E7" s="3" t="s">
        <v>77</v>
      </c>
      <c r="F7" s="2" t="s">
        <v>78</v>
      </c>
      <c r="G7" s="2" t="s">
        <v>79</v>
      </c>
      <c r="H7" s="2" t="s">
        <v>65</v>
      </c>
      <c r="I7" s="7" t="n">
        <v>15</v>
      </c>
      <c r="J7" s="7" t="n">
        <v>10</v>
      </c>
      <c r="K7" s="5" t="n">
        <f aca="false">I7+J7</f>
        <v>25</v>
      </c>
      <c r="L7" s="2"/>
    </row>
    <row r="8" customFormat="false" ht="100.7" hidden="false" customHeight="false" outlineLevel="0" collapsed="false">
      <c r="A8" s="11" t="n">
        <v>6</v>
      </c>
      <c r="B8" s="11" t="s">
        <v>61</v>
      </c>
      <c r="C8" s="11" t="s">
        <v>61</v>
      </c>
      <c r="D8" s="10" t="s">
        <v>32</v>
      </c>
      <c r="E8" s="3" t="s">
        <v>80</v>
      </c>
      <c r="F8" s="2" t="s">
        <v>81</v>
      </c>
      <c r="G8" s="2" t="s">
        <v>82</v>
      </c>
      <c r="H8" s="2" t="s">
        <v>83</v>
      </c>
      <c r="I8" s="7" t="n">
        <v>15</v>
      </c>
      <c r="J8" s="7" t="n">
        <v>25</v>
      </c>
      <c r="K8" s="5" t="n">
        <f aca="false">I8+J8</f>
        <v>40</v>
      </c>
      <c r="L8" s="2" t="s">
        <v>84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("&amp;SUM(K10:K45)&amp;"분)"</f>
        <v>2. 온톨로지 — 문서를 공장의 지식 지도로 만들면 AI가 근거를 들고 답한다  (975분)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customFormat="false" ht="72.35" hidden="false" customHeight="false" outlineLevel="0" collapsed="false">
      <c r="A10" s="12" t="n">
        <v>7</v>
      </c>
      <c r="B10" s="13" t="s">
        <v>85</v>
      </c>
      <c r="C10" s="13" t="s">
        <v>86</v>
      </c>
      <c r="D10" s="13"/>
      <c r="E10" s="3" t="s">
        <v>87</v>
      </c>
      <c r="F10" s="2" t="s">
        <v>88</v>
      </c>
      <c r="G10" s="2" t="s">
        <v>89</v>
      </c>
      <c r="H10" s="2" t="s">
        <v>90</v>
      </c>
      <c r="I10" s="7" t="n">
        <v>20</v>
      </c>
      <c r="J10" s="7" t="n">
        <v>5</v>
      </c>
      <c r="K10" s="5" t="n">
        <f aca="false">I10+J10</f>
        <v>25</v>
      </c>
      <c r="L10" s="2"/>
    </row>
    <row r="11" customFormat="false" ht="72.35" hidden="false" customHeight="false" outlineLevel="0" collapsed="false">
      <c r="A11" s="13" t="n">
        <v>8</v>
      </c>
      <c r="B11" s="13" t="s">
        <v>85</v>
      </c>
      <c r="C11" s="13" t="s">
        <v>86</v>
      </c>
      <c r="D11" s="13"/>
      <c r="E11" s="3" t="s">
        <v>91</v>
      </c>
      <c r="F11" s="2" t="s">
        <v>92</v>
      </c>
      <c r="G11" s="2" t="s">
        <v>93</v>
      </c>
      <c r="H11" s="2" t="s">
        <v>90</v>
      </c>
      <c r="I11" s="7" t="n">
        <v>25</v>
      </c>
      <c r="J11" s="7" t="n">
        <v>0</v>
      </c>
      <c r="K11" s="5" t="n">
        <f aca="false">I11+J11</f>
        <v>25</v>
      </c>
      <c r="L11" s="2"/>
    </row>
    <row r="12" customFormat="false" ht="72.35" hidden="false" customHeight="false" outlineLevel="0" collapsed="false">
      <c r="A12" s="13" t="n">
        <v>9</v>
      </c>
      <c r="B12" s="13" t="s">
        <v>85</v>
      </c>
      <c r="C12" s="13" t="s">
        <v>86</v>
      </c>
      <c r="D12" s="13"/>
      <c r="E12" s="3" t="s">
        <v>94</v>
      </c>
      <c r="F12" s="2" t="s">
        <v>95</v>
      </c>
      <c r="G12" s="2" t="s">
        <v>96</v>
      </c>
      <c r="H12" s="2" t="s">
        <v>90</v>
      </c>
      <c r="I12" s="7" t="n">
        <v>30</v>
      </c>
      <c r="J12" s="7" t="n">
        <v>0</v>
      </c>
      <c r="K12" s="5" t="n">
        <f aca="false">I12+J12</f>
        <v>30</v>
      </c>
      <c r="L12" s="2"/>
    </row>
    <row r="13" customFormat="false" ht="72.35" hidden="false" customHeight="false" outlineLevel="0" collapsed="false">
      <c r="A13" s="13" t="n">
        <v>10</v>
      </c>
      <c r="B13" s="13" t="s">
        <v>85</v>
      </c>
      <c r="C13" s="13" t="s">
        <v>86</v>
      </c>
      <c r="D13" s="13"/>
      <c r="E13" s="3" t="s">
        <v>97</v>
      </c>
      <c r="F13" s="2" t="s">
        <v>98</v>
      </c>
      <c r="G13" s="3" t="s">
        <v>99</v>
      </c>
      <c r="H13" s="2" t="s">
        <v>90</v>
      </c>
      <c r="I13" s="7" t="n">
        <v>5</v>
      </c>
      <c r="J13" s="7" t="n">
        <v>20</v>
      </c>
      <c r="K13" s="5" t="n">
        <f aca="false">I13+J13</f>
        <v>25</v>
      </c>
      <c r="L13" s="2" t="s">
        <v>100</v>
      </c>
    </row>
    <row r="14" customFormat="false" ht="72.35" hidden="false" customHeight="false" outlineLevel="0" collapsed="false">
      <c r="A14" s="13" t="n">
        <v>11</v>
      </c>
      <c r="B14" s="13" t="s">
        <v>85</v>
      </c>
      <c r="C14" s="13" t="s">
        <v>86</v>
      </c>
      <c r="D14" s="13"/>
      <c r="E14" s="3" t="s">
        <v>101</v>
      </c>
      <c r="F14" s="2" t="s">
        <v>102</v>
      </c>
      <c r="G14" s="2" t="s">
        <v>103</v>
      </c>
      <c r="H14" s="2" t="s">
        <v>90</v>
      </c>
      <c r="I14" s="7" t="n">
        <v>20</v>
      </c>
      <c r="J14" s="7" t="n">
        <v>5</v>
      </c>
      <c r="K14" s="5" t="n">
        <f aca="false">I14+J14</f>
        <v>25</v>
      </c>
      <c r="L14" s="2"/>
    </row>
    <row r="15" customFormat="false" ht="86.55" hidden="false" customHeight="false" outlineLevel="0" collapsed="false">
      <c r="A15" s="13" t="n">
        <v>12</v>
      </c>
      <c r="B15" s="13" t="s">
        <v>85</v>
      </c>
      <c r="C15" s="13" t="s">
        <v>86</v>
      </c>
      <c r="D15" s="13"/>
      <c r="E15" s="3" t="s">
        <v>104</v>
      </c>
      <c r="F15" s="2" t="s">
        <v>105</v>
      </c>
      <c r="G15" s="2" t="s">
        <v>106</v>
      </c>
      <c r="H15" s="2" t="s">
        <v>90</v>
      </c>
      <c r="I15" s="7" t="n">
        <v>15</v>
      </c>
      <c r="J15" s="7" t="n">
        <v>5</v>
      </c>
      <c r="K15" s="5" t="n">
        <f aca="false">I15+J15</f>
        <v>20</v>
      </c>
      <c r="L15" s="2"/>
    </row>
    <row r="16" customFormat="false" ht="72.35" hidden="false" customHeight="false" outlineLevel="0" collapsed="false">
      <c r="A16" s="13" t="n">
        <v>13</v>
      </c>
      <c r="B16" s="13" t="s">
        <v>85</v>
      </c>
      <c r="C16" s="13" t="s">
        <v>86</v>
      </c>
      <c r="D16" s="13"/>
      <c r="E16" s="3" t="s">
        <v>107</v>
      </c>
      <c r="F16" s="2" t="s">
        <v>108</v>
      </c>
      <c r="G16" s="2" t="s">
        <v>109</v>
      </c>
      <c r="H16" s="2" t="s">
        <v>90</v>
      </c>
      <c r="I16" s="7" t="n">
        <v>15</v>
      </c>
      <c r="J16" s="7" t="n">
        <v>10</v>
      </c>
      <c r="K16" s="5" t="n">
        <f aca="false">I16+J16</f>
        <v>25</v>
      </c>
      <c r="L16" s="2" t="s">
        <v>110</v>
      </c>
    </row>
    <row r="17" customFormat="false" ht="86.55" hidden="false" customHeight="false" outlineLevel="0" collapsed="false">
      <c r="A17" s="13" t="n">
        <v>14</v>
      </c>
      <c r="B17" s="13" t="s">
        <v>85</v>
      </c>
      <c r="C17" s="13" t="s">
        <v>86</v>
      </c>
      <c r="D17" s="13"/>
      <c r="E17" s="3" t="s">
        <v>111</v>
      </c>
      <c r="F17" s="2" t="s">
        <v>112</v>
      </c>
      <c r="G17" s="2" t="s">
        <v>113</v>
      </c>
      <c r="H17" s="2" t="s">
        <v>90</v>
      </c>
      <c r="I17" s="7" t="n">
        <v>20</v>
      </c>
      <c r="J17" s="7" t="n">
        <v>10</v>
      </c>
      <c r="K17" s="5" t="n">
        <f aca="false">I17+J17</f>
        <v>30</v>
      </c>
      <c r="L17" s="2"/>
    </row>
    <row r="18" customFormat="false" ht="72.35" hidden="false" customHeight="false" outlineLevel="0" collapsed="false">
      <c r="A18" s="13" t="n">
        <v>15</v>
      </c>
      <c r="B18" s="13" t="s">
        <v>85</v>
      </c>
      <c r="C18" s="13" t="s">
        <v>86</v>
      </c>
      <c r="D18" s="13"/>
      <c r="E18" s="3" t="s">
        <v>114</v>
      </c>
      <c r="F18" s="2" t="s">
        <v>115</v>
      </c>
      <c r="G18" s="2" t="s">
        <v>116</v>
      </c>
      <c r="H18" s="2" t="s">
        <v>90</v>
      </c>
      <c r="I18" s="7" t="n">
        <v>20</v>
      </c>
      <c r="J18" s="7" t="n">
        <v>5</v>
      </c>
      <c r="K18" s="5" t="n">
        <f aca="false">I18+J18</f>
        <v>25</v>
      </c>
      <c r="L18" s="2" t="s">
        <v>117</v>
      </c>
    </row>
    <row r="19" customFormat="false" ht="58.2" hidden="false" customHeight="false" outlineLevel="0" collapsed="false">
      <c r="A19" s="13" t="n">
        <v>16</v>
      </c>
      <c r="B19" s="13" t="s">
        <v>85</v>
      </c>
      <c r="C19" s="13" t="s">
        <v>86</v>
      </c>
      <c r="D19" s="13"/>
      <c r="E19" s="3" t="s">
        <v>118</v>
      </c>
      <c r="F19" s="2" t="s">
        <v>119</v>
      </c>
      <c r="G19" s="2" t="s">
        <v>120</v>
      </c>
      <c r="H19" s="2" t="s">
        <v>90</v>
      </c>
      <c r="I19" s="7" t="n">
        <v>15</v>
      </c>
      <c r="J19" s="7" t="n">
        <v>5</v>
      </c>
      <c r="K19" s="5" t="n">
        <f aca="false">I19+J19</f>
        <v>20</v>
      </c>
      <c r="L19" s="2" t="s">
        <v>121</v>
      </c>
    </row>
    <row r="20" customFormat="false" ht="72.35" hidden="false" customHeight="false" outlineLevel="0" collapsed="false">
      <c r="A20" s="13" t="n">
        <v>17</v>
      </c>
      <c r="B20" s="13" t="s">
        <v>85</v>
      </c>
      <c r="C20" s="13" t="s">
        <v>86</v>
      </c>
      <c r="D20" s="13"/>
      <c r="E20" s="3" t="s">
        <v>122</v>
      </c>
      <c r="F20" s="2" t="s">
        <v>123</v>
      </c>
      <c r="G20" s="2" t="s">
        <v>124</v>
      </c>
      <c r="H20" s="2" t="s">
        <v>90</v>
      </c>
      <c r="I20" s="7" t="n">
        <v>15</v>
      </c>
      <c r="J20" s="7" t="n">
        <v>5</v>
      </c>
      <c r="K20" s="5" t="n">
        <f aca="false">I20+J20</f>
        <v>20</v>
      </c>
      <c r="L20" s="2" t="s">
        <v>125</v>
      </c>
    </row>
    <row r="21" customFormat="false" ht="86.55" hidden="false" customHeight="false" outlineLevel="0" collapsed="false">
      <c r="A21" s="13" t="n">
        <v>18</v>
      </c>
      <c r="B21" s="13" t="s">
        <v>85</v>
      </c>
      <c r="C21" s="13" t="s">
        <v>86</v>
      </c>
      <c r="D21" s="13"/>
      <c r="E21" s="3" t="s">
        <v>126</v>
      </c>
      <c r="F21" s="2" t="s">
        <v>127</v>
      </c>
      <c r="G21" s="2" t="s">
        <v>128</v>
      </c>
      <c r="H21" s="2" t="s">
        <v>90</v>
      </c>
      <c r="I21" s="7" t="n">
        <v>20</v>
      </c>
      <c r="J21" s="7" t="n">
        <v>10</v>
      </c>
      <c r="K21" s="5" t="n">
        <f aca="false">I21+J21</f>
        <v>30</v>
      </c>
      <c r="L21" s="2"/>
    </row>
    <row r="22" customFormat="false" ht="72.35" hidden="false" customHeight="false" outlineLevel="0" collapsed="false">
      <c r="A22" s="14" t="n">
        <v>19</v>
      </c>
      <c r="B22" s="15" t="s">
        <v>85</v>
      </c>
      <c r="C22" s="15" t="s">
        <v>10</v>
      </c>
      <c r="D22" s="14" t="s">
        <v>32</v>
      </c>
      <c r="E22" s="3" t="s">
        <v>129</v>
      </c>
      <c r="F22" s="2" t="s">
        <v>130</v>
      </c>
      <c r="G22" s="2" t="s">
        <v>131</v>
      </c>
      <c r="H22" s="2" t="s">
        <v>132</v>
      </c>
      <c r="I22" s="7" t="n">
        <v>5</v>
      </c>
      <c r="J22" s="7" t="n">
        <v>25</v>
      </c>
      <c r="K22" s="5" t="n">
        <f aca="false">I22+J22</f>
        <v>30</v>
      </c>
      <c r="L22" s="2" t="s">
        <v>133</v>
      </c>
    </row>
    <row r="23" customFormat="false" ht="86.55" hidden="false" customHeight="false" outlineLevel="0" collapsed="false">
      <c r="A23" s="15" t="n">
        <v>20</v>
      </c>
      <c r="B23" s="15" t="s">
        <v>85</v>
      </c>
      <c r="C23" s="15" t="s">
        <v>10</v>
      </c>
      <c r="D23" s="14" t="s">
        <v>32</v>
      </c>
      <c r="E23" s="3" t="s">
        <v>134</v>
      </c>
      <c r="F23" s="2" t="s">
        <v>135</v>
      </c>
      <c r="G23" s="2" t="s">
        <v>136</v>
      </c>
      <c r="H23" s="2" t="s">
        <v>132</v>
      </c>
      <c r="I23" s="7" t="n">
        <v>5</v>
      </c>
      <c r="J23" s="7" t="n">
        <v>45</v>
      </c>
      <c r="K23" s="5" t="n">
        <f aca="false">I23+J23</f>
        <v>50</v>
      </c>
      <c r="L23" s="2" t="s">
        <v>137</v>
      </c>
    </row>
    <row r="24" customFormat="false" ht="72.35" hidden="false" customHeight="false" outlineLevel="0" collapsed="false">
      <c r="A24" s="15" t="n">
        <v>21</v>
      </c>
      <c r="B24" s="15" t="s">
        <v>85</v>
      </c>
      <c r="C24" s="15" t="s">
        <v>10</v>
      </c>
      <c r="D24" s="14" t="s">
        <v>32</v>
      </c>
      <c r="E24" s="3" t="s">
        <v>138</v>
      </c>
      <c r="F24" s="2" t="s">
        <v>139</v>
      </c>
      <c r="G24" s="2" t="s">
        <v>140</v>
      </c>
      <c r="H24" s="2" t="s">
        <v>132</v>
      </c>
      <c r="I24" s="7" t="n">
        <v>5</v>
      </c>
      <c r="J24" s="7" t="n">
        <v>25</v>
      </c>
      <c r="K24" s="5" t="n">
        <f aca="false">I24+J24</f>
        <v>30</v>
      </c>
      <c r="L24" s="2" t="s">
        <v>141</v>
      </c>
    </row>
    <row r="25" customFormat="false" ht="72.35" hidden="false" customHeight="false" outlineLevel="0" collapsed="false">
      <c r="A25" s="15" t="n">
        <v>22</v>
      </c>
      <c r="B25" s="15" t="s">
        <v>85</v>
      </c>
      <c r="C25" s="15" t="s">
        <v>10</v>
      </c>
      <c r="D25" s="14" t="s">
        <v>32</v>
      </c>
      <c r="E25" s="3" t="s">
        <v>142</v>
      </c>
      <c r="F25" s="2" t="s">
        <v>143</v>
      </c>
      <c r="G25" s="2" t="s">
        <v>144</v>
      </c>
      <c r="H25" s="2" t="s">
        <v>132</v>
      </c>
      <c r="I25" s="7" t="n">
        <v>5</v>
      </c>
      <c r="J25" s="7" t="n">
        <v>20</v>
      </c>
      <c r="K25" s="5" t="n">
        <f aca="false">I25+J25</f>
        <v>25</v>
      </c>
      <c r="L25" s="2" t="s">
        <v>145</v>
      </c>
    </row>
    <row r="26" customFormat="false" ht="58.2" hidden="false" customHeight="false" outlineLevel="0" collapsed="false">
      <c r="A26" s="15" t="n">
        <v>23</v>
      </c>
      <c r="B26" s="15" t="s">
        <v>85</v>
      </c>
      <c r="C26" s="15" t="s">
        <v>10</v>
      </c>
      <c r="D26" s="14" t="s">
        <v>32</v>
      </c>
      <c r="E26" s="3" t="s">
        <v>146</v>
      </c>
      <c r="F26" s="2" t="s">
        <v>147</v>
      </c>
      <c r="G26" s="2" t="s">
        <v>148</v>
      </c>
      <c r="H26" s="2" t="s">
        <v>132</v>
      </c>
      <c r="I26" s="7" t="n">
        <v>5</v>
      </c>
      <c r="J26" s="7" t="n">
        <v>20</v>
      </c>
      <c r="K26" s="5" t="n">
        <f aca="false">I26+J26</f>
        <v>25</v>
      </c>
      <c r="L26" s="2"/>
    </row>
    <row r="27" customFormat="false" ht="72.35" hidden="false" customHeight="false" outlineLevel="0" collapsed="false">
      <c r="A27" s="15" t="n">
        <v>24</v>
      </c>
      <c r="B27" s="15" t="s">
        <v>85</v>
      </c>
      <c r="C27" s="15" t="s">
        <v>10</v>
      </c>
      <c r="D27" s="14" t="s">
        <v>149</v>
      </c>
      <c r="E27" s="3" t="s">
        <v>150</v>
      </c>
      <c r="F27" s="2" t="s">
        <v>151</v>
      </c>
      <c r="G27" s="2" t="s">
        <v>152</v>
      </c>
      <c r="H27" s="2" t="s">
        <v>132</v>
      </c>
      <c r="I27" s="7" t="n">
        <v>5</v>
      </c>
      <c r="J27" s="7" t="n">
        <v>15</v>
      </c>
      <c r="K27" s="5" t="n">
        <f aca="false">I27+J27</f>
        <v>20</v>
      </c>
      <c r="L27" s="2" t="s">
        <v>153</v>
      </c>
    </row>
    <row r="28" customFormat="false" ht="86.55" hidden="false" customHeight="false" outlineLevel="0" collapsed="false">
      <c r="A28" s="15" t="n">
        <v>25</v>
      </c>
      <c r="B28" s="15" t="s">
        <v>85</v>
      </c>
      <c r="C28" s="15" t="s">
        <v>10</v>
      </c>
      <c r="D28" s="14" t="s">
        <v>149</v>
      </c>
      <c r="E28" s="3" t="s">
        <v>154</v>
      </c>
      <c r="F28" s="2" t="s">
        <v>155</v>
      </c>
      <c r="G28" s="2" t="s">
        <v>156</v>
      </c>
      <c r="H28" s="2" t="s">
        <v>132</v>
      </c>
      <c r="I28" s="7" t="n">
        <v>5</v>
      </c>
      <c r="J28" s="7" t="n">
        <v>35</v>
      </c>
      <c r="K28" s="5" t="n">
        <f aca="false">I28+J28</f>
        <v>40</v>
      </c>
      <c r="L28" s="2" t="s">
        <v>157</v>
      </c>
    </row>
    <row r="29" customFormat="false" ht="72.35" hidden="false" customHeight="false" outlineLevel="0" collapsed="false">
      <c r="A29" s="15" t="n">
        <v>26</v>
      </c>
      <c r="B29" s="15" t="s">
        <v>85</v>
      </c>
      <c r="C29" s="15" t="s">
        <v>10</v>
      </c>
      <c r="D29" s="14" t="s">
        <v>149</v>
      </c>
      <c r="E29" s="3" t="s">
        <v>158</v>
      </c>
      <c r="F29" s="2" t="s">
        <v>159</v>
      </c>
      <c r="G29" s="2" t="s">
        <v>160</v>
      </c>
      <c r="H29" s="2" t="s">
        <v>132</v>
      </c>
      <c r="I29" s="7" t="n">
        <v>5</v>
      </c>
      <c r="J29" s="7" t="n">
        <v>15</v>
      </c>
      <c r="K29" s="5" t="n">
        <f aca="false">I29+J29</f>
        <v>20</v>
      </c>
      <c r="L29" s="2"/>
    </row>
    <row r="30" customFormat="false" ht="58.2" hidden="false" customHeight="false" outlineLevel="0" collapsed="false">
      <c r="A30" s="15" t="n">
        <v>27</v>
      </c>
      <c r="B30" s="15" t="s">
        <v>85</v>
      </c>
      <c r="C30" s="15" t="s">
        <v>10</v>
      </c>
      <c r="D30" s="14" t="s">
        <v>149</v>
      </c>
      <c r="E30" s="3" t="s">
        <v>161</v>
      </c>
      <c r="F30" s="2" t="s">
        <v>162</v>
      </c>
      <c r="G30" s="2" t="s">
        <v>163</v>
      </c>
      <c r="H30" s="2" t="s">
        <v>132</v>
      </c>
      <c r="I30" s="7" t="n">
        <v>5</v>
      </c>
      <c r="J30" s="7" t="n">
        <v>15</v>
      </c>
      <c r="K30" s="5" t="n">
        <f aca="false">I30+J30</f>
        <v>20</v>
      </c>
      <c r="L30" s="2"/>
    </row>
    <row r="31" customFormat="false" ht="72.35" hidden="false" customHeight="false" outlineLevel="0" collapsed="false">
      <c r="A31" s="15" t="n">
        <v>28</v>
      </c>
      <c r="B31" s="15" t="s">
        <v>85</v>
      </c>
      <c r="C31" s="15" t="s">
        <v>10</v>
      </c>
      <c r="D31" s="14" t="s">
        <v>149</v>
      </c>
      <c r="E31" s="3" t="s">
        <v>164</v>
      </c>
      <c r="F31" s="2" t="s">
        <v>165</v>
      </c>
      <c r="G31" s="2" t="s">
        <v>148</v>
      </c>
      <c r="H31" s="2" t="s">
        <v>132</v>
      </c>
      <c r="I31" s="7" t="n">
        <v>5</v>
      </c>
      <c r="J31" s="7" t="n">
        <v>15</v>
      </c>
      <c r="K31" s="5" t="n">
        <f aca="false">I31+J31</f>
        <v>20</v>
      </c>
      <c r="L31" s="2"/>
    </row>
    <row r="32" customFormat="false" ht="72.35" hidden="false" customHeight="false" outlineLevel="0" collapsed="false">
      <c r="A32" s="15" t="n">
        <v>29</v>
      </c>
      <c r="B32" s="15" t="s">
        <v>85</v>
      </c>
      <c r="C32" s="15" t="s">
        <v>10</v>
      </c>
      <c r="D32" s="14" t="s">
        <v>166</v>
      </c>
      <c r="E32" s="3" t="s">
        <v>167</v>
      </c>
      <c r="F32" s="2" t="s">
        <v>168</v>
      </c>
      <c r="G32" s="2" t="s">
        <v>169</v>
      </c>
      <c r="H32" s="2" t="s">
        <v>132</v>
      </c>
      <c r="I32" s="7" t="n">
        <v>5</v>
      </c>
      <c r="J32" s="7" t="n">
        <v>15</v>
      </c>
      <c r="K32" s="5" t="n">
        <f aca="false">I32+J32</f>
        <v>20</v>
      </c>
      <c r="L32" s="2" t="s">
        <v>170</v>
      </c>
    </row>
    <row r="33" customFormat="false" ht="86.55" hidden="false" customHeight="false" outlineLevel="0" collapsed="false">
      <c r="A33" s="15" t="n">
        <v>30</v>
      </c>
      <c r="B33" s="15" t="s">
        <v>85</v>
      </c>
      <c r="C33" s="15" t="s">
        <v>10</v>
      </c>
      <c r="D33" s="14" t="s">
        <v>166</v>
      </c>
      <c r="E33" s="3" t="s">
        <v>171</v>
      </c>
      <c r="F33" s="2" t="s">
        <v>172</v>
      </c>
      <c r="G33" s="2" t="s">
        <v>173</v>
      </c>
      <c r="H33" s="2" t="s">
        <v>132</v>
      </c>
      <c r="I33" s="7" t="n">
        <v>5</v>
      </c>
      <c r="J33" s="7" t="n">
        <v>35</v>
      </c>
      <c r="K33" s="5" t="n">
        <f aca="false">I33+J33</f>
        <v>40</v>
      </c>
      <c r="L33" s="2" t="s">
        <v>157</v>
      </c>
    </row>
    <row r="34" customFormat="false" ht="72.35" hidden="false" customHeight="false" outlineLevel="0" collapsed="false">
      <c r="A34" s="15" t="n">
        <v>31</v>
      </c>
      <c r="B34" s="15" t="s">
        <v>85</v>
      </c>
      <c r="C34" s="15" t="s">
        <v>10</v>
      </c>
      <c r="D34" s="14" t="s">
        <v>166</v>
      </c>
      <c r="E34" s="3" t="s">
        <v>174</v>
      </c>
      <c r="F34" s="2" t="s">
        <v>175</v>
      </c>
      <c r="G34" s="2" t="s">
        <v>176</v>
      </c>
      <c r="H34" s="2" t="s">
        <v>132</v>
      </c>
      <c r="I34" s="7" t="n">
        <v>5</v>
      </c>
      <c r="J34" s="7" t="n">
        <v>15</v>
      </c>
      <c r="K34" s="5" t="n">
        <f aca="false">I34+J34</f>
        <v>20</v>
      </c>
      <c r="L34" s="2"/>
    </row>
    <row r="35" customFormat="false" ht="58.2" hidden="false" customHeight="false" outlineLevel="0" collapsed="false">
      <c r="A35" s="15" t="n">
        <v>32</v>
      </c>
      <c r="B35" s="15" t="s">
        <v>85</v>
      </c>
      <c r="C35" s="15" t="s">
        <v>10</v>
      </c>
      <c r="D35" s="14" t="s">
        <v>166</v>
      </c>
      <c r="E35" s="3" t="s">
        <v>177</v>
      </c>
      <c r="F35" s="2" t="s">
        <v>178</v>
      </c>
      <c r="G35" s="2" t="s">
        <v>179</v>
      </c>
      <c r="H35" s="2" t="s">
        <v>132</v>
      </c>
      <c r="I35" s="7" t="n">
        <v>5</v>
      </c>
      <c r="J35" s="7" t="n">
        <v>15</v>
      </c>
      <c r="K35" s="5" t="n">
        <f aca="false">I35+J35</f>
        <v>20</v>
      </c>
      <c r="L35" s="2"/>
    </row>
    <row r="36" customFormat="false" ht="72.35" hidden="false" customHeight="false" outlineLevel="0" collapsed="false">
      <c r="A36" s="15" t="n">
        <v>33</v>
      </c>
      <c r="B36" s="15" t="s">
        <v>85</v>
      </c>
      <c r="C36" s="15" t="s">
        <v>10</v>
      </c>
      <c r="D36" s="14" t="s">
        <v>166</v>
      </c>
      <c r="E36" s="3" t="s">
        <v>180</v>
      </c>
      <c r="F36" s="2" t="s">
        <v>181</v>
      </c>
      <c r="G36" s="2" t="s">
        <v>182</v>
      </c>
      <c r="H36" s="2" t="s">
        <v>132</v>
      </c>
      <c r="I36" s="7" t="n">
        <v>10</v>
      </c>
      <c r="J36" s="7" t="n">
        <v>10</v>
      </c>
      <c r="K36" s="5" t="n">
        <f aca="false">I36+J36</f>
        <v>20</v>
      </c>
      <c r="L36" s="2"/>
    </row>
    <row r="37" customFormat="false" ht="72.35" hidden="false" customHeight="false" outlineLevel="0" collapsed="false">
      <c r="A37" s="16" t="n">
        <v>34</v>
      </c>
      <c r="B37" s="17" t="s">
        <v>85</v>
      </c>
      <c r="C37" s="17" t="s">
        <v>12</v>
      </c>
      <c r="D37" s="17"/>
      <c r="E37" s="3" t="s">
        <v>183</v>
      </c>
      <c r="F37" s="2" t="s">
        <v>184</v>
      </c>
      <c r="G37" s="2" t="s">
        <v>185</v>
      </c>
      <c r="H37" s="2" t="s">
        <v>186</v>
      </c>
      <c r="I37" s="7" t="n">
        <v>10</v>
      </c>
      <c r="J37" s="7" t="n">
        <v>25</v>
      </c>
      <c r="K37" s="5" t="n">
        <f aca="false">I37+J37</f>
        <v>35</v>
      </c>
      <c r="L37" s="2" t="s">
        <v>187</v>
      </c>
    </row>
    <row r="38" customFormat="false" ht="72.35" hidden="false" customHeight="false" outlineLevel="0" collapsed="false">
      <c r="A38" s="17" t="n">
        <v>35</v>
      </c>
      <c r="B38" s="17" t="s">
        <v>85</v>
      </c>
      <c r="C38" s="17" t="s">
        <v>12</v>
      </c>
      <c r="D38" s="17"/>
      <c r="E38" s="3" t="s">
        <v>188</v>
      </c>
      <c r="F38" s="2" t="s">
        <v>189</v>
      </c>
      <c r="G38" s="2" t="s">
        <v>190</v>
      </c>
      <c r="H38" s="2" t="s">
        <v>186</v>
      </c>
      <c r="I38" s="7" t="n">
        <v>5</v>
      </c>
      <c r="J38" s="7" t="n">
        <v>35</v>
      </c>
      <c r="K38" s="5" t="n">
        <f aca="false">I38+J38</f>
        <v>40</v>
      </c>
      <c r="L38" s="2" t="s">
        <v>191</v>
      </c>
    </row>
    <row r="39" customFormat="false" ht="58.2" hidden="false" customHeight="false" outlineLevel="0" collapsed="false">
      <c r="A39" s="17" t="n">
        <v>36</v>
      </c>
      <c r="B39" s="17" t="s">
        <v>85</v>
      </c>
      <c r="C39" s="17" t="s">
        <v>12</v>
      </c>
      <c r="D39" s="17"/>
      <c r="E39" s="3" t="s">
        <v>192</v>
      </c>
      <c r="F39" s="2" t="s">
        <v>193</v>
      </c>
      <c r="G39" s="2" t="s">
        <v>194</v>
      </c>
      <c r="H39" s="2" t="s">
        <v>186</v>
      </c>
      <c r="I39" s="7" t="n">
        <v>5</v>
      </c>
      <c r="J39" s="7" t="n">
        <v>20</v>
      </c>
      <c r="K39" s="5" t="n">
        <f aca="false">I39+J39</f>
        <v>25</v>
      </c>
      <c r="L39" s="2" t="s">
        <v>195</v>
      </c>
    </row>
    <row r="40" customFormat="false" ht="58.2" hidden="false" customHeight="false" outlineLevel="0" collapsed="false">
      <c r="A40" s="17" t="n">
        <v>37</v>
      </c>
      <c r="B40" s="17" t="s">
        <v>85</v>
      </c>
      <c r="C40" s="17" t="s">
        <v>12</v>
      </c>
      <c r="D40" s="17"/>
      <c r="E40" s="3" t="s">
        <v>196</v>
      </c>
      <c r="F40" s="2" t="s">
        <v>197</v>
      </c>
      <c r="G40" s="2" t="s">
        <v>198</v>
      </c>
      <c r="H40" s="2" t="s">
        <v>186</v>
      </c>
      <c r="I40" s="7" t="n">
        <v>5</v>
      </c>
      <c r="J40" s="7" t="n">
        <v>20</v>
      </c>
      <c r="K40" s="5" t="n">
        <f aca="false">I40+J40</f>
        <v>25</v>
      </c>
      <c r="L40" s="2" t="s">
        <v>199</v>
      </c>
    </row>
    <row r="41" customFormat="false" ht="72.35" hidden="false" customHeight="false" outlineLevel="0" collapsed="false">
      <c r="A41" s="17" t="n">
        <v>38</v>
      </c>
      <c r="B41" s="17" t="s">
        <v>85</v>
      </c>
      <c r="C41" s="17" t="s">
        <v>12</v>
      </c>
      <c r="D41" s="17"/>
      <c r="E41" s="3" t="s">
        <v>200</v>
      </c>
      <c r="F41" s="2" t="s">
        <v>201</v>
      </c>
      <c r="G41" s="2" t="s">
        <v>202</v>
      </c>
      <c r="H41" s="2" t="s">
        <v>186</v>
      </c>
      <c r="I41" s="7" t="n">
        <v>5</v>
      </c>
      <c r="J41" s="7" t="n">
        <v>35</v>
      </c>
      <c r="K41" s="5" t="n">
        <f aca="false">I41+J41</f>
        <v>40</v>
      </c>
      <c r="L41" s="2" t="s">
        <v>203</v>
      </c>
    </row>
    <row r="42" customFormat="false" ht="58.2" hidden="false" customHeight="false" outlineLevel="0" collapsed="false">
      <c r="A42" s="17" t="n">
        <v>39</v>
      </c>
      <c r="B42" s="17" t="s">
        <v>85</v>
      </c>
      <c r="C42" s="17" t="s">
        <v>12</v>
      </c>
      <c r="D42" s="17"/>
      <c r="E42" s="3" t="s">
        <v>204</v>
      </c>
      <c r="F42" s="2" t="s">
        <v>205</v>
      </c>
      <c r="G42" s="2" t="s">
        <v>206</v>
      </c>
      <c r="H42" s="2" t="s">
        <v>186</v>
      </c>
      <c r="I42" s="7" t="n">
        <v>5</v>
      </c>
      <c r="J42" s="7" t="n">
        <v>20</v>
      </c>
      <c r="K42" s="5" t="n">
        <f aca="false">I42+J42</f>
        <v>25</v>
      </c>
      <c r="L42" s="2" t="s">
        <v>207</v>
      </c>
    </row>
    <row r="43" customFormat="false" ht="72.35" hidden="false" customHeight="false" outlineLevel="0" collapsed="false">
      <c r="A43" s="17" t="n">
        <v>40</v>
      </c>
      <c r="B43" s="17" t="s">
        <v>85</v>
      </c>
      <c r="C43" s="17" t="s">
        <v>12</v>
      </c>
      <c r="D43" s="17"/>
      <c r="E43" s="3" t="s">
        <v>208</v>
      </c>
      <c r="F43" s="2" t="s">
        <v>209</v>
      </c>
      <c r="G43" s="2" t="s">
        <v>210</v>
      </c>
      <c r="H43" s="2" t="s">
        <v>186</v>
      </c>
      <c r="I43" s="7" t="n">
        <v>5</v>
      </c>
      <c r="J43" s="7" t="n">
        <v>30</v>
      </c>
      <c r="K43" s="5" t="n">
        <f aca="false">I43+J43</f>
        <v>35</v>
      </c>
      <c r="L43" s="2" t="s">
        <v>211</v>
      </c>
    </row>
    <row r="44" customFormat="false" ht="72.35" hidden="false" customHeight="false" outlineLevel="0" collapsed="false">
      <c r="A44" s="17" t="n">
        <v>41</v>
      </c>
      <c r="B44" s="17" t="s">
        <v>85</v>
      </c>
      <c r="C44" s="17" t="s">
        <v>12</v>
      </c>
      <c r="D44" s="17"/>
      <c r="E44" s="3" t="s">
        <v>212</v>
      </c>
      <c r="F44" s="2" t="s">
        <v>213</v>
      </c>
      <c r="G44" s="2" t="s">
        <v>214</v>
      </c>
      <c r="H44" s="2" t="s">
        <v>186</v>
      </c>
      <c r="I44" s="7" t="n">
        <v>5</v>
      </c>
      <c r="J44" s="7" t="n">
        <v>20</v>
      </c>
      <c r="K44" s="5" t="n">
        <f aca="false">I44+J44</f>
        <v>25</v>
      </c>
      <c r="L44" s="2" t="s">
        <v>215</v>
      </c>
    </row>
    <row r="45" customFormat="false" ht="72.35" hidden="false" customHeight="false" outlineLevel="0" collapsed="false">
      <c r="A45" s="17" t="n">
        <v>42</v>
      </c>
      <c r="B45" s="17" t="s">
        <v>85</v>
      </c>
      <c r="C45" s="17" t="s">
        <v>12</v>
      </c>
      <c r="D45" s="17"/>
      <c r="E45" s="3" t="s">
        <v>216</v>
      </c>
      <c r="F45" s="2" t="s">
        <v>217</v>
      </c>
      <c r="G45" s="2" t="s">
        <v>218</v>
      </c>
      <c r="H45" s="2" t="s">
        <v>186</v>
      </c>
      <c r="I45" s="7" t="n">
        <v>5</v>
      </c>
      <c r="J45" s="7" t="n">
        <v>20</v>
      </c>
      <c r="K45" s="5" t="n">
        <f aca="false">I45+J45</f>
        <v>25</v>
      </c>
      <c r="L45" s="2" t="s">
        <v>219</v>
      </c>
    </row>
    <row r="46" customFormat="false" ht="15" hidden="false" customHeight="false" outlineLevel="0" collapsed="false">
      <c r="A46" s="9" t="str">
        <f aca="false">"3. 에이전트 — AI 일꾼이 지식 지도와 지금 값을 근거로 추천안 하나를 제안한다  ("&amp;SUM(K47:K74)&amp;"분)"</f>
        <v>3. 에이전트 — AI 일꾼이 지식 지도와 지금 값을 근거로 추천안 하나를 제안한다  (840분)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customFormat="false" ht="72.35" hidden="false" customHeight="false" outlineLevel="0" collapsed="false">
      <c r="A47" s="13" t="n">
        <v>43</v>
      </c>
      <c r="B47" s="13" t="s">
        <v>220</v>
      </c>
      <c r="C47" s="13" t="s">
        <v>86</v>
      </c>
      <c r="D47" s="13"/>
      <c r="E47" s="3" t="s">
        <v>221</v>
      </c>
      <c r="F47" s="2" t="s">
        <v>222</v>
      </c>
      <c r="G47" s="2" t="s">
        <v>223</v>
      </c>
      <c r="H47" s="2" t="s">
        <v>90</v>
      </c>
      <c r="I47" s="7" t="n">
        <v>20</v>
      </c>
      <c r="J47" s="7" t="n">
        <v>10</v>
      </c>
      <c r="K47" s="5" t="n">
        <f aca="false">I47+J47</f>
        <v>30</v>
      </c>
      <c r="L47" s="2"/>
    </row>
    <row r="48" customFormat="false" ht="72.35" hidden="false" customHeight="false" outlineLevel="0" collapsed="false">
      <c r="A48" s="13" t="n">
        <v>44</v>
      </c>
      <c r="B48" s="13" t="s">
        <v>220</v>
      </c>
      <c r="C48" s="13" t="s">
        <v>86</v>
      </c>
      <c r="D48" s="13"/>
      <c r="E48" s="3" t="s">
        <v>224</v>
      </c>
      <c r="F48" s="2" t="s">
        <v>225</v>
      </c>
      <c r="G48" s="2" t="s">
        <v>226</v>
      </c>
      <c r="H48" s="2" t="s">
        <v>90</v>
      </c>
      <c r="I48" s="7" t="n">
        <v>20</v>
      </c>
      <c r="J48" s="7" t="n">
        <v>5</v>
      </c>
      <c r="K48" s="5" t="n">
        <f aca="false">I48+J48</f>
        <v>25</v>
      </c>
      <c r="L48" s="2"/>
    </row>
    <row r="49" customFormat="false" ht="72.35" hidden="false" customHeight="false" outlineLevel="0" collapsed="false">
      <c r="A49" s="13" t="n">
        <v>45</v>
      </c>
      <c r="B49" s="13" t="s">
        <v>220</v>
      </c>
      <c r="C49" s="13" t="s">
        <v>86</v>
      </c>
      <c r="D49" s="13"/>
      <c r="E49" s="3" t="s">
        <v>227</v>
      </c>
      <c r="F49" s="2" t="s">
        <v>228</v>
      </c>
      <c r="G49" s="2" t="s">
        <v>229</v>
      </c>
      <c r="H49" s="2" t="s">
        <v>90</v>
      </c>
      <c r="I49" s="7" t="n">
        <v>20</v>
      </c>
      <c r="J49" s="7" t="n">
        <v>5</v>
      </c>
      <c r="K49" s="5" t="n">
        <f aca="false">I49+J49</f>
        <v>25</v>
      </c>
      <c r="L49" s="2"/>
    </row>
    <row r="50" customFormat="false" ht="58.2" hidden="false" customHeight="false" outlineLevel="0" collapsed="false">
      <c r="A50" s="13" t="n">
        <v>46</v>
      </c>
      <c r="B50" s="13" t="s">
        <v>220</v>
      </c>
      <c r="C50" s="13" t="s">
        <v>86</v>
      </c>
      <c r="D50" s="13"/>
      <c r="E50" s="3" t="s">
        <v>230</v>
      </c>
      <c r="F50" s="2" t="s">
        <v>231</v>
      </c>
      <c r="G50" s="2" t="s">
        <v>232</v>
      </c>
      <c r="H50" s="2" t="s">
        <v>90</v>
      </c>
      <c r="I50" s="7" t="n">
        <v>20</v>
      </c>
      <c r="J50" s="7" t="n">
        <v>5</v>
      </c>
      <c r="K50" s="5" t="n">
        <f aca="false">I50+J50</f>
        <v>25</v>
      </c>
      <c r="L50" s="2" t="s">
        <v>233</v>
      </c>
    </row>
    <row r="51" customFormat="false" ht="72.35" hidden="false" customHeight="false" outlineLevel="0" collapsed="false">
      <c r="A51" s="13" t="n">
        <v>47</v>
      </c>
      <c r="B51" s="13" t="s">
        <v>220</v>
      </c>
      <c r="C51" s="13" t="s">
        <v>86</v>
      </c>
      <c r="D51" s="13"/>
      <c r="E51" s="3" t="s">
        <v>234</v>
      </c>
      <c r="F51" s="2" t="s">
        <v>235</v>
      </c>
      <c r="G51" s="2" t="s">
        <v>236</v>
      </c>
      <c r="H51" s="2" t="s">
        <v>90</v>
      </c>
      <c r="I51" s="7" t="n">
        <v>15</v>
      </c>
      <c r="J51" s="7" t="n">
        <v>15</v>
      </c>
      <c r="K51" s="5" t="n">
        <f aca="false">I51+J51</f>
        <v>30</v>
      </c>
      <c r="L51" s="2"/>
    </row>
    <row r="52" customFormat="false" ht="72.35" hidden="false" customHeight="false" outlineLevel="0" collapsed="false">
      <c r="A52" s="13" t="n">
        <v>48</v>
      </c>
      <c r="B52" s="13" t="s">
        <v>220</v>
      </c>
      <c r="C52" s="13" t="s">
        <v>86</v>
      </c>
      <c r="D52" s="13"/>
      <c r="E52" s="3" t="s">
        <v>237</v>
      </c>
      <c r="F52" s="2" t="s">
        <v>238</v>
      </c>
      <c r="G52" s="2" t="s">
        <v>239</v>
      </c>
      <c r="H52" s="2" t="s">
        <v>90</v>
      </c>
      <c r="I52" s="7" t="n">
        <v>15</v>
      </c>
      <c r="J52" s="7" t="n">
        <v>5</v>
      </c>
      <c r="K52" s="5" t="n">
        <f aca="false">I52+J52</f>
        <v>20</v>
      </c>
      <c r="L52" s="2" t="s">
        <v>240</v>
      </c>
    </row>
    <row r="53" customFormat="false" ht="72.35" hidden="false" customHeight="false" outlineLevel="0" collapsed="false">
      <c r="A53" s="13" t="n">
        <v>49</v>
      </c>
      <c r="B53" s="13" t="s">
        <v>220</v>
      </c>
      <c r="C53" s="13" t="s">
        <v>86</v>
      </c>
      <c r="D53" s="13"/>
      <c r="E53" s="3" t="s">
        <v>241</v>
      </c>
      <c r="F53" s="2" t="s">
        <v>242</v>
      </c>
      <c r="G53" s="2" t="s">
        <v>243</v>
      </c>
      <c r="H53" s="2" t="s">
        <v>90</v>
      </c>
      <c r="I53" s="7" t="n">
        <v>20</v>
      </c>
      <c r="J53" s="7" t="n">
        <v>10</v>
      </c>
      <c r="K53" s="5" t="n">
        <f aca="false">I53+J53</f>
        <v>30</v>
      </c>
      <c r="L53" s="2"/>
    </row>
    <row r="54" customFormat="false" ht="58.2" hidden="false" customHeight="false" outlineLevel="0" collapsed="false">
      <c r="A54" s="13" t="n">
        <v>50</v>
      </c>
      <c r="B54" s="13" t="s">
        <v>220</v>
      </c>
      <c r="C54" s="13" t="s">
        <v>86</v>
      </c>
      <c r="D54" s="13"/>
      <c r="E54" s="3" t="s">
        <v>244</v>
      </c>
      <c r="F54" s="2" t="s">
        <v>245</v>
      </c>
      <c r="G54" s="2" t="s">
        <v>246</v>
      </c>
      <c r="H54" s="2" t="s">
        <v>90</v>
      </c>
      <c r="I54" s="7" t="n">
        <v>20</v>
      </c>
      <c r="J54" s="7" t="n">
        <v>5</v>
      </c>
      <c r="K54" s="5" t="n">
        <f aca="false">I54+J54</f>
        <v>25</v>
      </c>
      <c r="L54" s="2"/>
    </row>
    <row r="55" customFormat="false" ht="86.55" hidden="false" customHeight="false" outlineLevel="0" collapsed="false">
      <c r="A55" s="15" t="n">
        <v>51</v>
      </c>
      <c r="B55" s="15" t="s">
        <v>220</v>
      </c>
      <c r="C55" s="15" t="s">
        <v>10</v>
      </c>
      <c r="D55" s="14" t="s">
        <v>32</v>
      </c>
      <c r="E55" s="3" t="s">
        <v>247</v>
      </c>
      <c r="F55" s="2" t="s">
        <v>248</v>
      </c>
      <c r="G55" s="2" t="s">
        <v>249</v>
      </c>
      <c r="H55" s="2" t="s">
        <v>132</v>
      </c>
      <c r="I55" s="7" t="n">
        <v>5</v>
      </c>
      <c r="J55" s="7" t="n">
        <v>40</v>
      </c>
      <c r="K55" s="5" t="n">
        <f aca="false">I55+J55</f>
        <v>45</v>
      </c>
      <c r="L55" s="2" t="s">
        <v>250</v>
      </c>
    </row>
    <row r="56" customFormat="false" ht="72.35" hidden="false" customHeight="false" outlineLevel="0" collapsed="false">
      <c r="A56" s="15" t="n">
        <v>52</v>
      </c>
      <c r="B56" s="15" t="s">
        <v>220</v>
      </c>
      <c r="C56" s="15" t="s">
        <v>10</v>
      </c>
      <c r="D56" s="14" t="s">
        <v>32</v>
      </c>
      <c r="E56" s="3" t="s">
        <v>251</v>
      </c>
      <c r="F56" s="2" t="s">
        <v>252</v>
      </c>
      <c r="G56" s="2" t="s">
        <v>253</v>
      </c>
      <c r="H56" s="2" t="s">
        <v>132</v>
      </c>
      <c r="I56" s="7" t="n">
        <v>5</v>
      </c>
      <c r="J56" s="7" t="n">
        <v>35</v>
      </c>
      <c r="K56" s="5" t="n">
        <f aca="false">I56+J56</f>
        <v>40</v>
      </c>
      <c r="L56" s="2" t="s">
        <v>254</v>
      </c>
    </row>
    <row r="57" customFormat="false" ht="58.2" hidden="false" customHeight="false" outlineLevel="0" collapsed="false">
      <c r="A57" s="15" t="n">
        <v>53</v>
      </c>
      <c r="B57" s="15" t="s">
        <v>220</v>
      </c>
      <c r="C57" s="15" t="s">
        <v>10</v>
      </c>
      <c r="D57" s="14" t="s">
        <v>32</v>
      </c>
      <c r="E57" s="3" t="s">
        <v>255</v>
      </c>
      <c r="F57" s="2" t="s">
        <v>256</v>
      </c>
      <c r="G57" s="2" t="s">
        <v>257</v>
      </c>
      <c r="H57" s="2" t="s">
        <v>132</v>
      </c>
      <c r="I57" s="7" t="n">
        <v>5</v>
      </c>
      <c r="J57" s="7" t="n">
        <v>20</v>
      </c>
      <c r="K57" s="5" t="n">
        <f aca="false">I57+J57</f>
        <v>25</v>
      </c>
      <c r="L57" s="2" t="s">
        <v>258</v>
      </c>
    </row>
    <row r="58" customFormat="false" ht="72.35" hidden="false" customHeight="false" outlineLevel="0" collapsed="false">
      <c r="A58" s="15" t="n">
        <v>54</v>
      </c>
      <c r="B58" s="15" t="s">
        <v>220</v>
      </c>
      <c r="C58" s="15" t="s">
        <v>10</v>
      </c>
      <c r="D58" s="14" t="s">
        <v>32</v>
      </c>
      <c r="E58" s="3" t="s">
        <v>259</v>
      </c>
      <c r="F58" s="2" t="s">
        <v>260</v>
      </c>
      <c r="G58" s="2" t="s">
        <v>246</v>
      </c>
      <c r="H58" s="2" t="s">
        <v>132</v>
      </c>
      <c r="I58" s="7" t="n">
        <v>5</v>
      </c>
      <c r="J58" s="7" t="n">
        <v>25</v>
      </c>
      <c r="K58" s="5" t="n">
        <f aca="false">I58+J58</f>
        <v>30</v>
      </c>
      <c r="L58" s="2" t="s">
        <v>261</v>
      </c>
    </row>
    <row r="59" customFormat="false" ht="86.55" hidden="false" customHeight="false" outlineLevel="0" collapsed="false">
      <c r="A59" s="15" t="n">
        <v>55</v>
      </c>
      <c r="B59" s="15" t="s">
        <v>220</v>
      </c>
      <c r="C59" s="15" t="s">
        <v>10</v>
      </c>
      <c r="D59" s="14" t="s">
        <v>149</v>
      </c>
      <c r="E59" s="3" t="s">
        <v>262</v>
      </c>
      <c r="F59" s="2" t="s">
        <v>263</v>
      </c>
      <c r="G59" s="2" t="s">
        <v>264</v>
      </c>
      <c r="H59" s="2" t="s">
        <v>132</v>
      </c>
      <c r="I59" s="7" t="n">
        <v>5</v>
      </c>
      <c r="J59" s="7" t="n">
        <v>30</v>
      </c>
      <c r="K59" s="5" t="n">
        <f aca="false">I59+J59</f>
        <v>35</v>
      </c>
      <c r="L59" s="2" t="s">
        <v>265</v>
      </c>
    </row>
    <row r="60" customFormat="false" ht="86.55" hidden="false" customHeight="false" outlineLevel="0" collapsed="false">
      <c r="A60" s="15" t="n">
        <v>56</v>
      </c>
      <c r="B60" s="15" t="s">
        <v>220</v>
      </c>
      <c r="C60" s="15" t="s">
        <v>10</v>
      </c>
      <c r="D60" s="14" t="s">
        <v>149</v>
      </c>
      <c r="E60" s="3" t="s">
        <v>266</v>
      </c>
      <c r="F60" s="2" t="s">
        <v>267</v>
      </c>
      <c r="G60" s="2" t="s">
        <v>268</v>
      </c>
      <c r="H60" s="2" t="s">
        <v>132</v>
      </c>
      <c r="I60" s="7" t="n">
        <v>5</v>
      </c>
      <c r="J60" s="7" t="n">
        <v>25</v>
      </c>
      <c r="K60" s="5" t="n">
        <f aca="false">I60+J60</f>
        <v>30</v>
      </c>
      <c r="L60" s="2" t="s">
        <v>261</v>
      </c>
    </row>
    <row r="61" customFormat="false" ht="58.2" hidden="false" customHeight="false" outlineLevel="0" collapsed="false">
      <c r="A61" s="15" t="n">
        <v>57</v>
      </c>
      <c r="B61" s="15" t="s">
        <v>220</v>
      </c>
      <c r="C61" s="15" t="s">
        <v>10</v>
      </c>
      <c r="D61" s="14" t="s">
        <v>149</v>
      </c>
      <c r="E61" s="3" t="s">
        <v>269</v>
      </c>
      <c r="F61" s="2" t="s">
        <v>270</v>
      </c>
      <c r="G61" s="2" t="s">
        <v>271</v>
      </c>
      <c r="H61" s="2" t="s">
        <v>132</v>
      </c>
      <c r="I61" s="7" t="n">
        <v>5</v>
      </c>
      <c r="J61" s="7" t="n">
        <v>15</v>
      </c>
      <c r="K61" s="5" t="n">
        <f aca="false">I61+J61</f>
        <v>20</v>
      </c>
      <c r="L61" s="2" t="s">
        <v>261</v>
      </c>
    </row>
    <row r="62" customFormat="false" ht="58.2" hidden="false" customHeight="false" outlineLevel="0" collapsed="false">
      <c r="A62" s="15" t="n">
        <v>58</v>
      </c>
      <c r="B62" s="15" t="s">
        <v>220</v>
      </c>
      <c r="C62" s="15" t="s">
        <v>10</v>
      </c>
      <c r="D62" s="14" t="s">
        <v>149</v>
      </c>
      <c r="E62" s="3" t="s">
        <v>272</v>
      </c>
      <c r="F62" s="2" t="s">
        <v>273</v>
      </c>
      <c r="G62" s="2" t="s">
        <v>274</v>
      </c>
      <c r="H62" s="2" t="s">
        <v>132</v>
      </c>
      <c r="I62" s="7" t="n">
        <v>5</v>
      </c>
      <c r="J62" s="7" t="n">
        <v>15</v>
      </c>
      <c r="K62" s="5" t="n">
        <f aca="false">I62+J62</f>
        <v>20</v>
      </c>
      <c r="L62" s="2" t="s">
        <v>261</v>
      </c>
    </row>
    <row r="63" customFormat="false" ht="86.55" hidden="false" customHeight="false" outlineLevel="0" collapsed="false">
      <c r="A63" s="15" t="n">
        <v>59</v>
      </c>
      <c r="B63" s="15" t="s">
        <v>220</v>
      </c>
      <c r="C63" s="15" t="s">
        <v>10</v>
      </c>
      <c r="D63" s="14" t="s">
        <v>166</v>
      </c>
      <c r="E63" s="3" t="s">
        <v>275</v>
      </c>
      <c r="F63" s="2" t="s">
        <v>276</v>
      </c>
      <c r="G63" s="2" t="s">
        <v>277</v>
      </c>
      <c r="H63" s="2" t="s">
        <v>132</v>
      </c>
      <c r="I63" s="7" t="n">
        <v>5</v>
      </c>
      <c r="J63" s="7" t="n">
        <v>30</v>
      </c>
      <c r="K63" s="5" t="n">
        <f aca="false">I63+J63</f>
        <v>35</v>
      </c>
      <c r="L63" s="2" t="s">
        <v>278</v>
      </c>
    </row>
    <row r="64" customFormat="false" ht="72.35" hidden="false" customHeight="false" outlineLevel="0" collapsed="false">
      <c r="A64" s="15" t="n">
        <v>60</v>
      </c>
      <c r="B64" s="15" t="s">
        <v>220</v>
      </c>
      <c r="C64" s="15" t="s">
        <v>10</v>
      </c>
      <c r="D64" s="14" t="s">
        <v>166</v>
      </c>
      <c r="E64" s="3" t="s">
        <v>279</v>
      </c>
      <c r="F64" s="2" t="s">
        <v>280</v>
      </c>
      <c r="G64" s="2" t="s">
        <v>281</v>
      </c>
      <c r="H64" s="2" t="s">
        <v>132</v>
      </c>
      <c r="I64" s="7" t="n">
        <v>5</v>
      </c>
      <c r="J64" s="7" t="n">
        <v>25</v>
      </c>
      <c r="K64" s="5" t="n">
        <f aca="false">I64+J64</f>
        <v>30</v>
      </c>
      <c r="L64" s="2" t="s">
        <v>261</v>
      </c>
    </row>
    <row r="65" customFormat="false" ht="58.2" hidden="false" customHeight="false" outlineLevel="0" collapsed="false">
      <c r="A65" s="15" t="n">
        <v>61</v>
      </c>
      <c r="B65" s="15" t="s">
        <v>220</v>
      </c>
      <c r="C65" s="15" t="s">
        <v>10</v>
      </c>
      <c r="D65" s="14" t="s">
        <v>166</v>
      </c>
      <c r="E65" s="3" t="s">
        <v>282</v>
      </c>
      <c r="F65" s="2" t="s">
        <v>283</v>
      </c>
      <c r="G65" s="2" t="s">
        <v>284</v>
      </c>
      <c r="H65" s="2" t="s">
        <v>132</v>
      </c>
      <c r="I65" s="7" t="n">
        <v>5</v>
      </c>
      <c r="J65" s="7" t="n">
        <v>15</v>
      </c>
      <c r="K65" s="5" t="n">
        <f aca="false">I65+J65</f>
        <v>20</v>
      </c>
      <c r="L65" s="2" t="s">
        <v>261</v>
      </c>
    </row>
    <row r="66" customFormat="false" ht="72.35" hidden="false" customHeight="false" outlineLevel="0" collapsed="false">
      <c r="A66" s="15" t="n">
        <v>62</v>
      </c>
      <c r="B66" s="15" t="s">
        <v>220</v>
      </c>
      <c r="C66" s="15" t="s">
        <v>10</v>
      </c>
      <c r="D66" s="14" t="s">
        <v>166</v>
      </c>
      <c r="E66" s="3" t="s">
        <v>285</v>
      </c>
      <c r="F66" s="2" t="s">
        <v>286</v>
      </c>
      <c r="G66" s="2" t="s">
        <v>274</v>
      </c>
      <c r="H66" s="2" t="s">
        <v>132</v>
      </c>
      <c r="I66" s="7" t="n">
        <v>10</v>
      </c>
      <c r="J66" s="7" t="n">
        <v>10</v>
      </c>
      <c r="K66" s="5" t="n">
        <f aca="false">I66+J66</f>
        <v>20</v>
      </c>
      <c r="L66" s="2" t="s">
        <v>261</v>
      </c>
    </row>
    <row r="67" customFormat="false" ht="58.2" hidden="false" customHeight="false" outlineLevel="0" collapsed="false">
      <c r="A67" s="17" t="n">
        <v>63</v>
      </c>
      <c r="B67" s="17" t="s">
        <v>220</v>
      </c>
      <c r="C67" s="17" t="s">
        <v>12</v>
      </c>
      <c r="D67" s="17"/>
      <c r="E67" s="3" t="s">
        <v>287</v>
      </c>
      <c r="F67" s="2" t="s">
        <v>288</v>
      </c>
      <c r="G67" s="2" t="s">
        <v>289</v>
      </c>
      <c r="H67" s="2" t="s">
        <v>186</v>
      </c>
      <c r="I67" s="7" t="n">
        <v>5</v>
      </c>
      <c r="J67" s="7" t="n">
        <v>35</v>
      </c>
      <c r="K67" s="5" t="n">
        <f aca="false">I67+J67</f>
        <v>40</v>
      </c>
      <c r="L67" s="2" t="s">
        <v>290</v>
      </c>
    </row>
    <row r="68" customFormat="false" ht="44" hidden="false" customHeight="false" outlineLevel="0" collapsed="false">
      <c r="A68" s="17" t="n">
        <v>64</v>
      </c>
      <c r="B68" s="17" t="s">
        <v>220</v>
      </c>
      <c r="C68" s="17" t="s">
        <v>12</v>
      </c>
      <c r="D68" s="17"/>
      <c r="E68" s="3" t="s">
        <v>291</v>
      </c>
      <c r="F68" s="2" t="s">
        <v>292</v>
      </c>
      <c r="G68" s="2" t="s">
        <v>293</v>
      </c>
      <c r="H68" s="2" t="s">
        <v>186</v>
      </c>
      <c r="I68" s="7" t="n">
        <v>5</v>
      </c>
      <c r="J68" s="7" t="n">
        <v>20</v>
      </c>
      <c r="K68" s="5" t="n">
        <f aca="false">I68+J68</f>
        <v>25</v>
      </c>
      <c r="L68" s="2" t="s">
        <v>294</v>
      </c>
    </row>
    <row r="69" customFormat="false" ht="58.2" hidden="false" customHeight="false" outlineLevel="0" collapsed="false">
      <c r="A69" s="17" t="n">
        <v>65</v>
      </c>
      <c r="B69" s="17" t="s">
        <v>220</v>
      </c>
      <c r="C69" s="17" t="s">
        <v>12</v>
      </c>
      <c r="D69" s="17"/>
      <c r="E69" s="3" t="s">
        <v>295</v>
      </c>
      <c r="F69" s="2" t="s">
        <v>296</v>
      </c>
      <c r="G69" s="2" t="s">
        <v>297</v>
      </c>
      <c r="H69" s="2" t="s">
        <v>186</v>
      </c>
      <c r="I69" s="7" t="n">
        <v>5</v>
      </c>
      <c r="J69" s="7" t="n">
        <v>25</v>
      </c>
      <c r="K69" s="5" t="n">
        <f aca="false">I69+J69</f>
        <v>30</v>
      </c>
      <c r="L69" s="2" t="s">
        <v>298</v>
      </c>
    </row>
    <row r="70" customFormat="false" ht="58.2" hidden="false" customHeight="false" outlineLevel="0" collapsed="false">
      <c r="A70" s="17" t="n">
        <v>66</v>
      </c>
      <c r="B70" s="17" t="s">
        <v>220</v>
      </c>
      <c r="C70" s="17" t="s">
        <v>12</v>
      </c>
      <c r="D70" s="17"/>
      <c r="E70" s="3" t="s">
        <v>299</v>
      </c>
      <c r="F70" s="2" t="s">
        <v>300</v>
      </c>
      <c r="G70" s="2" t="s">
        <v>301</v>
      </c>
      <c r="H70" s="2" t="s">
        <v>186</v>
      </c>
      <c r="I70" s="7" t="n">
        <v>5</v>
      </c>
      <c r="J70" s="7" t="n">
        <v>40</v>
      </c>
      <c r="K70" s="5" t="n">
        <f aca="false">I70+J70</f>
        <v>45</v>
      </c>
      <c r="L70" s="2" t="s">
        <v>302</v>
      </c>
    </row>
    <row r="71" customFormat="false" ht="58.2" hidden="false" customHeight="false" outlineLevel="0" collapsed="false">
      <c r="A71" s="17" t="n">
        <v>67</v>
      </c>
      <c r="B71" s="17" t="s">
        <v>220</v>
      </c>
      <c r="C71" s="17" t="s">
        <v>12</v>
      </c>
      <c r="D71" s="17"/>
      <c r="E71" s="3" t="s">
        <v>303</v>
      </c>
      <c r="F71" s="2" t="s">
        <v>304</v>
      </c>
      <c r="G71" s="2" t="s">
        <v>305</v>
      </c>
      <c r="H71" s="2" t="s">
        <v>186</v>
      </c>
      <c r="I71" s="7" t="n">
        <v>5</v>
      </c>
      <c r="J71" s="7" t="n">
        <v>20</v>
      </c>
      <c r="K71" s="5" t="n">
        <f aca="false">I71+J71</f>
        <v>25</v>
      </c>
      <c r="L71" s="2" t="s">
        <v>306</v>
      </c>
    </row>
    <row r="72" customFormat="false" ht="58.2" hidden="false" customHeight="false" outlineLevel="0" collapsed="false">
      <c r="A72" s="17" t="n">
        <v>68</v>
      </c>
      <c r="B72" s="17" t="s">
        <v>220</v>
      </c>
      <c r="C72" s="17" t="s">
        <v>12</v>
      </c>
      <c r="D72" s="17"/>
      <c r="E72" s="3" t="s">
        <v>307</v>
      </c>
      <c r="F72" s="2" t="s">
        <v>308</v>
      </c>
      <c r="G72" s="2" t="s">
        <v>309</v>
      </c>
      <c r="H72" s="2" t="s">
        <v>186</v>
      </c>
      <c r="I72" s="7" t="n">
        <v>5</v>
      </c>
      <c r="J72" s="7" t="n">
        <v>40</v>
      </c>
      <c r="K72" s="5" t="n">
        <f aca="false">I72+J72</f>
        <v>45</v>
      </c>
      <c r="L72" s="2" t="s">
        <v>310</v>
      </c>
    </row>
    <row r="73" customFormat="false" ht="58.2" hidden="false" customHeight="false" outlineLevel="0" collapsed="false">
      <c r="A73" s="17" t="n">
        <v>69</v>
      </c>
      <c r="B73" s="17" t="s">
        <v>220</v>
      </c>
      <c r="C73" s="17" t="s">
        <v>12</v>
      </c>
      <c r="D73" s="17"/>
      <c r="E73" s="3" t="s">
        <v>311</v>
      </c>
      <c r="F73" s="2" t="s">
        <v>312</v>
      </c>
      <c r="G73" s="2" t="s">
        <v>313</v>
      </c>
      <c r="H73" s="2" t="s">
        <v>186</v>
      </c>
      <c r="I73" s="7" t="n">
        <v>5</v>
      </c>
      <c r="J73" s="7" t="n">
        <v>30</v>
      </c>
      <c r="K73" s="5" t="n">
        <f aca="false">I73+J73</f>
        <v>35</v>
      </c>
      <c r="L73" s="2" t="s">
        <v>314</v>
      </c>
    </row>
    <row r="74" customFormat="false" ht="72.35" hidden="false" customHeight="false" outlineLevel="0" collapsed="false">
      <c r="A74" s="17" t="n">
        <v>70</v>
      </c>
      <c r="B74" s="17" t="s">
        <v>220</v>
      </c>
      <c r="C74" s="17" t="s">
        <v>12</v>
      </c>
      <c r="D74" s="17"/>
      <c r="E74" s="3" t="s">
        <v>315</v>
      </c>
      <c r="F74" s="2" t="s">
        <v>316</v>
      </c>
      <c r="G74" s="2" t="s">
        <v>317</v>
      </c>
      <c r="H74" s="2" t="s">
        <v>186</v>
      </c>
      <c r="I74" s="7" t="n">
        <v>5</v>
      </c>
      <c r="J74" s="7" t="n">
        <v>30</v>
      </c>
      <c r="K74" s="5" t="n">
        <f aca="false">I74+J74</f>
        <v>35</v>
      </c>
      <c r="L74" s="2" t="s">
        <v>318</v>
      </c>
    </row>
    <row r="75" customFormat="false" ht="15" hidden="false" customHeight="false" outlineLevel="0" collapsed="false">
      <c r="A75" s="9" t="str">
        <f aca="false">"4. BPMN — 제안이 한 번 승인되고, 실행되고, 자동 확인되어야 일이 닫힌다  ("&amp;SUM(K76:K94)&amp;"분)"</f>
        <v>4. BPMN — 제안이 한 번 승인되고, 실행되고, 자동 확인되어야 일이 닫힌다  (610분)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</row>
    <row r="76" customFormat="false" ht="58.2" hidden="false" customHeight="false" outlineLevel="0" collapsed="false">
      <c r="A76" s="13" t="n">
        <v>71</v>
      </c>
      <c r="B76" s="12" t="s">
        <v>319</v>
      </c>
      <c r="C76" s="13" t="s">
        <v>86</v>
      </c>
      <c r="D76" s="13"/>
      <c r="E76" s="3" t="s">
        <v>320</v>
      </c>
      <c r="F76" s="2" t="s">
        <v>321</v>
      </c>
      <c r="G76" s="2" t="s">
        <v>322</v>
      </c>
      <c r="H76" s="2" t="s">
        <v>90</v>
      </c>
      <c r="I76" s="7" t="n">
        <v>10</v>
      </c>
      <c r="J76" s="7" t="n">
        <v>20</v>
      </c>
      <c r="K76" s="5" t="n">
        <f aca="false">I76+J76</f>
        <v>30</v>
      </c>
      <c r="L76" s="2"/>
    </row>
    <row r="77" customFormat="false" ht="72.35" hidden="false" customHeight="false" outlineLevel="0" collapsed="false">
      <c r="A77" s="13" t="n">
        <v>72</v>
      </c>
      <c r="B77" s="12" t="s">
        <v>319</v>
      </c>
      <c r="C77" s="13" t="s">
        <v>86</v>
      </c>
      <c r="D77" s="13"/>
      <c r="E77" s="3" t="s">
        <v>323</v>
      </c>
      <c r="F77" s="2" t="s">
        <v>324</v>
      </c>
      <c r="G77" s="2" t="s">
        <v>325</v>
      </c>
      <c r="H77" s="2" t="s">
        <v>90</v>
      </c>
      <c r="I77" s="7" t="n">
        <v>15</v>
      </c>
      <c r="J77" s="7" t="n">
        <v>15</v>
      </c>
      <c r="K77" s="5" t="n">
        <f aca="false">I77+J77</f>
        <v>30</v>
      </c>
      <c r="L77" s="2"/>
    </row>
    <row r="78" customFormat="false" ht="58.2" hidden="false" customHeight="false" outlineLevel="0" collapsed="false">
      <c r="A78" s="13" t="n">
        <v>73</v>
      </c>
      <c r="B78" s="12" t="s">
        <v>319</v>
      </c>
      <c r="C78" s="13" t="s">
        <v>86</v>
      </c>
      <c r="D78" s="13"/>
      <c r="E78" s="3" t="s">
        <v>326</v>
      </c>
      <c r="F78" s="2" t="s">
        <v>327</v>
      </c>
      <c r="G78" s="2" t="s">
        <v>328</v>
      </c>
      <c r="H78" s="2" t="s">
        <v>90</v>
      </c>
      <c r="I78" s="7" t="n">
        <v>20</v>
      </c>
      <c r="J78" s="7" t="n">
        <v>5</v>
      </c>
      <c r="K78" s="5" t="n">
        <f aca="false">I78+J78</f>
        <v>25</v>
      </c>
      <c r="L78" s="2"/>
    </row>
    <row r="79" customFormat="false" ht="58.2" hidden="false" customHeight="false" outlineLevel="0" collapsed="false">
      <c r="A79" s="13" t="n">
        <v>74</v>
      </c>
      <c r="B79" s="12" t="s">
        <v>319</v>
      </c>
      <c r="C79" s="13" t="s">
        <v>86</v>
      </c>
      <c r="D79" s="13"/>
      <c r="E79" s="3" t="s">
        <v>329</v>
      </c>
      <c r="F79" s="2" t="s">
        <v>330</v>
      </c>
      <c r="G79" s="2" t="s">
        <v>331</v>
      </c>
      <c r="H79" s="2" t="s">
        <v>90</v>
      </c>
      <c r="I79" s="7" t="n">
        <v>15</v>
      </c>
      <c r="J79" s="7" t="n">
        <v>15</v>
      </c>
      <c r="K79" s="5" t="n">
        <f aca="false">I79+J79</f>
        <v>30</v>
      </c>
      <c r="L79" s="2"/>
    </row>
    <row r="80" customFormat="false" ht="72.35" hidden="false" customHeight="false" outlineLevel="0" collapsed="false">
      <c r="A80" s="13" t="n">
        <v>75</v>
      </c>
      <c r="B80" s="12" t="s">
        <v>319</v>
      </c>
      <c r="C80" s="13" t="s">
        <v>86</v>
      </c>
      <c r="D80" s="13"/>
      <c r="E80" s="3" t="s">
        <v>332</v>
      </c>
      <c r="F80" s="2" t="s">
        <v>333</v>
      </c>
      <c r="G80" s="2" t="s">
        <v>334</v>
      </c>
      <c r="H80" s="2" t="s">
        <v>90</v>
      </c>
      <c r="I80" s="7" t="n">
        <v>25</v>
      </c>
      <c r="J80" s="7" t="n">
        <v>0</v>
      </c>
      <c r="K80" s="5" t="n">
        <f aca="false">I80+J80</f>
        <v>25</v>
      </c>
      <c r="L80" s="2"/>
    </row>
    <row r="81" customFormat="false" ht="86.55" hidden="false" customHeight="false" outlineLevel="0" collapsed="false">
      <c r="A81" s="15" t="n">
        <v>76</v>
      </c>
      <c r="B81" s="14" t="s">
        <v>319</v>
      </c>
      <c r="C81" s="15" t="s">
        <v>10</v>
      </c>
      <c r="D81" s="14" t="s">
        <v>32</v>
      </c>
      <c r="E81" s="3" t="s">
        <v>335</v>
      </c>
      <c r="F81" s="2" t="s">
        <v>336</v>
      </c>
      <c r="G81" s="3" t="s">
        <v>337</v>
      </c>
      <c r="H81" s="2" t="s">
        <v>132</v>
      </c>
      <c r="I81" s="7" t="n">
        <v>5</v>
      </c>
      <c r="J81" s="7" t="n">
        <v>45</v>
      </c>
      <c r="K81" s="5" t="n">
        <f aca="false">I81+J81</f>
        <v>50</v>
      </c>
      <c r="L81" s="2" t="s">
        <v>338</v>
      </c>
    </row>
    <row r="82" customFormat="false" ht="72.35" hidden="false" customHeight="false" outlineLevel="0" collapsed="false">
      <c r="A82" s="15" t="n">
        <v>77</v>
      </c>
      <c r="B82" s="14" t="s">
        <v>319</v>
      </c>
      <c r="C82" s="15" t="s">
        <v>10</v>
      </c>
      <c r="D82" s="14" t="s">
        <v>32</v>
      </c>
      <c r="E82" s="3" t="s">
        <v>339</v>
      </c>
      <c r="F82" s="2" t="s">
        <v>340</v>
      </c>
      <c r="G82" s="2" t="s">
        <v>341</v>
      </c>
      <c r="H82" s="2" t="s">
        <v>132</v>
      </c>
      <c r="I82" s="7" t="n">
        <v>5</v>
      </c>
      <c r="J82" s="7" t="n">
        <v>35</v>
      </c>
      <c r="K82" s="5" t="n">
        <f aca="false">I82+J82</f>
        <v>40</v>
      </c>
      <c r="L82" s="2" t="s">
        <v>342</v>
      </c>
    </row>
    <row r="83" customFormat="false" ht="72.35" hidden="false" customHeight="false" outlineLevel="0" collapsed="false">
      <c r="A83" s="15" t="n">
        <v>78</v>
      </c>
      <c r="B83" s="14" t="s">
        <v>319</v>
      </c>
      <c r="C83" s="15" t="s">
        <v>10</v>
      </c>
      <c r="D83" s="14" t="s">
        <v>32</v>
      </c>
      <c r="E83" s="3" t="s">
        <v>343</v>
      </c>
      <c r="F83" s="2" t="s">
        <v>344</v>
      </c>
      <c r="G83" s="2" t="s">
        <v>345</v>
      </c>
      <c r="H83" s="2" t="s">
        <v>132</v>
      </c>
      <c r="I83" s="7" t="n">
        <v>5</v>
      </c>
      <c r="J83" s="7" t="n">
        <v>25</v>
      </c>
      <c r="K83" s="5" t="n">
        <f aca="false">I83+J83</f>
        <v>30</v>
      </c>
      <c r="L83" s="2" t="s">
        <v>346</v>
      </c>
    </row>
    <row r="84" customFormat="false" ht="86.55" hidden="false" customHeight="false" outlineLevel="0" collapsed="false">
      <c r="A84" s="15" t="n">
        <v>79</v>
      </c>
      <c r="B84" s="14" t="s">
        <v>319</v>
      </c>
      <c r="C84" s="15" t="s">
        <v>10</v>
      </c>
      <c r="D84" s="14" t="s">
        <v>149</v>
      </c>
      <c r="E84" s="3" t="s">
        <v>347</v>
      </c>
      <c r="F84" s="2" t="s">
        <v>348</v>
      </c>
      <c r="G84" s="2" t="s">
        <v>349</v>
      </c>
      <c r="H84" s="2" t="s">
        <v>132</v>
      </c>
      <c r="I84" s="7" t="n">
        <v>5</v>
      </c>
      <c r="J84" s="7" t="n">
        <v>30</v>
      </c>
      <c r="K84" s="5" t="n">
        <f aca="false">I84+J84</f>
        <v>35</v>
      </c>
      <c r="L84" s="2" t="s">
        <v>350</v>
      </c>
    </row>
    <row r="85" customFormat="false" ht="72.35" hidden="false" customHeight="false" outlineLevel="0" collapsed="false">
      <c r="A85" s="15" t="n">
        <v>80</v>
      </c>
      <c r="B85" s="14" t="s">
        <v>319</v>
      </c>
      <c r="C85" s="15" t="s">
        <v>10</v>
      </c>
      <c r="D85" s="14" t="s">
        <v>149</v>
      </c>
      <c r="E85" s="3" t="s">
        <v>351</v>
      </c>
      <c r="F85" s="2" t="s">
        <v>352</v>
      </c>
      <c r="G85" s="2" t="s">
        <v>353</v>
      </c>
      <c r="H85" s="2" t="s">
        <v>132</v>
      </c>
      <c r="I85" s="7" t="n">
        <v>5</v>
      </c>
      <c r="J85" s="7" t="n">
        <v>25</v>
      </c>
      <c r="K85" s="5" t="n">
        <f aca="false">I85+J85</f>
        <v>30</v>
      </c>
      <c r="L85" s="2" t="s">
        <v>354</v>
      </c>
    </row>
    <row r="86" customFormat="false" ht="58.2" hidden="false" customHeight="false" outlineLevel="0" collapsed="false">
      <c r="A86" s="15" t="n">
        <v>81</v>
      </c>
      <c r="B86" s="14" t="s">
        <v>319</v>
      </c>
      <c r="C86" s="15" t="s">
        <v>10</v>
      </c>
      <c r="D86" s="14" t="s">
        <v>149</v>
      </c>
      <c r="E86" s="3" t="s">
        <v>355</v>
      </c>
      <c r="F86" s="2" t="s">
        <v>356</v>
      </c>
      <c r="G86" s="2" t="s">
        <v>357</v>
      </c>
      <c r="H86" s="2" t="s">
        <v>132</v>
      </c>
      <c r="I86" s="7" t="n">
        <v>5</v>
      </c>
      <c r="J86" s="7" t="n">
        <v>20</v>
      </c>
      <c r="K86" s="5" t="n">
        <f aca="false">I86+J86</f>
        <v>25</v>
      </c>
      <c r="L86" s="2" t="s">
        <v>358</v>
      </c>
    </row>
    <row r="87" customFormat="false" ht="72.35" hidden="false" customHeight="false" outlineLevel="0" collapsed="false">
      <c r="A87" s="15" t="n">
        <v>82</v>
      </c>
      <c r="B87" s="14" t="s">
        <v>319</v>
      </c>
      <c r="C87" s="15" t="s">
        <v>10</v>
      </c>
      <c r="D87" s="14" t="s">
        <v>166</v>
      </c>
      <c r="E87" s="3" t="s">
        <v>359</v>
      </c>
      <c r="F87" s="2" t="s">
        <v>360</v>
      </c>
      <c r="G87" s="2" t="s">
        <v>361</v>
      </c>
      <c r="H87" s="2" t="s">
        <v>132</v>
      </c>
      <c r="I87" s="7" t="n">
        <v>5</v>
      </c>
      <c r="J87" s="7" t="n">
        <v>30</v>
      </c>
      <c r="K87" s="5" t="n">
        <f aca="false">I87+J87</f>
        <v>35</v>
      </c>
      <c r="L87" s="2"/>
    </row>
    <row r="88" customFormat="false" ht="72.35" hidden="false" customHeight="false" outlineLevel="0" collapsed="false">
      <c r="A88" s="15" t="n">
        <v>83</v>
      </c>
      <c r="B88" s="14" t="s">
        <v>319</v>
      </c>
      <c r="C88" s="15" t="s">
        <v>10</v>
      </c>
      <c r="D88" s="14" t="s">
        <v>166</v>
      </c>
      <c r="E88" s="3" t="s">
        <v>362</v>
      </c>
      <c r="F88" s="2" t="s">
        <v>363</v>
      </c>
      <c r="G88" s="2" t="s">
        <v>364</v>
      </c>
      <c r="H88" s="2" t="s">
        <v>132</v>
      </c>
      <c r="I88" s="7" t="n">
        <v>5</v>
      </c>
      <c r="J88" s="7" t="n">
        <v>25</v>
      </c>
      <c r="K88" s="5" t="n">
        <f aca="false">I88+J88</f>
        <v>30</v>
      </c>
      <c r="L88" s="2" t="s">
        <v>354</v>
      </c>
    </row>
    <row r="89" customFormat="false" ht="72.35" hidden="false" customHeight="false" outlineLevel="0" collapsed="false">
      <c r="A89" s="15" t="n">
        <v>84</v>
      </c>
      <c r="B89" s="14" t="s">
        <v>319</v>
      </c>
      <c r="C89" s="15" t="s">
        <v>10</v>
      </c>
      <c r="D89" s="14" t="s">
        <v>166</v>
      </c>
      <c r="E89" s="3" t="s">
        <v>365</v>
      </c>
      <c r="F89" s="2" t="s">
        <v>366</v>
      </c>
      <c r="G89" s="2" t="s">
        <v>367</v>
      </c>
      <c r="H89" s="2" t="s">
        <v>132</v>
      </c>
      <c r="I89" s="7" t="n">
        <v>10</v>
      </c>
      <c r="J89" s="7" t="n">
        <v>15</v>
      </c>
      <c r="K89" s="5" t="n">
        <f aca="false">I89+J89</f>
        <v>25</v>
      </c>
      <c r="L89" s="2" t="s">
        <v>358</v>
      </c>
    </row>
    <row r="90" customFormat="false" ht="58.2" hidden="false" customHeight="false" outlineLevel="0" collapsed="false">
      <c r="A90" s="17" t="n">
        <v>85</v>
      </c>
      <c r="B90" s="16" t="s">
        <v>319</v>
      </c>
      <c r="C90" s="17" t="s">
        <v>12</v>
      </c>
      <c r="D90" s="17"/>
      <c r="E90" s="3" t="s">
        <v>368</v>
      </c>
      <c r="F90" s="2" t="s">
        <v>369</v>
      </c>
      <c r="G90" s="2" t="s">
        <v>370</v>
      </c>
      <c r="H90" s="2" t="s">
        <v>186</v>
      </c>
      <c r="I90" s="7" t="n">
        <v>5</v>
      </c>
      <c r="J90" s="7" t="n">
        <v>30</v>
      </c>
      <c r="K90" s="5" t="n">
        <f aca="false">I90+J90</f>
        <v>35</v>
      </c>
      <c r="L90" s="2" t="s">
        <v>371</v>
      </c>
    </row>
    <row r="91" customFormat="false" ht="58.2" hidden="false" customHeight="false" outlineLevel="0" collapsed="false">
      <c r="A91" s="17" t="n">
        <v>86</v>
      </c>
      <c r="B91" s="16" t="s">
        <v>319</v>
      </c>
      <c r="C91" s="17" t="s">
        <v>12</v>
      </c>
      <c r="D91" s="17"/>
      <c r="E91" s="3" t="s">
        <v>372</v>
      </c>
      <c r="F91" s="2" t="s">
        <v>373</v>
      </c>
      <c r="G91" s="2" t="s">
        <v>374</v>
      </c>
      <c r="H91" s="2" t="s">
        <v>186</v>
      </c>
      <c r="I91" s="7" t="n">
        <v>5</v>
      </c>
      <c r="J91" s="7" t="n">
        <v>25</v>
      </c>
      <c r="K91" s="5" t="n">
        <f aca="false">I91+J91</f>
        <v>30</v>
      </c>
      <c r="L91" s="2" t="s">
        <v>375</v>
      </c>
    </row>
    <row r="92" customFormat="false" ht="58.2" hidden="false" customHeight="false" outlineLevel="0" collapsed="false">
      <c r="A92" s="17" t="n">
        <v>87</v>
      </c>
      <c r="B92" s="16" t="s">
        <v>319</v>
      </c>
      <c r="C92" s="17" t="s">
        <v>12</v>
      </c>
      <c r="D92" s="17"/>
      <c r="E92" s="3" t="s">
        <v>376</v>
      </c>
      <c r="F92" s="2" t="s">
        <v>377</v>
      </c>
      <c r="G92" s="2" t="s">
        <v>378</v>
      </c>
      <c r="H92" s="2" t="s">
        <v>186</v>
      </c>
      <c r="I92" s="7" t="n">
        <v>5</v>
      </c>
      <c r="J92" s="7" t="n">
        <v>30</v>
      </c>
      <c r="K92" s="5" t="n">
        <f aca="false">I92+J92</f>
        <v>35</v>
      </c>
      <c r="L92" s="2" t="s">
        <v>379</v>
      </c>
    </row>
    <row r="93" customFormat="false" ht="58.2" hidden="false" customHeight="false" outlineLevel="0" collapsed="false">
      <c r="A93" s="17" t="n">
        <v>88</v>
      </c>
      <c r="B93" s="16" t="s">
        <v>319</v>
      </c>
      <c r="C93" s="17" t="s">
        <v>12</v>
      </c>
      <c r="D93" s="17"/>
      <c r="E93" s="3" t="s">
        <v>380</v>
      </c>
      <c r="F93" s="2" t="s">
        <v>381</v>
      </c>
      <c r="G93" s="2" t="s">
        <v>382</v>
      </c>
      <c r="H93" s="2" t="s">
        <v>186</v>
      </c>
      <c r="I93" s="7" t="n">
        <v>5</v>
      </c>
      <c r="J93" s="7" t="n">
        <v>40</v>
      </c>
      <c r="K93" s="5" t="n">
        <f aca="false">I93+J93</f>
        <v>45</v>
      </c>
      <c r="L93" s="2" t="s">
        <v>383</v>
      </c>
    </row>
    <row r="94" customFormat="false" ht="58.2" hidden="false" customHeight="false" outlineLevel="0" collapsed="false">
      <c r="A94" s="17" t="n">
        <v>89</v>
      </c>
      <c r="B94" s="16" t="s">
        <v>319</v>
      </c>
      <c r="C94" s="17" t="s">
        <v>12</v>
      </c>
      <c r="D94" s="17"/>
      <c r="E94" s="3" t="s">
        <v>384</v>
      </c>
      <c r="F94" s="2" t="s">
        <v>385</v>
      </c>
      <c r="G94" s="2" t="s">
        <v>386</v>
      </c>
      <c r="H94" s="2" t="s">
        <v>186</v>
      </c>
      <c r="I94" s="7" t="n">
        <v>5</v>
      </c>
      <c r="J94" s="7" t="n">
        <v>20</v>
      </c>
      <c r="K94" s="5" t="n">
        <f aca="false">I94+J94</f>
        <v>25</v>
      </c>
      <c r="L94" s="2" t="s">
        <v>387</v>
      </c>
    </row>
    <row r="95" customFormat="false" ht="15" hidden="false" customHeight="false" outlineLevel="0" collapsed="false">
      <c r="A95" s="9" t="str">
        <f aca="false">"5. 마무리 — 내가 만든 것이 실제 제품에서는 어디에 있나  ("&amp;SUM(K96)&amp;"분)"</f>
        <v>5. 마무리 — 내가 만든 것이 실제 제품에서는 어디에 있나  (40분)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</row>
    <row r="96" customFormat="false" ht="72.35" hidden="false" customHeight="false" outlineLevel="0" collapsed="false">
      <c r="A96" s="11" t="n">
        <v>90</v>
      </c>
      <c r="B96" s="11" t="s">
        <v>388</v>
      </c>
      <c r="C96" s="11" t="s">
        <v>388</v>
      </c>
      <c r="D96" s="10" t="s">
        <v>32</v>
      </c>
      <c r="E96" s="3" t="s">
        <v>389</v>
      </c>
      <c r="F96" s="2" t="s">
        <v>390</v>
      </c>
      <c r="G96" s="3" t="s">
        <v>391</v>
      </c>
      <c r="H96" s="2" t="s">
        <v>392</v>
      </c>
      <c r="I96" s="7" t="n">
        <v>15</v>
      </c>
      <c r="J96" s="7" t="n">
        <v>25</v>
      </c>
      <c r="K96" s="5" t="n">
        <f aca="false">I96+J96</f>
        <v>40</v>
      </c>
      <c r="L96" s="2"/>
    </row>
    <row r="97" customFormat="false" ht="15" hidden="false" customHeight="false" outlineLevel="0" collapsed="false">
      <c r="E97" s="1" t="s">
        <v>393</v>
      </c>
      <c r="I97" s="6" t="n">
        <f aca="false">SUM(I2:I96)</f>
        <v>870</v>
      </c>
      <c r="J97" s="6" t="n">
        <f aca="false">SUM(J2:J96)</f>
        <v>1770</v>
      </c>
      <c r="K97" s="6" t="n">
        <f aca="false">SUM(K2:K96)</f>
        <v>2640</v>
      </c>
    </row>
    <row r="98" customFormat="false" ht="15" hidden="false" customHeight="false" outlineLevel="0" collapsed="false">
      <c r="E98" s="1" t="s">
        <v>47</v>
      </c>
      <c r="K98" s="7" t="n">
        <v>2640</v>
      </c>
    </row>
    <row r="99" customFormat="false" ht="15" hidden="false" customHeight="false" outlineLevel="0" collapsed="false">
      <c r="E99" s="1" t="s">
        <v>394</v>
      </c>
      <c r="K99" s="6" t="n">
        <f aca="false">K97-K98</f>
        <v>0</v>
      </c>
    </row>
    <row r="100" customFormat="false" ht="15" hidden="false" customHeight="false" outlineLevel="0" collapsed="false">
      <c r="E100" s="1" t="s">
        <v>395</v>
      </c>
      <c r="K100" s="6" t="n">
        <f aca="false">ROUND(K97/60,1)</f>
        <v>44</v>
      </c>
    </row>
  </sheetData>
  <autoFilter ref="A1:L96"/>
  <mergeCells count="5">
    <mergeCell ref="A2:L2"/>
    <mergeCell ref="A9:L9"/>
    <mergeCell ref="A46:L46"/>
    <mergeCell ref="A75:L75"/>
    <mergeCell ref="A95:L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4" min="3" style="0" width="5.46"/>
    <col collapsed="false" customWidth="true" hidden="false" outlineLevel="0" max="5" min="5" style="0" width="41.85"/>
    <col collapsed="false" customWidth="true" hidden="false" outlineLevel="0" max="6" min="6" style="0" width="63.69"/>
    <col collapsed="false" customWidth="true" hidden="false" outlineLevel="0" max="7" min="7" style="0" width="32.76"/>
    <col collapsed="false" customWidth="true" hidden="false" outlineLevel="0" max="8" min="8" style="0" width="23.66"/>
    <col collapsed="false" customWidth="true" hidden="false" outlineLevel="0" max="9" min="9" style="0" width="16.38"/>
    <col collapsed="false" customWidth="true" hidden="false" outlineLevel="0" max="10" min="10" style="0" width="7.28"/>
    <col collapsed="false" customWidth="true" hidden="false" outlineLevel="0" max="11" min="11" style="0" width="32.76"/>
  </cols>
  <sheetData>
    <row r="1" customFormat="false" ht="29.85" hidden="false" customHeight="false" outlineLevel="0" collapsed="false">
      <c r="A1" s="8" t="s">
        <v>51</v>
      </c>
      <c r="B1" s="4" t="s">
        <v>20</v>
      </c>
      <c r="C1" s="4" t="s">
        <v>52</v>
      </c>
      <c r="D1" s="4" t="s">
        <v>24</v>
      </c>
      <c r="E1" s="4" t="s">
        <v>396</v>
      </c>
      <c r="F1" s="4" t="s">
        <v>397</v>
      </c>
      <c r="G1" s="4" t="s">
        <v>398</v>
      </c>
      <c r="H1" s="4" t="s">
        <v>55</v>
      </c>
      <c r="I1" s="4" t="s">
        <v>399</v>
      </c>
      <c r="J1" s="4" t="s">
        <v>59</v>
      </c>
      <c r="K1" s="4" t="s">
        <v>60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("&amp;SUM(J3:J8)&amp;"분)"</f>
        <v>1. 시작 — 공장의 값이 업무가 되기까지, 우리가 끝까지 만들 것을 먼저 본다  (190분)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customFormat="false" ht="58.2" hidden="false" customHeight="false" outlineLevel="0" collapsed="false">
      <c r="A3" s="11" t="n">
        <v>1</v>
      </c>
      <c r="B3" s="11" t="s">
        <v>61</v>
      </c>
      <c r="C3" s="11" t="s">
        <v>61</v>
      </c>
      <c r="D3" s="11"/>
      <c r="E3" s="3" t="s">
        <v>400</v>
      </c>
      <c r="F3" s="2" t="s">
        <v>401</v>
      </c>
      <c r="G3" s="2" t="s">
        <v>402</v>
      </c>
      <c r="H3" s="2" t="s">
        <v>64</v>
      </c>
      <c r="I3" s="2" t="s">
        <v>403</v>
      </c>
      <c r="J3" s="7" t="n">
        <v>20</v>
      </c>
      <c r="K3" s="2"/>
    </row>
    <row r="4" customFormat="false" ht="58.2" hidden="false" customHeight="false" outlineLevel="0" collapsed="false">
      <c r="A4" s="11" t="n">
        <v>2</v>
      </c>
      <c r="B4" s="11" t="s">
        <v>61</v>
      </c>
      <c r="C4" s="11" t="s">
        <v>61</v>
      </c>
      <c r="D4" s="11"/>
      <c r="E4" s="3" t="s">
        <v>404</v>
      </c>
      <c r="F4" s="3" t="s">
        <v>405</v>
      </c>
      <c r="G4" s="2" t="s">
        <v>406</v>
      </c>
      <c r="H4" s="3" t="s">
        <v>68</v>
      </c>
      <c r="I4" s="3" t="s">
        <v>407</v>
      </c>
      <c r="J4" s="7" t="n">
        <v>40</v>
      </c>
      <c r="K4" s="2" t="s">
        <v>408</v>
      </c>
    </row>
    <row r="5" customFormat="false" ht="58.2" hidden="false" customHeight="false" outlineLevel="0" collapsed="false">
      <c r="A5" s="11" t="n">
        <v>3</v>
      </c>
      <c r="B5" s="11" t="s">
        <v>61</v>
      </c>
      <c r="C5" s="11" t="s">
        <v>61</v>
      </c>
      <c r="D5" s="11"/>
      <c r="E5" s="3" t="s">
        <v>409</v>
      </c>
      <c r="F5" s="2" t="s">
        <v>410</v>
      </c>
      <c r="G5" s="3" t="s">
        <v>411</v>
      </c>
      <c r="H5" s="3" t="s">
        <v>72</v>
      </c>
      <c r="I5" s="2" t="s">
        <v>412</v>
      </c>
      <c r="J5" s="7" t="n">
        <v>30</v>
      </c>
      <c r="K5" s="2" t="s">
        <v>413</v>
      </c>
    </row>
    <row r="6" customFormat="false" ht="58.2" hidden="false" customHeight="false" outlineLevel="0" collapsed="false">
      <c r="A6" s="11" t="n">
        <v>4</v>
      </c>
      <c r="B6" s="11" t="s">
        <v>61</v>
      </c>
      <c r="C6" s="11" t="s">
        <v>61</v>
      </c>
      <c r="D6" s="11"/>
      <c r="E6" s="3" t="s">
        <v>414</v>
      </c>
      <c r="F6" s="2" t="s">
        <v>415</v>
      </c>
      <c r="G6" s="2" t="s">
        <v>416</v>
      </c>
      <c r="H6" s="2" t="s">
        <v>75</v>
      </c>
      <c r="I6" s="2" t="s">
        <v>412</v>
      </c>
      <c r="J6" s="7" t="n">
        <v>30</v>
      </c>
      <c r="K6" s="2" t="s">
        <v>417</v>
      </c>
    </row>
    <row r="7" customFormat="false" ht="58.2" hidden="false" customHeight="false" outlineLevel="0" collapsed="false">
      <c r="A7" s="11" t="n">
        <v>5</v>
      </c>
      <c r="B7" s="11" t="s">
        <v>61</v>
      </c>
      <c r="C7" s="11" t="s">
        <v>61</v>
      </c>
      <c r="D7" s="11"/>
      <c r="E7" s="3" t="s">
        <v>418</v>
      </c>
      <c r="F7" s="2" t="s">
        <v>419</v>
      </c>
      <c r="G7" s="2" t="s">
        <v>420</v>
      </c>
      <c r="H7" s="2" t="s">
        <v>79</v>
      </c>
      <c r="I7" s="2" t="s">
        <v>403</v>
      </c>
      <c r="J7" s="7" t="n">
        <v>30</v>
      </c>
      <c r="K7" s="2"/>
    </row>
    <row r="8" customFormat="false" ht="86.55" hidden="false" customHeight="false" outlineLevel="0" collapsed="false">
      <c r="A8" s="11" t="n">
        <v>6</v>
      </c>
      <c r="B8" s="11" t="s">
        <v>61</v>
      </c>
      <c r="C8" s="11" t="s">
        <v>61</v>
      </c>
      <c r="D8" s="10" t="s">
        <v>32</v>
      </c>
      <c r="E8" s="3" t="s">
        <v>421</v>
      </c>
      <c r="F8" s="2" t="s">
        <v>422</v>
      </c>
      <c r="G8" s="2" t="s">
        <v>423</v>
      </c>
      <c r="H8" s="2" t="s">
        <v>82</v>
      </c>
      <c r="I8" s="2" t="s">
        <v>412</v>
      </c>
      <c r="J8" s="7" t="n">
        <v>40</v>
      </c>
      <c r="K8" s="2" t="s">
        <v>84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("&amp;SUM(J10:J42)&amp;"분)"</f>
        <v>2. 온톨로지 — 문서를 공장의 지식 지도로 만들면 AI가 근거를 들고 답한다  (925분)</v>
      </c>
      <c r="B9" s="9"/>
      <c r="C9" s="9"/>
      <c r="D9" s="9"/>
      <c r="E9" s="9"/>
      <c r="F9" s="9"/>
      <c r="G9" s="9"/>
      <c r="H9" s="9"/>
      <c r="I9" s="9"/>
      <c r="J9" s="9"/>
      <c r="K9" s="9"/>
    </row>
    <row r="10" customFormat="false" ht="58.2" hidden="false" customHeight="false" outlineLevel="0" collapsed="false">
      <c r="A10" s="13" t="n">
        <v>7</v>
      </c>
      <c r="B10" s="13" t="s">
        <v>85</v>
      </c>
      <c r="C10" s="13" t="s">
        <v>86</v>
      </c>
      <c r="D10" s="13"/>
      <c r="E10" s="3" t="s">
        <v>424</v>
      </c>
      <c r="F10" s="3" t="s">
        <v>425</v>
      </c>
      <c r="G10" s="3" t="s">
        <v>426</v>
      </c>
      <c r="H10" s="2" t="s">
        <v>89</v>
      </c>
      <c r="I10" s="2" t="s">
        <v>403</v>
      </c>
      <c r="J10" s="7" t="n">
        <v>25</v>
      </c>
      <c r="K10" s="2"/>
    </row>
    <row r="11" customFormat="false" ht="58.2" hidden="false" customHeight="false" outlineLevel="0" collapsed="false">
      <c r="A11" s="13" t="n">
        <v>8</v>
      </c>
      <c r="B11" s="13" t="s">
        <v>85</v>
      </c>
      <c r="C11" s="13" t="s">
        <v>86</v>
      </c>
      <c r="D11" s="13"/>
      <c r="E11" s="3" t="s">
        <v>427</v>
      </c>
      <c r="F11" s="2" t="s">
        <v>428</v>
      </c>
      <c r="G11" s="2" t="s">
        <v>429</v>
      </c>
      <c r="H11" s="2" t="s">
        <v>93</v>
      </c>
      <c r="I11" s="2" t="s">
        <v>403</v>
      </c>
      <c r="J11" s="7" t="n">
        <v>25</v>
      </c>
      <c r="K11" s="2"/>
    </row>
    <row r="12" customFormat="false" ht="58.2" hidden="false" customHeight="false" outlineLevel="0" collapsed="false">
      <c r="A12" s="13" t="n">
        <v>9</v>
      </c>
      <c r="B12" s="13" t="s">
        <v>85</v>
      </c>
      <c r="C12" s="13" t="s">
        <v>86</v>
      </c>
      <c r="D12" s="13"/>
      <c r="E12" s="3" t="s">
        <v>430</v>
      </c>
      <c r="F12" s="2" t="s">
        <v>431</v>
      </c>
      <c r="G12" s="2" t="s">
        <v>432</v>
      </c>
      <c r="H12" s="2" t="s">
        <v>96</v>
      </c>
      <c r="I12" s="2" t="s">
        <v>403</v>
      </c>
      <c r="J12" s="7" t="n">
        <v>30</v>
      </c>
      <c r="K12" s="2"/>
    </row>
    <row r="13" customFormat="false" ht="72.35" hidden="false" customHeight="false" outlineLevel="0" collapsed="false">
      <c r="A13" s="13" t="n">
        <v>10</v>
      </c>
      <c r="B13" s="13" t="s">
        <v>85</v>
      </c>
      <c r="C13" s="13" t="s">
        <v>86</v>
      </c>
      <c r="D13" s="13"/>
      <c r="E13" s="3" t="s">
        <v>433</v>
      </c>
      <c r="F13" s="3" t="s">
        <v>434</v>
      </c>
      <c r="G13" s="2" t="s">
        <v>435</v>
      </c>
      <c r="H13" s="3" t="s">
        <v>99</v>
      </c>
      <c r="I13" s="3" t="s">
        <v>436</v>
      </c>
      <c r="J13" s="7" t="n">
        <v>30</v>
      </c>
      <c r="K13" s="2" t="s">
        <v>437</v>
      </c>
    </row>
    <row r="14" customFormat="false" ht="58.2" hidden="false" customHeight="false" outlineLevel="0" collapsed="false">
      <c r="A14" s="13" t="n">
        <v>11</v>
      </c>
      <c r="B14" s="13" t="s">
        <v>85</v>
      </c>
      <c r="C14" s="13" t="s">
        <v>86</v>
      </c>
      <c r="D14" s="13"/>
      <c r="E14" s="3" t="s">
        <v>438</v>
      </c>
      <c r="F14" s="2" t="s">
        <v>439</v>
      </c>
      <c r="G14" s="2" t="s">
        <v>440</v>
      </c>
      <c r="H14" s="2" t="s">
        <v>103</v>
      </c>
      <c r="I14" s="2" t="s">
        <v>441</v>
      </c>
      <c r="J14" s="7" t="n">
        <v>25</v>
      </c>
      <c r="K14" s="2"/>
    </row>
    <row r="15" customFormat="false" ht="58.2" hidden="false" customHeight="false" outlineLevel="0" collapsed="false">
      <c r="A15" s="13" t="n">
        <v>12</v>
      </c>
      <c r="B15" s="13" t="s">
        <v>85</v>
      </c>
      <c r="C15" s="13" t="s">
        <v>86</v>
      </c>
      <c r="D15" s="13"/>
      <c r="E15" s="3" t="s">
        <v>442</v>
      </c>
      <c r="F15" s="2" t="s">
        <v>443</v>
      </c>
      <c r="G15" s="2" t="s">
        <v>444</v>
      </c>
      <c r="H15" s="2" t="s">
        <v>106</v>
      </c>
      <c r="I15" s="2" t="s">
        <v>403</v>
      </c>
      <c r="J15" s="7" t="n">
        <v>20</v>
      </c>
      <c r="K15" s="2"/>
    </row>
    <row r="16" customFormat="false" ht="58.2" hidden="false" customHeight="false" outlineLevel="0" collapsed="false">
      <c r="A16" s="13" t="n">
        <v>13</v>
      </c>
      <c r="B16" s="13" t="s">
        <v>85</v>
      </c>
      <c r="C16" s="13" t="s">
        <v>86</v>
      </c>
      <c r="D16" s="13"/>
      <c r="E16" s="3" t="s">
        <v>445</v>
      </c>
      <c r="F16" s="2" t="s">
        <v>446</v>
      </c>
      <c r="G16" s="2" t="s">
        <v>447</v>
      </c>
      <c r="H16" s="2" t="s">
        <v>109</v>
      </c>
      <c r="I16" s="2" t="s">
        <v>403</v>
      </c>
      <c r="J16" s="7" t="n">
        <v>25</v>
      </c>
      <c r="K16" s="2" t="s">
        <v>110</v>
      </c>
    </row>
    <row r="17" customFormat="false" ht="58.2" hidden="false" customHeight="false" outlineLevel="0" collapsed="false">
      <c r="A17" s="13" t="n">
        <v>14</v>
      </c>
      <c r="B17" s="13" t="s">
        <v>85</v>
      </c>
      <c r="C17" s="13" t="s">
        <v>86</v>
      </c>
      <c r="D17" s="13"/>
      <c r="E17" s="3" t="s">
        <v>448</v>
      </c>
      <c r="F17" s="2" t="s">
        <v>449</v>
      </c>
      <c r="G17" s="2" t="s">
        <v>450</v>
      </c>
      <c r="H17" s="2" t="s">
        <v>113</v>
      </c>
      <c r="I17" s="2" t="s">
        <v>451</v>
      </c>
      <c r="J17" s="7" t="n">
        <v>30</v>
      </c>
      <c r="K17" s="2"/>
    </row>
    <row r="18" customFormat="false" ht="58.2" hidden="false" customHeight="false" outlineLevel="0" collapsed="false">
      <c r="A18" s="13" t="n">
        <v>15</v>
      </c>
      <c r="B18" s="13" t="s">
        <v>85</v>
      </c>
      <c r="C18" s="13" t="s">
        <v>86</v>
      </c>
      <c r="D18" s="13"/>
      <c r="E18" s="3" t="s">
        <v>452</v>
      </c>
      <c r="F18" s="2" t="s">
        <v>453</v>
      </c>
      <c r="G18" s="2" t="s">
        <v>454</v>
      </c>
      <c r="H18" s="2" t="s">
        <v>116</v>
      </c>
      <c r="I18" s="2" t="s">
        <v>455</v>
      </c>
      <c r="J18" s="7" t="n">
        <v>25</v>
      </c>
      <c r="K18" s="2" t="s">
        <v>117</v>
      </c>
    </row>
    <row r="19" customFormat="false" ht="58.2" hidden="false" customHeight="false" outlineLevel="0" collapsed="false">
      <c r="A19" s="13" t="n">
        <v>16</v>
      </c>
      <c r="B19" s="13" t="s">
        <v>85</v>
      </c>
      <c r="C19" s="13" t="s">
        <v>86</v>
      </c>
      <c r="D19" s="13"/>
      <c r="E19" s="3" t="s">
        <v>456</v>
      </c>
      <c r="F19" s="2" t="s">
        <v>457</v>
      </c>
      <c r="G19" s="2" t="s">
        <v>458</v>
      </c>
      <c r="H19" s="2" t="s">
        <v>124</v>
      </c>
      <c r="I19" s="2" t="s">
        <v>403</v>
      </c>
      <c r="J19" s="7" t="n">
        <v>20</v>
      </c>
      <c r="K19" s="2" t="s">
        <v>125</v>
      </c>
    </row>
    <row r="20" customFormat="false" ht="72.35" hidden="false" customHeight="false" outlineLevel="0" collapsed="false">
      <c r="A20" s="13" t="n">
        <v>17</v>
      </c>
      <c r="B20" s="13" t="s">
        <v>85</v>
      </c>
      <c r="C20" s="13" t="s">
        <v>86</v>
      </c>
      <c r="D20" s="13"/>
      <c r="E20" s="3" t="s">
        <v>459</v>
      </c>
      <c r="F20" s="2" t="s">
        <v>460</v>
      </c>
      <c r="G20" s="2" t="s">
        <v>461</v>
      </c>
      <c r="H20" s="2" t="s">
        <v>128</v>
      </c>
      <c r="I20" s="2" t="s">
        <v>403</v>
      </c>
      <c r="J20" s="7" t="n">
        <v>30</v>
      </c>
      <c r="K20" s="2"/>
    </row>
    <row r="21" customFormat="false" ht="58.2" hidden="false" customHeight="false" outlineLevel="0" collapsed="false">
      <c r="A21" s="15" t="n">
        <v>18</v>
      </c>
      <c r="B21" s="15" t="s">
        <v>85</v>
      </c>
      <c r="C21" s="15" t="s">
        <v>10</v>
      </c>
      <c r="D21" s="14" t="s">
        <v>32</v>
      </c>
      <c r="E21" s="3" t="s">
        <v>462</v>
      </c>
      <c r="F21" s="2" t="s">
        <v>463</v>
      </c>
      <c r="G21" s="3" t="s">
        <v>464</v>
      </c>
      <c r="H21" s="2" t="s">
        <v>131</v>
      </c>
      <c r="I21" s="2" t="s">
        <v>10</v>
      </c>
      <c r="J21" s="7" t="n">
        <v>30</v>
      </c>
      <c r="K21" s="2" t="s">
        <v>465</v>
      </c>
    </row>
    <row r="22" customFormat="false" ht="72.35" hidden="false" customHeight="false" outlineLevel="0" collapsed="false">
      <c r="A22" s="15" t="n">
        <v>19</v>
      </c>
      <c r="B22" s="15" t="s">
        <v>85</v>
      </c>
      <c r="C22" s="15" t="s">
        <v>10</v>
      </c>
      <c r="D22" s="14" t="s">
        <v>32</v>
      </c>
      <c r="E22" s="3" t="s">
        <v>466</v>
      </c>
      <c r="F22" s="3" t="s">
        <v>467</v>
      </c>
      <c r="G22" s="3" t="s">
        <v>468</v>
      </c>
      <c r="H22" s="2" t="s">
        <v>136</v>
      </c>
      <c r="I22" s="2" t="s">
        <v>10</v>
      </c>
      <c r="J22" s="7" t="n">
        <v>55</v>
      </c>
      <c r="K22" s="2" t="s">
        <v>469</v>
      </c>
    </row>
    <row r="23" customFormat="false" ht="58.2" hidden="false" customHeight="false" outlineLevel="0" collapsed="false">
      <c r="A23" s="15" t="n">
        <v>20</v>
      </c>
      <c r="B23" s="15" t="s">
        <v>85</v>
      </c>
      <c r="C23" s="15" t="s">
        <v>10</v>
      </c>
      <c r="D23" s="14" t="s">
        <v>32</v>
      </c>
      <c r="E23" s="3" t="s">
        <v>470</v>
      </c>
      <c r="F23" s="2" t="s">
        <v>471</v>
      </c>
      <c r="G23" s="3" t="s">
        <v>472</v>
      </c>
      <c r="H23" s="2" t="s">
        <v>140</v>
      </c>
      <c r="I23" s="2" t="s">
        <v>10</v>
      </c>
      <c r="J23" s="7" t="n">
        <v>30</v>
      </c>
      <c r="K23" s="2" t="s">
        <v>473</v>
      </c>
    </row>
    <row r="24" customFormat="false" ht="44" hidden="false" customHeight="false" outlineLevel="0" collapsed="false">
      <c r="A24" s="15" t="n">
        <v>21</v>
      </c>
      <c r="B24" s="15" t="s">
        <v>85</v>
      </c>
      <c r="C24" s="15" t="s">
        <v>10</v>
      </c>
      <c r="D24" s="14" t="s">
        <v>32</v>
      </c>
      <c r="E24" s="3" t="s">
        <v>474</v>
      </c>
      <c r="F24" s="2" t="s">
        <v>475</v>
      </c>
      <c r="G24" s="3" t="s">
        <v>476</v>
      </c>
      <c r="H24" s="2" t="s">
        <v>144</v>
      </c>
      <c r="I24" s="2" t="s">
        <v>10</v>
      </c>
      <c r="J24" s="7" t="n">
        <v>25</v>
      </c>
      <c r="K24" s="2" t="s">
        <v>477</v>
      </c>
    </row>
    <row r="25" customFormat="false" ht="72.35" hidden="false" customHeight="false" outlineLevel="0" collapsed="false">
      <c r="A25" s="15" t="n">
        <v>22</v>
      </c>
      <c r="B25" s="15" t="s">
        <v>85</v>
      </c>
      <c r="C25" s="15" t="s">
        <v>10</v>
      </c>
      <c r="D25" s="14" t="s">
        <v>32</v>
      </c>
      <c r="E25" s="3" t="s">
        <v>478</v>
      </c>
      <c r="F25" s="2" t="s">
        <v>479</v>
      </c>
      <c r="G25" s="3" t="s">
        <v>480</v>
      </c>
      <c r="H25" s="2" t="s">
        <v>148</v>
      </c>
      <c r="I25" s="2" t="s">
        <v>10</v>
      </c>
      <c r="J25" s="7" t="n">
        <v>25</v>
      </c>
      <c r="K25" s="2"/>
    </row>
    <row r="26" customFormat="false" ht="72.35" hidden="false" customHeight="false" outlineLevel="0" collapsed="false">
      <c r="A26" s="15" t="n">
        <v>23</v>
      </c>
      <c r="B26" s="15" t="s">
        <v>85</v>
      </c>
      <c r="C26" s="15" t="s">
        <v>10</v>
      </c>
      <c r="D26" s="14" t="s">
        <v>149</v>
      </c>
      <c r="E26" s="3" t="s">
        <v>481</v>
      </c>
      <c r="F26" s="2" t="s">
        <v>482</v>
      </c>
      <c r="G26" s="3" t="s">
        <v>483</v>
      </c>
      <c r="H26" s="2" t="s">
        <v>152</v>
      </c>
      <c r="I26" s="2" t="s">
        <v>10</v>
      </c>
      <c r="J26" s="7" t="n">
        <v>20</v>
      </c>
      <c r="K26" s="2"/>
    </row>
    <row r="27" customFormat="false" ht="72.35" hidden="false" customHeight="false" outlineLevel="0" collapsed="false">
      <c r="A27" s="15" t="n">
        <v>24</v>
      </c>
      <c r="B27" s="15" t="s">
        <v>85</v>
      </c>
      <c r="C27" s="15" t="s">
        <v>10</v>
      </c>
      <c r="D27" s="14" t="s">
        <v>149</v>
      </c>
      <c r="E27" s="3" t="s">
        <v>484</v>
      </c>
      <c r="F27" s="2" t="s">
        <v>485</v>
      </c>
      <c r="G27" s="3" t="s">
        <v>486</v>
      </c>
      <c r="H27" s="2" t="s">
        <v>156</v>
      </c>
      <c r="I27" s="2" t="s">
        <v>10</v>
      </c>
      <c r="J27" s="7" t="n">
        <v>40</v>
      </c>
      <c r="K27" s="2" t="s">
        <v>487</v>
      </c>
    </row>
    <row r="28" customFormat="false" ht="58.2" hidden="false" customHeight="false" outlineLevel="0" collapsed="false">
      <c r="A28" s="15" t="n">
        <v>25</v>
      </c>
      <c r="B28" s="15" t="s">
        <v>85</v>
      </c>
      <c r="C28" s="15" t="s">
        <v>10</v>
      </c>
      <c r="D28" s="14" t="s">
        <v>149</v>
      </c>
      <c r="E28" s="3" t="s">
        <v>488</v>
      </c>
      <c r="F28" s="2" t="s">
        <v>489</v>
      </c>
      <c r="G28" s="3" t="s">
        <v>490</v>
      </c>
      <c r="H28" s="2" t="s">
        <v>160</v>
      </c>
      <c r="I28" s="2" t="s">
        <v>10</v>
      </c>
      <c r="J28" s="7" t="n">
        <v>20</v>
      </c>
      <c r="K28" s="2"/>
    </row>
    <row r="29" customFormat="false" ht="58.2" hidden="false" customHeight="false" outlineLevel="0" collapsed="false">
      <c r="A29" s="15" t="n">
        <v>26</v>
      </c>
      <c r="B29" s="15" t="s">
        <v>85</v>
      </c>
      <c r="C29" s="15" t="s">
        <v>10</v>
      </c>
      <c r="D29" s="14" t="s">
        <v>149</v>
      </c>
      <c r="E29" s="3" t="s">
        <v>491</v>
      </c>
      <c r="F29" s="2" t="s">
        <v>492</v>
      </c>
      <c r="G29" s="3" t="s">
        <v>493</v>
      </c>
      <c r="H29" s="2" t="s">
        <v>163</v>
      </c>
      <c r="I29" s="2" t="s">
        <v>10</v>
      </c>
      <c r="J29" s="7" t="n">
        <v>20</v>
      </c>
      <c r="K29" s="2"/>
    </row>
    <row r="30" customFormat="false" ht="44" hidden="false" customHeight="false" outlineLevel="0" collapsed="false">
      <c r="A30" s="15" t="n">
        <v>27</v>
      </c>
      <c r="B30" s="15" t="s">
        <v>85</v>
      </c>
      <c r="C30" s="15" t="s">
        <v>10</v>
      </c>
      <c r="D30" s="14" t="s">
        <v>149</v>
      </c>
      <c r="E30" s="3" t="s">
        <v>494</v>
      </c>
      <c r="F30" s="2" t="s">
        <v>495</v>
      </c>
      <c r="G30" s="2" t="s">
        <v>496</v>
      </c>
      <c r="H30" s="2" t="s">
        <v>148</v>
      </c>
      <c r="I30" s="2" t="s">
        <v>10</v>
      </c>
      <c r="J30" s="7" t="n">
        <v>20</v>
      </c>
      <c r="K30" s="2"/>
    </row>
    <row r="31" customFormat="false" ht="44" hidden="false" customHeight="false" outlineLevel="0" collapsed="false">
      <c r="A31" s="15" t="n">
        <v>28</v>
      </c>
      <c r="B31" s="15" t="s">
        <v>85</v>
      </c>
      <c r="C31" s="15" t="s">
        <v>10</v>
      </c>
      <c r="D31" s="14" t="s">
        <v>166</v>
      </c>
      <c r="E31" s="3" t="s">
        <v>497</v>
      </c>
      <c r="F31" s="2" t="s">
        <v>498</v>
      </c>
      <c r="G31" s="3" t="s">
        <v>499</v>
      </c>
      <c r="H31" s="2" t="s">
        <v>169</v>
      </c>
      <c r="I31" s="2" t="s">
        <v>10</v>
      </c>
      <c r="J31" s="7" t="n">
        <v>20</v>
      </c>
      <c r="K31" s="2"/>
    </row>
    <row r="32" customFormat="false" ht="72.35" hidden="false" customHeight="false" outlineLevel="0" collapsed="false">
      <c r="A32" s="15" t="n">
        <v>29</v>
      </c>
      <c r="B32" s="15" t="s">
        <v>85</v>
      </c>
      <c r="C32" s="15" t="s">
        <v>10</v>
      </c>
      <c r="D32" s="14" t="s">
        <v>166</v>
      </c>
      <c r="E32" s="3" t="s">
        <v>500</v>
      </c>
      <c r="F32" s="2" t="s">
        <v>501</v>
      </c>
      <c r="G32" s="3" t="s">
        <v>502</v>
      </c>
      <c r="H32" s="2" t="s">
        <v>173</v>
      </c>
      <c r="I32" s="2" t="s">
        <v>10</v>
      </c>
      <c r="J32" s="7" t="n">
        <v>40</v>
      </c>
      <c r="K32" s="2" t="s">
        <v>487</v>
      </c>
    </row>
    <row r="33" customFormat="false" ht="58.2" hidden="false" customHeight="false" outlineLevel="0" collapsed="false">
      <c r="A33" s="15" t="n">
        <v>30</v>
      </c>
      <c r="B33" s="15" t="s">
        <v>85</v>
      </c>
      <c r="C33" s="15" t="s">
        <v>10</v>
      </c>
      <c r="D33" s="14" t="s">
        <v>166</v>
      </c>
      <c r="E33" s="3" t="s">
        <v>503</v>
      </c>
      <c r="F33" s="2" t="s">
        <v>504</v>
      </c>
      <c r="G33" s="3" t="s">
        <v>505</v>
      </c>
      <c r="H33" s="2" t="s">
        <v>176</v>
      </c>
      <c r="I33" s="2" t="s">
        <v>10</v>
      </c>
      <c r="J33" s="7" t="n">
        <v>20</v>
      </c>
      <c r="K33" s="2"/>
    </row>
    <row r="34" customFormat="false" ht="44" hidden="false" customHeight="false" outlineLevel="0" collapsed="false">
      <c r="A34" s="15" t="n">
        <v>31</v>
      </c>
      <c r="B34" s="15" t="s">
        <v>85</v>
      </c>
      <c r="C34" s="15" t="s">
        <v>10</v>
      </c>
      <c r="D34" s="14" t="s">
        <v>166</v>
      </c>
      <c r="E34" s="3" t="s">
        <v>506</v>
      </c>
      <c r="F34" s="2" t="s">
        <v>507</v>
      </c>
      <c r="G34" s="3" t="s">
        <v>508</v>
      </c>
      <c r="H34" s="2" t="s">
        <v>179</v>
      </c>
      <c r="I34" s="2" t="s">
        <v>10</v>
      </c>
      <c r="J34" s="7" t="n">
        <v>20</v>
      </c>
      <c r="K34" s="2"/>
    </row>
    <row r="35" customFormat="false" ht="72.35" hidden="false" customHeight="false" outlineLevel="0" collapsed="false">
      <c r="A35" s="15" t="n">
        <v>32</v>
      </c>
      <c r="B35" s="15" t="s">
        <v>85</v>
      </c>
      <c r="C35" s="15" t="s">
        <v>10</v>
      </c>
      <c r="D35" s="14" t="s">
        <v>166</v>
      </c>
      <c r="E35" s="3" t="s">
        <v>509</v>
      </c>
      <c r="F35" s="2" t="s">
        <v>510</v>
      </c>
      <c r="G35" s="3" t="s">
        <v>511</v>
      </c>
      <c r="H35" s="2" t="s">
        <v>182</v>
      </c>
      <c r="I35" s="2" t="s">
        <v>10</v>
      </c>
      <c r="J35" s="7" t="n">
        <v>20</v>
      </c>
      <c r="K35" s="2"/>
    </row>
    <row r="36" customFormat="false" ht="58.2" hidden="false" customHeight="false" outlineLevel="0" collapsed="false">
      <c r="A36" s="17" t="n">
        <v>33</v>
      </c>
      <c r="B36" s="17" t="s">
        <v>85</v>
      </c>
      <c r="C36" s="17" t="s">
        <v>12</v>
      </c>
      <c r="D36" s="17"/>
      <c r="E36" s="3" t="s">
        <v>512</v>
      </c>
      <c r="F36" s="2" t="s">
        <v>513</v>
      </c>
      <c r="G36" s="2" t="s">
        <v>514</v>
      </c>
      <c r="H36" s="2" t="s">
        <v>185</v>
      </c>
      <c r="I36" s="3" t="s">
        <v>515</v>
      </c>
      <c r="J36" s="7" t="n">
        <v>40</v>
      </c>
      <c r="K36" s="2" t="s">
        <v>516</v>
      </c>
    </row>
    <row r="37" customFormat="false" ht="58.2" hidden="false" customHeight="false" outlineLevel="0" collapsed="false">
      <c r="A37" s="17" t="n">
        <v>34</v>
      </c>
      <c r="B37" s="17" t="s">
        <v>85</v>
      </c>
      <c r="C37" s="17" t="s">
        <v>12</v>
      </c>
      <c r="D37" s="17"/>
      <c r="E37" s="3" t="s">
        <v>517</v>
      </c>
      <c r="F37" s="2" t="s">
        <v>518</v>
      </c>
      <c r="G37" s="2" t="s">
        <v>519</v>
      </c>
      <c r="H37" s="2" t="s">
        <v>190</v>
      </c>
      <c r="I37" s="3" t="s">
        <v>515</v>
      </c>
      <c r="J37" s="7" t="n">
        <v>45</v>
      </c>
      <c r="K37" s="2" t="s">
        <v>520</v>
      </c>
    </row>
    <row r="38" customFormat="false" ht="44" hidden="false" customHeight="false" outlineLevel="0" collapsed="false">
      <c r="A38" s="17" t="n">
        <v>35</v>
      </c>
      <c r="B38" s="17" t="s">
        <v>85</v>
      </c>
      <c r="C38" s="17" t="s">
        <v>12</v>
      </c>
      <c r="D38" s="17"/>
      <c r="E38" s="3" t="s">
        <v>521</v>
      </c>
      <c r="F38" s="2" t="s">
        <v>522</v>
      </c>
      <c r="G38" s="2" t="s">
        <v>523</v>
      </c>
      <c r="H38" s="2" t="s">
        <v>198</v>
      </c>
      <c r="I38" s="3" t="s">
        <v>515</v>
      </c>
      <c r="J38" s="7" t="n">
        <v>25</v>
      </c>
      <c r="K38" s="2" t="s">
        <v>199</v>
      </c>
    </row>
    <row r="39" customFormat="false" ht="58.2" hidden="false" customHeight="false" outlineLevel="0" collapsed="false">
      <c r="A39" s="17" t="n">
        <v>36</v>
      </c>
      <c r="B39" s="17" t="s">
        <v>85</v>
      </c>
      <c r="C39" s="17" t="s">
        <v>12</v>
      </c>
      <c r="D39" s="17"/>
      <c r="E39" s="3" t="s">
        <v>524</v>
      </c>
      <c r="F39" s="2" t="s">
        <v>525</v>
      </c>
      <c r="G39" s="2" t="s">
        <v>526</v>
      </c>
      <c r="H39" s="2" t="s">
        <v>202</v>
      </c>
      <c r="I39" s="3" t="s">
        <v>515</v>
      </c>
      <c r="J39" s="7" t="n">
        <v>40</v>
      </c>
      <c r="K39" s="2" t="s">
        <v>527</v>
      </c>
    </row>
    <row r="40" customFormat="false" ht="58.2" hidden="false" customHeight="false" outlineLevel="0" collapsed="false">
      <c r="A40" s="17" t="n">
        <v>37</v>
      </c>
      <c r="B40" s="17" t="s">
        <v>85</v>
      </c>
      <c r="C40" s="17" t="s">
        <v>12</v>
      </c>
      <c r="D40" s="17"/>
      <c r="E40" s="3" t="s">
        <v>528</v>
      </c>
      <c r="F40" s="2" t="s">
        <v>529</v>
      </c>
      <c r="G40" s="2" t="s">
        <v>530</v>
      </c>
      <c r="H40" s="2" t="s">
        <v>206</v>
      </c>
      <c r="I40" s="3" t="s">
        <v>515</v>
      </c>
      <c r="J40" s="7" t="n">
        <v>25</v>
      </c>
      <c r="K40" s="2" t="s">
        <v>207</v>
      </c>
    </row>
    <row r="41" customFormat="false" ht="58.2" hidden="false" customHeight="false" outlineLevel="0" collapsed="false">
      <c r="A41" s="17" t="n">
        <v>38</v>
      </c>
      <c r="B41" s="17" t="s">
        <v>85</v>
      </c>
      <c r="C41" s="17" t="s">
        <v>12</v>
      </c>
      <c r="D41" s="17"/>
      <c r="E41" s="3" t="s">
        <v>531</v>
      </c>
      <c r="F41" s="2" t="s">
        <v>532</v>
      </c>
      <c r="G41" s="2" t="s">
        <v>533</v>
      </c>
      <c r="H41" s="2" t="s">
        <v>210</v>
      </c>
      <c r="I41" s="3" t="s">
        <v>515</v>
      </c>
      <c r="J41" s="7" t="n">
        <v>35</v>
      </c>
      <c r="K41" s="2" t="s">
        <v>211</v>
      </c>
    </row>
    <row r="42" customFormat="false" ht="58.2" hidden="false" customHeight="false" outlineLevel="0" collapsed="false">
      <c r="A42" s="17" t="n">
        <v>39</v>
      </c>
      <c r="B42" s="17" t="s">
        <v>85</v>
      </c>
      <c r="C42" s="17" t="s">
        <v>12</v>
      </c>
      <c r="D42" s="17"/>
      <c r="E42" s="3" t="s">
        <v>534</v>
      </c>
      <c r="F42" s="2" t="s">
        <v>535</v>
      </c>
      <c r="G42" s="2" t="s">
        <v>536</v>
      </c>
      <c r="H42" s="2" t="s">
        <v>214</v>
      </c>
      <c r="I42" s="3" t="s">
        <v>515</v>
      </c>
      <c r="J42" s="7" t="n">
        <v>25</v>
      </c>
      <c r="K42" s="2" t="s">
        <v>215</v>
      </c>
    </row>
    <row r="43" customFormat="false" ht="15" hidden="false" customHeight="false" outlineLevel="0" collapsed="false">
      <c r="A43" s="9" t="str">
        <f aca="false">"3. 에이전트 — AI 일꾼이 지식 지도와 지금 값을 근거로 추천안 하나를 제안한다  ("&amp;SUM(J44:J68)&amp;"분)"</f>
        <v>3. 에이전트 — AI 일꾼이 지식 지도와 지금 값을 근거로 추천안 하나를 제안한다  (770분)</v>
      </c>
      <c r="B43" s="9"/>
      <c r="C43" s="9"/>
      <c r="D43" s="9"/>
      <c r="E43" s="9"/>
      <c r="F43" s="9"/>
      <c r="G43" s="9"/>
      <c r="H43" s="9"/>
      <c r="I43" s="9"/>
      <c r="J43" s="9"/>
      <c r="K43" s="9"/>
    </row>
    <row r="44" customFormat="false" ht="58.2" hidden="false" customHeight="false" outlineLevel="0" collapsed="false">
      <c r="A44" s="13" t="n">
        <v>40</v>
      </c>
      <c r="B44" s="13" t="s">
        <v>220</v>
      </c>
      <c r="C44" s="13" t="s">
        <v>86</v>
      </c>
      <c r="D44" s="13"/>
      <c r="E44" s="3" t="s">
        <v>537</v>
      </c>
      <c r="F44" s="2" t="s">
        <v>538</v>
      </c>
      <c r="G44" s="2" t="s">
        <v>539</v>
      </c>
      <c r="H44" s="2" t="s">
        <v>223</v>
      </c>
      <c r="I44" s="2" t="s">
        <v>540</v>
      </c>
      <c r="J44" s="7" t="n">
        <v>30</v>
      </c>
      <c r="K44" s="2"/>
    </row>
    <row r="45" customFormat="false" ht="58.2" hidden="false" customHeight="false" outlineLevel="0" collapsed="false">
      <c r="A45" s="13" t="n">
        <v>41</v>
      </c>
      <c r="B45" s="13" t="s">
        <v>220</v>
      </c>
      <c r="C45" s="13" t="s">
        <v>86</v>
      </c>
      <c r="D45" s="13"/>
      <c r="E45" s="3" t="s">
        <v>541</v>
      </c>
      <c r="F45" s="2" t="s">
        <v>542</v>
      </c>
      <c r="G45" s="2" t="s">
        <v>543</v>
      </c>
      <c r="H45" s="2" t="s">
        <v>226</v>
      </c>
      <c r="I45" s="2" t="s">
        <v>403</v>
      </c>
      <c r="J45" s="7" t="n">
        <v>25</v>
      </c>
      <c r="K45" s="2"/>
    </row>
    <row r="46" customFormat="false" ht="58.2" hidden="false" customHeight="false" outlineLevel="0" collapsed="false">
      <c r="A46" s="13" t="n">
        <v>42</v>
      </c>
      <c r="B46" s="13" t="s">
        <v>220</v>
      </c>
      <c r="C46" s="13" t="s">
        <v>86</v>
      </c>
      <c r="D46" s="13"/>
      <c r="E46" s="3" t="s">
        <v>544</v>
      </c>
      <c r="F46" s="2" t="s">
        <v>545</v>
      </c>
      <c r="G46" s="2" t="s">
        <v>546</v>
      </c>
      <c r="H46" s="2" t="s">
        <v>229</v>
      </c>
      <c r="I46" s="2" t="s">
        <v>403</v>
      </c>
      <c r="J46" s="7" t="n">
        <v>25</v>
      </c>
      <c r="K46" s="2"/>
    </row>
    <row r="47" customFormat="false" ht="44" hidden="false" customHeight="false" outlineLevel="0" collapsed="false">
      <c r="A47" s="13" t="n">
        <v>43</v>
      </c>
      <c r="B47" s="13" t="s">
        <v>220</v>
      </c>
      <c r="C47" s="13" t="s">
        <v>86</v>
      </c>
      <c r="D47" s="13"/>
      <c r="E47" s="3" t="s">
        <v>547</v>
      </c>
      <c r="F47" s="2" t="s">
        <v>548</v>
      </c>
      <c r="G47" s="3" t="s">
        <v>549</v>
      </c>
      <c r="H47" s="2" t="s">
        <v>232</v>
      </c>
      <c r="I47" s="2" t="s">
        <v>403</v>
      </c>
      <c r="J47" s="7" t="n">
        <v>25</v>
      </c>
      <c r="K47" s="2" t="s">
        <v>233</v>
      </c>
    </row>
    <row r="48" customFormat="false" ht="58.2" hidden="false" customHeight="false" outlineLevel="0" collapsed="false">
      <c r="A48" s="13" t="n">
        <v>44</v>
      </c>
      <c r="B48" s="13" t="s">
        <v>220</v>
      </c>
      <c r="C48" s="13" t="s">
        <v>86</v>
      </c>
      <c r="D48" s="13"/>
      <c r="E48" s="3" t="s">
        <v>550</v>
      </c>
      <c r="F48" s="2" t="s">
        <v>551</v>
      </c>
      <c r="G48" s="2" t="s">
        <v>552</v>
      </c>
      <c r="H48" s="2" t="s">
        <v>236</v>
      </c>
      <c r="I48" s="3" t="s">
        <v>553</v>
      </c>
      <c r="J48" s="7" t="n">
        <v>35</v>
      </c>
      <c r="K48" s="2" t="s">
        <v>554</v>
      </c>
    </row>
    <row r="49" customFormat="false" ht="58.2" hidden="false" customHeight="false" outlineLevel="0" collapsed="false">
      <c r="A49" s="13" t="n">
        <v>45</v>
      </c>
      <c r="B49" s="13" t="s">
        <v>220</v>
      </c>
      <c r="C49" s="13" t="s">
        <v>86</v>
      </c>
      <c r="D49" s="13"/>
      <c r="E49" s="3" t="s">
        <v>555</v>
      </c>
      <c r="F49" s="2" t="s">
        <v>556</v>
      </c>
      <c r="G49" s="2" t="s">
        <v>557</v>
      </c>
      <c r="H49" s="2" t="s">
        <v>239</v>
      </c>
      <c r="I49" s="2" t="s">
        <v>403</v>
      </c>
      <c r="J49" s="7" t="n">
        <v>20</v>
      </c>
      <c r="K49" s="2" t="s">
        <v>240</v>
      </c>
    </row>
    <row r="50" customFormat="false" ht="58.2" hidden="false" customHeight="false" outlineLevel="0" collapsed="false">
      <c r="A50" s="13" t="n">
        <v>46</v>
      </c>
      <c r="B50" s="13" t="s">
        <v>220</v>
      </c>
      <c r="C50" s="13" t="s">
        <v>86</v>
      </c>
      <c r="D50" s="13"/>
      <c r="E50" s="3" t="s">
        <v>558</v>
      </c>
      <c r="F50" s="2" t="s">
        <v>559</v>
      </c>
      <c r="G50" s="2" t="s">
        <v>560</v>
      </c>
      <c r="H50" s="2" t="s">
        <v>243</v>
      </c>
      <c r="I50" s="2" t="s">
        <v>403</v>
      </c>
      <c r="J50" s="7" t="n">
        <v>30</v>
      </c>
      <c r="K50" s="2"/>
    </row>
    <row r="51" customFormat="false" ht="44" hidden="false" customHeight="false" outlineLevel="0" collapsed="false">
      <c r="A51" s="13" t="n">
        <v>47</v>
      </c>
      <c r="B51" s="13" t="s">
        <v>220</v>
      </c>
      <c r="C51" s="13" t="s">
        <v>86</v>
      </c>
      <c r="D51" s="13"/>
      <c r="E51" s="3" t="s">
        <v>561</v>
      </c>
      <c r="F51" s="2" t="s">
        <v>562</v>
      </c>
      <c r="G51" s="2" t="s">
        <v>563</v>
      </c>
      <c r="H51" s="2" t="s">
        <v>246</v>
      </c>
      <c r="I51" s="2" t="s">
        <v>403</v>
      </c>
      <c r="J51" s="7" t="n">
        <v>25</v>
      </c>
      <c r="K51" s="2"/>
    </row>
    <row r="52" customFormat="false" ht="72.35" hidden="false" customHeight="false" outlineLevel="0" collapsed="false">
      <c r="A52" s="15" t="n">
        <v>48</v>
      </c>
      <c r="B52" s="15" t="s">
        <v>220</v>
      </c>
      <c r="C52" s="15" t="s">
        <v>10</v>
      </c>
      <c r="D52" s="14" t="s">
        <v>32</v>
      </c>
      <c r="E52" s="3" t="s">
        <v>564</v>
      </c>
      <c r="F52" s="2" t="s">
        <v>565</v>
      </c>
      <c r="G52" s="3" t="s">
        <v>566</v>
      </c>
      <c r="H52" s="2" t="s">
        <v>249</v>
      </c>
      <c r="I52" s="2" t="s">
        <v>10</v>
      </c>
      <c r="J52" s="7" t="n">
        <v>50</v>
      </c>
      <c r="K52" s="2" t="s">
        <v>567</v>
      </c>
    </row>
    <row r="53" customFormat="false" ht="72.35" hidden="false" customHeight="false" outlineLevel="0" collapsed="false">
      <c r="A53" s="15" t="n">
        <v>49</v>
      </c>
      <c r="B53" s="15" t="s">
        <v>220</v>
      </c>
      <c r="C53" s="15" t="s">
        <v>10</v>
      </c>
      <c r="D53" s="14" t="s">
        <v>32</v>
      </c>
      <c r="E53" s="3" t="s">
        <v>568</v>
      </c>
      <c r="F53" s="2" t="s">
        <v>569</v>
      </c>
      <c r="G53" s="3" t="s">
        <v>570</v>
      </c>
      <c r="H53" s="2" t="s">
        <v>253</v>
      </c>
      <c r="I53" s="2" t="s">
        <v>10</v>
      </c>
      <c r="J53" s="7" t="n">
        <v>40</v>
      </c>
      <c r="K53" s="2" t="s">
        <v>571</v>
      </c>
    </row>
    <row r="54" customFormat="false" ht="58.2" hidden="false" customHeight="false" outlineLevel="0" collapsed="false">
      <c r="A54" s="15" t="n">
        <v>50</v>
      </c>
      <c r="B54" s="15" t="s">
        <v>220</v>
      </c>
      <c r="C54" s="15" t="s">
        <v>10</v>
      </c>
      <c r="D54" s="14" t="s">
        <v>32</v>
      </c>
      <c r="E54" s="3" t="s">
        <v>572</v>
      </c>
      <c r="F54" s="2" t="s">
        <v>573</v>
      </c>
      <c r="G54" s="2" t="s">
        <v>574</v>
      </c>
      <c r="H54" s="2" t="s">
        <v>257</v>
      </c>
      <c r="I54" s="2" t="s">
        <v>10</v>
      </c>
      <c r="J54" s="7" t="n">
        <v>25</v>
      </c>
      <c r="K54" s="2" t="s">
        <v>261</v>
      </c>
    </row>
    <row r="55" customFormat="false" ht="58.2" hidden="false" customHeight="false" outlineLevel="0" collapsed="false">
      <c r="A55" s="15" t="n">
        <v>51</v>
      </c>
      <c r="B55" s="15" t="s">
        <v>220</v>
      </c>
      <c r="C55" s="15" t="s">
        <v>10</v>
      </c>
      <c r="D55" s="14" t="s">
        <v>32</v>
      </c>
      <c r="E55" s="3" t="s">
        <v>575</v>
      </c>
      <c r="F55" s="2" t="s">
        <v>576</v>
      </c>
      <c r="G55" s="3" t="s">
        <v>577</v>
      </c>
      <c r="H55" s="2" t="s">
        <v>246</v>
      </c>
      <c r="I55" s="2" t="s">
        <v>10</v>
      </c>
      <c r="J55" s="7" t="n">
        <v>30</v>
      </c>
      <c r="K55" s="2" t="s">
        <v>261</v>
      </c>
    </row>
    <row r="56" customFormat="false" ht="72.35" hidden="false" customHeight="false" outlineLevel="0" collapsed="false">
      <c r="A56" s="15" t="n">
        <v>52</v>
      </c>
      <c r="B56" s="15" t="s">
        <v>220</v>
      </c>
      <c r="C56" s="15" t="s">
        <v>10</v>
      </c>
      <c r="D56" s="14" t="s">
        <v>149</v>
      </c>
      <c r="E56" s="3" t="s">
        <v>578</v>
      </c>
      <c r="F56" s="2" t="s">
        <v>579</v>
      </c>
      <c r="G56" s="3" t="s">
        <v>580</v>
      </c>
      <c r="H56" s="2" t="s">
        <v>264</v>
      </c>
      <c r="I56" s="2" t="s">
        <v>10</v>
      </c>
      <c r="J56" s="7" t="n">
        <v>35</v>
      </c>
      <c r="K56" s="2"/>
    </row>
    <row r="57" customFormat="false" ht="72.35" hidden="false" customHeight="false" outlineLevel="0" collapsed="false">
      <c r="A57" s="15" t="n">
        <v>53</v>
      </c>
      <c r="B57" s="15" t="s">
        <v>220</v>
      </c>
      <c r="C57" s="15" t="s">
        <v>10</v>
      </c>
      <c r="D57" s="14" t="s">
        <v>149</v>
      </c>
      <c r="E57" s="3" t="s">
        <v>581</v>
      </c>
      <c r="F57" s="2" t="s">
        <v>582</v>
      </c>
      <c r="G57" s="3" t="s">
        <v>583</v>
      </c>
      <c r="H57" s="2" t="s">
        <v>268</v>
      </c>
      <c r="I57" s="2" t="s">
        <v>10</v>
      </c>
      <c r="J57" s="7" t="n">
        <v>30</v>
      </c>
      <c r="K57" s="2" t="s">
        <v>261</v>
      </c>
    </row>
    <row r="58" customFormat="false" ht="44" hidden="false" customHeight="false" outlineLevel="0" collapsed="false">
      <c r="A58" s="15" t="n">
        <v>54</v>
      </c>
      <c r="B58" s="15" t="s">
        <v>220</v>
      </c>
      <c r="C58" s="15" t="s">
        <v>10</v>
      </c>
      <c r="D58" s="14" t="s">
        <v>149</v>
      </c>
      <c r="E58" s="3" t="s">
        <v>584</v>
      </c>
      <c r="F58" s="2" t="s">
        <v>585</v>
      </c>
      <c r="G58" s="2" t="s">
        <v>586</v>
      </c>
      <c r="H58" s="2" t="s">
        <v>271</v>
      </c>
      <c r="I58" s="2" t="s">
        <v>10</v>
      </c>
      <c r="J58" s="7" t="n">
        <v>20</v>
      </c>
      <c r="K58" s="2" t="s">
        <v>261</v>
      </c>
    </row>
    <row r="59" customFormat="false" ht="44" hidden="false" customHeight="false" outlineLevel="0" collapsed="false">
      <c r="A59" s="15" t="n">
        <v>55</v>
      </c>
      <c r="B59" s="15" t="s">
        <v>220</v>
      </c>
      <c r="C59" s="15" t="s">
        <v>10</v>
      </c>
      <c r="D59" s="14" t="s">
        <v>149</v>
      </c>
      <c r="E59" s="3" t="s">
        <v>587</v>
      </c>
      <c r="F59" s="2" t="s">
        <v>588</v>
      </c>
      <c r="G59" s="3" t="s">
        <v>589</v>
      </c>
      <c r="H59" s="2" t="s">
        <v>274</v>
      </c>
      <c r="I59" s="2" t="s">
        <v>10</v>
      </c>
      <c r="J59" s="7" t="n">
        <v>20</v>
      </c>
      <c r="K59" s="2" t="s">
        <v>261</v>
      </c>
    </row>
    <row r="60" customFormat="false" ht="72.35" hidden="false" customHeight="false" outlineLevel="0" collapsed="false">
      <c r="A60" s="15" t="n">
        <v>56</v>
      </c>
      <c r="B60" s="15" t="s">
        <v>220</v>
      </c>
      <c r="C60" s="15" t="s">
        <v>10</v>
      </c>
      <c r="D60" s="14" t="s">
        <v>166</v>
      </c>
      <c r="E60" s="3" t="s">
        <v>590</v>
      </c>
      <c r="F60" s="2" t="s">
        <v>591</v>
      </c>
      <c r="G60" s="3" t="s">
        <v>592</v>
      </c>
      <c r="H60" s="2" t="s">
        <v>277</v>
      </c>
      <c r="I60" s="2" t="s">
        <v>10</v>
      </c>
      <c r="J60" s="7" t="n">
        <v>35</v>
      </c>
      <c r="K60" s="2"/>
    </row>
    <row r="61" customFormat="false" ht="72.35" hidden="false" customHeight="false" outlineLevel="0" collapsed="false">
      <c r="A61" s="15" t="n">
        <v>57</v>
      </c>
      <c r="B61" s="15" t="s">
        <v>220</v>
      </c>
      <c r="C61" s="15" t="s">
        <v>10</v>
      </c>
      <c r="D61" s="14" t="s">
        <v>166</v>
      </c>
      <c r="E61" s="3" t="s">
        <v>593</v>
      </c>
      <c r="F61" s="2" t="s">
        <v>594</v>
      </c>
      <c r="G61" s="3" t="s">
        <v>595</v>
      </c>
      <c r="H61" s="2" t="s">
        <v>281</v>
      </c>
      <c r="I61" s="2" t="s">
        <v>10</v>
      </c>
      <c r="J61" s="7" t="n">
        <v>30</v>
      </c>
      <c r="K61" s="2" t="s">
        <v>261</v>
      </c>
    </row>
    <row r="62" customFormat="false" ht="44" hidden="false" customHeight="false" outlineLevel="0" collapsed="false">
      <c r="A62" s="15" t="n">
        <v>58</v>
      </c>
      <c r="B62" s="15" t="s">
        <v>220</v>
      </c>
      <c r="C62" s="15" t="s">
        <v>10</v>
      </c>
      <c r="D62" s="14" t="s">
        <v>166</v>
      </c>
      <c r="E62" s="3" t="s">
        <v>596</v>
      </c>
      <c r="F62" s="2" t="s">
        <v>597</v>
      </c>
      <c r="G62" s="3" t="s">
        <v>598</v>
      </c>
      <c r="H62" s="2" t="s">
        <v>284</v>
      </c>
      <c r="I62" s="2" t="s">
        <v>10</v>
      </c>
      <c r="J62" s="7" t="n">
        <v>20</v>
      </c>
      <c r="K62" s="2" t="s">
        <v>261</v>
      </c>
    </row>
    <row r="63" customFormat="false" ht="58.2" hidden="false" customHeight="false" outlineLevel="0" collapsed="false">
      <c r="A63" s="15" t="n">
        <v>59</v>
      </c>
      <c r="B63" s="15" t="s">
        <v>220</v>
      </c>
      <c r="C63" s="15" t="s">
        <v>10</v>
      </c>
      <c r="D63" s="14" t="s">
        <v>166</v>
      </c>
      <c r="E63" s="3" t="s">
        <v>599</v>
      </c>
      <c r="F63" s="2" t="s">
        <v>600</v>
      </c>
      <c r="G63" s="3" t="s">
        <v>601</v>
      </c>
      <c r="H63" s="2" t="s">
        <v>274</v>
      </c>
      <c r="I63" s="2" t="s">
        <v>10</v>
      </c>
      <c r="J63" s="7" t="n">
        <v>20</v>
      </c>
      <c r="K63" s="2" t="s">
        <v>261</v>
      </c>
    </row>
    <row r="64" customFormat="false" ht="58.2" hidden="false" customHeight="false" outlineLevel="0" collapsed="false">
      <c r="A64" s="17" t="n">
        <v>60</v>
      </c>
      <c r="B64" s="17" t="s">
        <v>220</v>
      </c>
      <c r="C64" s="17" t="s">
        <v>12</v>
      </c>
      <c r="D64" s="17"/>
      <c r="E64" s="3" t="s">
        <v>602</v>
      </c>
      <c r="F64" s="2" t="s">
        <v>603</v>
      </c>
      <c r="G64" s="2" t="s">
        <v>604</v>
      </c>
      <c r="H64" s="2" t="s">
        <v>289</v>
      </c>
      <c r="I64" s="3" t="s">
        <v>515</v>
      </c>
      <c r="J64" s="7" t="n">
        <v>40</v>
      </c>
      <c r="K64" s="2" t="s">
        <v>290</v>
      </c>
    </row>
    <row r="65" customFormat="false" ht="44" hidden="false" customHeight="false" outlineLevel="0" collapsed="false">
      <c r="A65" s="17" t="n">
        <v>61</v>
      </c>
      <c r="B65" s="17" t="s">
        <v>220</v>
      </c>
      <c r="C65" s="17" t="s">
        <v>12</v>
      </c>
      <c r="D65" s="17"/>
      <c r="E65" s="3" t="s">
        <v>605</v>
      </c>
      <c r="F65" s="2" t="s">
        <v>606</v>
      </c>
      <c r="G65" s="2" t="s">
        <v>607</v>
      </c>
      <c r="H65" s="2" t="s">
        <v>297</v>
      </c>
      <c r="I65" s="3" t="s">
        <v>515</v>
      </c>
      <c r="J65" s="7" t="n">
        <v>30</v>
      </c>
      <c r="K65" s="2" t="s">
        <v>298</v>
      </c>
    </row>
    <row r="66" customFormat="false" ht="44" hidden="false" customHeight="false" outlineLevel="0" collapsed="false">
      <c r="A66" s="17" t="n">
        <v>62</v>
      </c>
      <c r="B66" s="17" t="s">
        <v>220</v>
      </c>
      <c r="C66" s="17" t="s">
        <v>12</v>
      </c>
      <c r="D66" s="17"/>
      <c r="E66" s="3" t="s">
        <v>608</v>
      </c>
      <c r="F66" s="2" t="s">
        <v>609</v>
      </c>
      <c r="G66" s="2" t="s">
        <v>610</v>
      </c>
      <c r="H66" s="2" t="s">
        <v>301</v>
      </c>
      <c r="I66" s="3" t="s">
        <v>515</v>
      </c>
      <c r="J66" s="7" t="n">
        <v>50</v>
      </c>
      <c r="K66" s="2" t="s">
        <v>611</v>
      </c>
    </row>
    <row r="67" customFormat="false" ht="58.2" hidden="false" customHeight="false" outlineLevel="0" collapsed="false">
      <c r="A67" s="17" t="n">
        <v>63</v>
      </c>
      <c r="B67" s="17" t="s">
        <v>220</v>
      </c>
      <c r="C67" s="17" t="s">
        <v>12</v>
      </c>
      <c r="D67" s="17"/>
      <c r="E67" s="3" t="s">
        <v>612</v>
      </c>
      <c r="F67" s="2" t="s">
        <v>613</v>
      </c>
      <c r="G67" s="2" t="s">
        <v>614</v>
      </c>
      <c r="H67" s="2" t="s">
        <v>309</v>
      </c>
      <c r="I67" s="3" t="s">
        <v>515</v>
      </c>
      <c r="J67" s="7" t="n">
        <v>45</v>
      </c>
      <c r="K67" s="2" t="s">
        <v>310</v>
      </c>
    </row>
    <row r="68" customFormat="false" ht="44" hidden="false" customHeight="false" outlineLevel="0" collapsed="false">
      <c r="A68" s="17" t="n">
        <v>64</v>
      </c>
      <c r="B68" s="17" t="s">
        <v>220</v>
      </c>
      <c r="C68" s="17" t="s">
        <v>12</v>
      </c>
      <c r="D68" s="17"/>
      <c r="E68" s="3" t="s">
        <v>615</v>
      </c>
      <c r="F68" s="2" t="s">
        <v>616</v>
      </c>
      <c r="G68" s="2" t="s">
        <v>617</v>
      </c>
      <c r="H68" s="2" t="s">
        <v>313</v>
      </c>
      <c r="I68" s="3" t="s">
        <v>515</v>
      </c>
      <c r="J68" s="7" t="n">
        <v>35</v>
      </c>
      <c r="K68" s="2" t="s">
        <v>314</v>
      </c>
    </row>
    <row r="69" customFormat="false" ht="15" hidden="false" customHeight="false" outlineLevel="0" collapsed="false">
      <c r="A69" s="9" t="str">
        <f aca="false">"4. BPMN — 제안이 한 번 승인되고, 실행되고, 자동 확인되어야 일이 닫힌다  ("&amp;SUM(J70:J87)&amp;"분)"</f>
        <v>4. BPMN — 제안이 한 번 승인되고, 실행되고, 자동 확인되어야 일이 닫힌다  (595분)</v>
      </c>
      <c r="B69" s="9"/>
      <c r="C69" s="9"/>
      <c r="D69" s="9"/>
      <c r="E69" s="9"/>
      <c r="F69" s="9"/>
      <c r="G69" s="9"/>
      <c r="H69" s="9"/>
      <c r="I69" s="9"/>
      <c r="J69" s="9"/>
      <c r="K69" s="9"/>
    </row>
    <row r="70" customFormat="false" ht="44" hidden="false" customHeight="false" outlineLevel="0" collapsed="false">
      <c r="A70" s="13" t="n">
        <v>65</v>
      </c>
      <c r="B70" s="12" t="s">
        <v>319</v>
      </c>
      <c r="C70" s="13" t="s">
        <v>86</v>
      </c>
      <c r="D70" s="13"/>
      <c r="E70" s="3" t="s">
        <v>618</v>
      </c>
      <c r="F70" s="2" t="s">
        <v>619</v>
      </c>
      <c r="G70" s="2" t="s">
        <v>620</v>
      </c>
      <c r="H70" s="2" t="s">
        <v>322</v>
      </c>
      <c r="I70" s="3" t="s">
        <v>621</v>
      </c>
      <c r="J70" s="7" t="n">
        <v>35</v>
      </c>
      <c r="K70" s="2" t="s">
        <v>622</v>
      </c>
    </row>
    <row r="71" customFormat="false" ht="72.35" hidden="false" customHeight="false" outlineLevel="0" collapsed="false">
      <c r="A71" s="13" t="n">
        <v>66</v>
      </c>
      <c r="B71" s="12" t="s">
        <v>319</v>
      </c>
      <c r="C71" s="13" t="s">
        <v>86</v>
      </c>
      <c r="D71" s="13"/>
      <c r="E71" s="3" t="s">
        <v>623</v>
      </c>
      <c r="F71" s="2" t="s">
        <v>624</v>
      </c>
      <c r="G71" s="2" t="s">
        <v>625</v>
      </c>
      <c r="H71" s="2" t="s">
        <v>325</v>
      </c>
      <c r="I71" s="2" t="s">
        <v>626</v>
      </c>
      <c r="J71" s="7" t="n">
        <v>30</v>
      </c>
      <c r="K71" s="2"/>
    </row>
    <row r="72" customFormat="false" ht="44" hidden="false" customHeight="false" outlineLevel="0" collapsed="false">
      <c r="A72" s="13" t="n">
        <v>67</v>
      </c>
      <c r="B72" s="12" t="s">
        <v>319</v>
      </c>
      <c r="C72" s="13" t="s">
        <v>86</v>
      </c>
      <c r="D72" s="13"/>
      <c r="E72" s="3" t="s">
        <v>627</v>
      </c>
      <c r="F72" s="2" t="s">
        <v>628</v>
      </c>
      <c r="G72" s="2" t="s">
        <v>629</v>
      </c>
      <c r="H72" s="2" t="s">
        <v>328</v>
      </c>
      <c r="I72" s="2" t="s">
        <v>630</v>
      </c>
      <c r="J72" s="7" t="n">
        <v>25</v>
      </c>
      <c r="K72" s="2"/>
    </row>
    <row r="73" customFormat="false" ht="44" hidden="false" customHeight="false" outlineLevel="0" collapsed="false">
      <c r="A73" s="13" t="n">
        <v>68</v>
      </c>
      <c r="B73" s="12" t="s">
        <v>319</v>
      </c>
      <c r="C73" s="13" t="s">
        <v>86</v>
      </c>
      <c r="D73" s="13"/>
      <c r="E73" s="3" t="s">
        <v>631</v>
      </c>
      <c r="F73" s="2" t="s">
        <v>632</v>
      </c>
      <c r="G73" s="2" t="s">
        <v>633</v>
      </c>
      <c r="H73" s="2" t="s">
        <v>331</v>
      </c>
      <c r="I73" s="3" t="s">
        <v>621</v>
      </c>
      <c r="J73" s="7" t="n">
        <v>30</v>
      </c>
      <c r="K73" s="2"/>
    </row>
    <row r="74" customFormat="false" ht="58.2" hidden="false" customHeight="false" outlineLevel="0" collapsed="false">
      <c r="A74" s="13" t="n">
        <v>69</v>
      </c>
      <c r="B74" s="12" t="s">
        <v>319</v>
      </c>
      <c r="C74" s="13" t="s">
        <v>86</v>
      </c>
      <c r="D74" s="13"/>
      <c r="E74" s="3" t="s">
        <v>634</v>
      </c>
      <c r="F74" s="2" t="s">
        <v>635</v>
      </c>
      <c r="G74" s="2" t="s">
        <v>636</v>
      </c>
      <c r="H74" s="2" t="s">
        <v>334</v>
      </c>
      <c r="I74" s="2" t="s">
        <v>403</v>
      </c>
      <c r="J74" s="7" t="n">
        <v>25</v>
      </c>
      <c r="K74" s="2"/>
    </row>
    <row r="75" customFormat="false" ht="72.35" hidden="false" customHeight="false" outlineLevel="0" collapsed="false">
      <c r="A75" s="15" t="n">
        <v>70</v>
      </c>
      <c r="B75" s="14" t="s">
        <v>319</v>
      </c>
      <c r="C75" s="15" t="s">
        <v>10</v>
      </c>
      <c r="D75" s="14" t="s">
        <v>32</v>
      </c>
      <c r="E75" s="3" t="s">
        <v>637</v>
      </c>
      <c r="F75" s="3" t="s">
        <v>638</v>
      </c>
      <c r="G75" s="3" t="s">
        <v>639</v>
      </c>
      <c r="H75" s="3" t="s">
        <v>337</v>
      </c>
      <c r="I75" s="2" t="s">
        <v>10</v>
      </c>
      <c r="J75" s="7" t="n">
        <v>55</v>
      </c>
      <c r="K75" s="2" t="s">
        <v>640</v>
      </c>
    </row>
    <row r="76" customFormat="false" ht="58.2" hidden="false" customHeight="false" outlineLevel="0" collapsed="false">
      <c r="A76" s="15" t="n">
        <v>71</v>
      </c>
      <c r="B76" s="14" t="s">
        <v>319</v>
      </c>
      <c r="C76" s="15" t="s">
        <v>10</v>
      </c>
      <c r="D76" s="14" t="s">
        <v>32</v>
      </c>
      <c r="E76" s="3" t="s">
        <v>641</v>
      </c>
      <c r="F76" s="2" t="s">
        <v>642</v>
      </c>
      <c r="G76" s="3" t="s">
        <v>643</v>
      </c>
      <c r="H76" s="2" t="s">
        <v>341</v>
      </c>
      <c r="I76" s="2" t="s">
        <v>10</v>
      </c>
      <c r="J76" s="7" t="n">
        <v>40</v>
      </c>
      <c r="K76" s="2" t="s">
        <v>84</v>
      </c>
    </row>
    <row r="77" customFormat="false" ht="58.2" hidden="false" customHeight="false" outlineLevel="0" collapsed="false">
      <c r="A77" s="15" t="n">
        <v>72</v>
      </c>
      <c r="B77" s="14" t="s">
        <v>319</v>
      </c>
      <c r="C77" s="15" t="s">
        <v>10</v>
      </c>
      <c r="D77" s="14" t="s">
        <v>32</v>
      </c>
      <c r="E77" s="3" t="s">
        <v>644</v>
      </c>
      <c r="F77" s="2" t="s">
        <v>645</v>
      </c>
      <c r="G77" s="3" t="s">
        <v>646</v>
      </c>
      <c r="H77" s="2" t="s">
        <v>345</v>
      </c>
      <c r="I77" s="2" t="s">
        <v>10</v>
      </c>
      <c r="J77" s="7" t="n">
        <v>30</v>
      </c>
      <c r="K77" s="2" t="s">
        <v>346</v>
      </c>
    </row>
    <row r="78" customFormat="false" ht="72.35" hidden="false" customHeight="false" outlineLevel="0" collapsed="false">
      <c r="A78" s="15" t="n">
        <v>73</v>
      </c>
      <c r="B78" s="14" t="s">
        <v>319</v>
      </c>
      <c r="C78" s="15" t="s">
        <v>10</v>
      </c>
      <c r="D78" s="14" t="s">
        <v>149</v>
      </c>
      <c r="E78" s="3" t="s">
        <v>647</v>
      </c>
      <c r="F78" s="2" t="s">
        <v>648</v>
      </c>
      <c r="G78" s="3" t="s">
        <v>649</v>
      </c>
      <c r="H78" s="2" t="s">
        <v>349</v>
      </c>
      <c r="I78" s="2" t="s">
        <v>10</v>
      </c>
      <c r="J78" s="7" t="n">
        <v>35</v>
      </c>
      <c r="K78" s="2"/>
    </row>
    <row r="79" customFormat="false" ht="72.35" hidden="false" customHeight="false" outlineLevel="0" collapsed="false">
      <c r="A79" s="15" t="n">
        <v>74</v>
      </c>
      <c r="B79" s="14" t="s">
        <v>319</v>
      </c>
      <c r="C79" s="15" t="s">
        <v>10</v>
      </c>
      <c r="D79" s="14" t="s">
        <v>149</v>
      </c>
      <c r="E79" s="3" t="s">
        <v>650</v>
      </c>
      <c r="F79" s="2" t="s">
        <v>651</v>
      </c>
      <c r="G79" s="3" t="s">
        <v>652</v>
      </c>
      <c r="H79" s="2" t="s">
        <v>353</v>
      </c>
      <c r="I79" s="2" t="s">
        <v>10</v>
      </c>
      <c r="J79" s="7" t="n">
        <v>30</v>
      </c>
      <c r="K79" s="2" t="s">
        <v>354</v>
      </c>
    </row>
    <row r="80" customFormat="false" ht="58.2" hidden="false" customHeight="false" outlineLevel="0" collapsed="false">
      <c r="A80" s="15" t="n">
        <v>75</v>
      </c>
      <c r="B80" s="14" t="s">
        <v>319</v>
      </c>
      <c r="C80" s="15" t="s">
        <v>10</v>
      </c>
      <c r="D80" s="14" t="s">
        <v>149</v>
      </c>
      <c r="E80" s="3" t="s">
        <v>653</v>
      </c>
      <c r="F80" s="2" t="s">
        <v>654</v>
      </c>
      <c r="G80" s="3" t="s">
        <v>655</v>
      </c>
      <c r="H80" s="2" t="s">
        <v>357</v>
      </c>
      <c r="I80" s="2" t="s">
        <v>10</v>
      </c>
      <c r="J80" s="7" t="n">
        <v>25</v>
      </c>
      <c r="K80" s="2" t="s">
        <v>358</v>
      </c>
    </row>
    <row r="81" customFormat="false" ht="58.2" hidden="false" customHeight="false" outlineLevel="0" collapsed="false">
      <c r="A81" s="15" t="n">
        <v>76</v>
      </c>
      <c r="B81" s="14" t="s">
        <v>319</v>
      </c>
      <c r="C81" s="15" t="s">
        <v>10</v>
      </c>
      <c r="D81" s="14" t="s">
        <v>166</v>
      </c>
      <c r="E81" s="3" t="s">
        <v>656</v>
      </c>
      <c r="F81" s="2" t="s">
        <v>657</v>
      </c>
      <c r="G81" s="3" t="s">
        <v>658</v>
      </c>
      <c r="H81" s="2" t="s">
        <v>361</v>
      </c>
      <c r="I81" s="2" t="s">
        <v>10</v>
      </c>
      <c r="J81" s="7" t="n">
        <v>35</v>
      </c>
      <c r="K81" s="2"/>
    </row>
    <row r="82" customFormat="false" ht="72.35" hidden="false" customHeight="false" outlineLevel="0" collapsed="false">
      <c r="A82" s="15" t="n">
        <v>77</v>
      </c>
      <c r="B82" s="14" t="s">
        <v>319</v>
      </c>
      <c r="C82" s="15" t="s">
        <v>10</v>
      </c>
      <c r="D82" s="14" t="s">
        <v>166</v>
      </c>
      <c r="E82" s="3" t="s">
        <v>659</v>
      </c>
      <c r="F82" s="2" t="s">
        <v>660</v>
      </c>
      <c r="G82" s="3" t="s">
        <v>661</v>
      </c>
      <c r="H82" s="2" t="s">
        <v>364</v>
      </c>
      <c r="I82" s="2" t="s">
        <v>10</v>
      </c>
      <c r="J82" s="7" t="n">
        <v>30</v>
      </c>
      <c r="K82" s="2" t="s">
        <v>354</v>
      </c>
    </row>
    <row r="83" customFormat="false" ht="58.2" hidden="false" customHeight="false" outlineLevel="0" collapsed="false">
      <c r="A83" s="15" t="n">
        <v>78</v>
      </c>
      <c r="B83" s="14" t="s">
        <v>319</v>
      </c>
      <c r="C83" s="15" t="s">
        <v>10</v>
      </c>
      <c r="D83" s="14" t="s">
        <v>166</v>
      </c>
      <c r="E83" s="3" t="s">
        <v>662</v>
      </c>
      <c r="F83" s="2" t="s">
        <v>663</v>
      </c>
      <c r="G83" s="3" t="s">
        <v>664</v>
      </c>
      <c r="H83" s="2" t="s">
        <v>367</v>
      </c>
      <c r="I83" s="2" t="s">
        <v>10</v>
      </c>
      <c r="J83" s="7" t="n">
        <v>25</v>
      </c>
      <c r="K83" s="2" t="s">
        <v>358</v>
      </c>
    </row>
    <row r="84" customFormat="false" ht="44" hidden="false" customHeight="false" outlineLevel="0" collapsed="false">
      <c r="A84" s="17" t="n">
        <v>79</v>
      </c>
      <c r="B84" s="16" t="s">
        <v>319</v>
      </c>
      <c r="C84" s="17" t="s">
        <v>12</v>
      </c>
      <c r="D84" s="17"/>
      <c r="E84" s="3" t="s">
        <v>665</v>
      </c>
      <c r="F84" s="3" t="s">
        <v>666</v>
      </c>
      <c r="G84" s="3" t="s">
        <v>667</v>
      </c>
      <c r="H84" s="2" t="s">
        <v>370</v>
      </c>
      <c r="I84" s="3" t="s">
        <v>515</v>
      </c>
      <c r="J84" s="7" t="n">
        <v>35</v>
      </c>
      <c r="K84" s="2" t="s">
        <v>371</v>
      </c>
    </row>
    <row r="85" customFormat="false" ht="44" hidden="false" customHeight="false" outlineLevel="0" collapsed="false">
      <c r="A85" s="17" t="n">
        <v>80</v>
      </c>
      <c r="B85" s="16" t="s">
        <v>319</v>
      </c>
      <c r="C85" s="17" t="s">
        <v>12</v>
      </c>
      <c r="D85" s="17"/>
      <c r="E85" s="3" t="s">
        <v>668</v>
      </c>
      <c r="F85" s="2" t="s">
        <v>669</v>
      </c>
      <c r="G85" s="2" t="s">
        <v>670</v>
      </c>
      <c r="H85" s="2" t="s">
        <v>374</v>
      </c>
      <c r="I85" s="3" t="s">
        <v>515</v>
      </c>
      <c r="J85" s="7" t="n">
        <v>30</v>
      </c>
      <c r="K85" s="2" t="s">
        <v>375</v>
      </c>
    </row>
    <row r="86" customFormat="false" ht="58.2" hidden="false" customHeight="false" outlineLevel="0" collapsed="false">
      <c r="A86" s="17" t="n">
        <v>81</v>
      </c>
      <c r="B86" s="16" t="s">
        <v>319</v>
      </c>
      <c r="C86" s="17" t="s">
        <v>12</v>
      </c>
      <c r="D86" s="17"/>
      <c r="E86" s="3" t="s">
        <v>671</v>
      </c>
      <c r="F86" s="2" t="s">
        <v>672</v>
      </c>
      <c r="G86" s="2" t="s">
        <v>673</v>
      </c>
      <c r="H86" s="2" t="s">
        <v>378</v>
      </c>
      <c r="I86" s="3" t="s">
        <v>515</v>
      </c>
      <c r="J86" s="7" t="n">
        <v>35</v>
      </c>
      <c r="K86" s="2" t="s">
        <v>379</v>
      </c>
    </row>
    <row r="87" customFormat="false" ht="44" hidden="false" customHeight="false" outlineLevel="0" collapsed="false">
      <c r="A87" s="17" t="n">
        <v>82</v>
      </c>
      <c r="B87" s="16" t="s">
        <v>319</v>
      </c>
      <c r="C87" s="17" t="s">
        <v>12</v>
      </c>
      <c r="D87" s="17"/>
      <c r="E87" s="3" t="s">
        <v>674</v>
      </c>
      <c r="F87" s="3" t="s">
        <v>675</v>
      </c>
      <c r="G87" s="2" t="s">
        <v>676</v>
      </c>
      <c r="H87" s="2" t="s">
        <v>382</v>
      </c>
      <c r="I87" s="3" t="s">
        <v>515</v>
      </c>
      <c r="J87" s="7" t="n">
        <v>45</v>
      </c>
      <c r="K87" s="2" t="s">
        <v>677</v>
      </c>
    </row>
    <row r="88" customFormat="false" ht="15" hidden="false" customHeight="false" outlineLevel="0" collapsed="false">
      <c r="A88" s="9" t="str">
        <f aca="false">"5. 마무리 — 내가 만든 것이 실제 제품에서는 어디에 있나  ("&amp;SUM(J89)&amp;"분)"</f>
        <v>5. 마무리 — 내가 만든 것이 실제 제품에서는 어디에 있나  (40분)</v>
      </c>
      <c r="B88" s="9"/>
      <c r="C88" s="9"/>
      <c r="D88" s="9"/>
      <c r="E88" s="9"/>
      <c r="F88" s="9"/>
      <c r="G88" s="9"/>
      <c r="H88" s="9"/>
      <c r="I88" s="9"/>
      <c r="J88" s="9"/>
      <c r="K88" s="9"/>
    </row>
    <row r="89" customFormat="false" ht="58.2" hidden="false" customHeight="false" outlineLevel="0" collapsed="false">
      <c r="A89" s="11" t="n">
        <v>83</v>
      </c>
      <c r="B89" s="11" t="s">
        <v>388</v>
      </c>
      <c r="C89" s="11" t="s">
        <v>388</v>
      </c>
      <c r="D89" s="10" t="s">
        <v>32</v>
      </c>
      <c r="E89" s="3" t="s">
        <v>678</v>
      </c>
      <c r="F89" s="2" t="s">
        <v>679</v>
      </c>
      <c r="G89" s="2" t="s">
        <v>680</v>
      </c>
      <c r="H89" s="3" t="s">
        <v>391</v>
      </c>
      <c r="I89" s="2" t="s">
        <v>412</v>
      </c>
      <c r="J89" s="7" t="n">
        <v>40</v>
      </c>
      <c r="K89" s="2"/>
    </row>
    <row r="90" customFormat="false" ht="15" hidden="false" customHeight="false" outlineLevel="0" collapsed="false">
      <c r="E90" s="1" t="s">
        <v>393</v>
      </c>
      <c r="J90" s="6" t="n">
        <f aca="false">SUM(J2:J89)</f>
        <v>2520</v>
      </c>
    </row>
    <row r="91" customFormat="false" ht="15" hidden="false" customHeight="false" outlineLevel="0" collapsed="false">
      <c r="E91" s="1" t="s">
        <v>47</v>
      </c>
      <c r="J91" s="7" t="n">
        <v>2520</v>
      </c>
    </row>
    <row r="92" customFormat="false" ht="15" hidden="false" customHeight="false" outlineLevel="0" collapsed="false">
      <c r="E92" s="1" t="s">
        <v>394</v>
      </c>
      <c r="J92" s="6" t="n">
        <f aca="false">J90-J91</f>
        <v>0</v>
      </c>
    </row>
    <row r="93" customFormat="false" ht="15" hidden="false" customHeight="false" outlineLevel="0" collapsed="false">
      <c r="E93" s="1" t="s">
        <v>395</v>
      </c>
      <c r="J93" s="6" t="n">
        <f aca="false">ROUND(J90/60,1)</f>
        <v>42</v>
      </c>
    </row>
  </sheetData>
  <autoFilter ref="A1:K89"/>
  <mergeCells count="5">
    <mergeCell ref="A2:K2"/>
    <mergeCell ref="A9:K9"/>
    <mergeCell ref="A43:K43"/>
    <mergeCell ref="A69:K69"/>
    <mergeCell ref="A88:K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4" min="3" style="0" width="5.46"/>
    <col collapsed="false" customWidth="true" hidden="false" outlineLevel="0" max="5" min="5" style="0" width="38.21"/>
    <col collapsed="false" customWidth="true" hidden="false" outlineLevel="0" max="6" min="6" style="0" width="72.79"/>
    <col collapsed="false" customWidth="true" hidden="false" outlineLevel="0" max="7" min="7" style="0" width="23.66"/>
    <col collapsed="false" customWidth="true" hidden="false" outlineLevel="0" max="8" min="8" style="0" width="18.2"/>
    <col collapsed="false" customWidth="true" hidden="false" outlineLevel="0" max="10" min="9" style="0" width="8.19"/>
    <col collapsed="false" customWidth="true" hidden="false" outlineLevel="0" max="11" min="11" style="0" width="7.28"/>
    <col collapsed="false" customWidth="true" hidden="false" outlineLevel="0" max="12" min="12" style="0" width="32.76"/>
  </cols>
  <sheetData>
    <row r="1" customFormat="false" ht="44" hidden="false" customHeight="false" outlineLevel="0" collapsed="false">
      <c r="A1" s="8" t="s">
        <v>51</v>
      </c>
      <c r="B1" s="4" t="s">
        <v>20</v>
      </c>
      <c r="C1" s="4" t="s">
        <v>52</v>
      </c>
      <c r="D1" s="4" t="s">
        <v>24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  <c r="L1" s="4" t="s">
        <v>60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("&amp;SUM(K3:K8)&amp;"분)"</f>
        <v>1. 시작 — 공장의 값이 업무가 되기까지, 우리가 끝까지 만들 것을 먼저 본다  (150분)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58.2" hidden="false" customHeight="false" outlineLevel="0" collapsed="false">
      <c r="A3" s="11" t="n">
        <v>1</v>
      </c>
      <c r="B3" s="11" t="s">
        <v>61</v>
      </c>
      <c r="C3" s="11" t="s">
        <v>61</v>
      </c>
      <c r="D3" s="11"/>
      <c r="E3" s="3" t="s">
        <v>62</v>
      </c>
      <c r="F3" s="2" t="s">
        <v>63</v>
      </c>
      <c r="G3" s="2" t="s">
        <v>64</v>
      </c>
      <c r="H3" s="2" t="s">
        <v>65</v>
      </c>
      <c r="I3" s="7" t="n">
        <v>20</v>
      </c>
      <c r="J3" s="7" t="n">
        <v>0</v>
      </c>
      <c r="K3" s="5" t="n">
        <f aca="false">I3+J3</f>
        <v>20</v>
      </c>
      <c r="L3" s="2"/>
    </row>
    <row r="4" customFormat="false" ht="58.2" hidden="false" customHeight="false" outlineLevel="0" collapsed="false">
      <c r="A4" s="11" t="n">
        <v>2</v>
      </c>
      <c r="B4" s="11" t="s">
        <v>61</v>
      </c>
      <c r="C4" s="11" t="s">
        <v>61</v>
      </c>
      <c r="D4" s="11"/>
      <c r="E4" s="3" t="s">
        <v>66</v>
      </c>
      <c r="F4" s="2" t="s">
        <v>67</v>
      </c>
      <c r="G4" s="3" t="s">
        <v>68</v>
      </c>
      <c r="H4" s="2" t="s">
        <v>65</v>
      </c>
      <c r="I4" s="7" t="n">
        <v>10</v>
      </c>
      <c r="J4" s="7" t="n">
        <v>30</v>
      </c>
      <c r="K4" s="5" t="n">
        <f aca="false">I4+J4</f>
        <v>40</v>
      </c>
      <c r="L4" s="2" t="s">
        <v>69</v>
      </c>
    </row>
    <row r="5" customFormat="false" ht="58.2" hidden="false" customHeight="false" outlineLevel="0" collapsed="false">
      <c r="A5" s="11" t="n">
        <v>3</v>
      </c>
      <c r="B5" s="11" t="s">
        <v>61</v>
      </c>
      <c r="C5" s="11" t="s">
        <v>61</v>
      </c>
      <c r="D5" s="11"/>
      <c r="E5" s="3" t="s">
        <v>70</v>
      </c>
      <c r="F5" s="2" t="s">
        <v>71</v>
      </c>
      <c r="G5" s="3" t="s">
        <v>72</v>
      </c>
      <c r="H5" s="2" t="s">
        <v>65</v>
      </c>
      <c r="I5" s="7" t="n">
        <v>10</v>
      </c>
      <c r="J5" s="7" t="n">
        <v>10</v>
      </c>
      <c r="K5" s="5" t="n">
        <f aca="false">I5+J5</f>
        <v>20</v>
      </c>
      <c r="L5" s="2"/>
    </row>
    <row r="6" customFormat="false" ht="72.35" hidden="false" customHeight="false" outlineLevel="0" collapsed="false">
      <c r="A6" s="11" t="n">
        <v>4</v>
      </c>
      <c r="B6" s="11" t="s">
        <v>61</v>
      </c>
      <c r="C6" s="11" t="s">
        <v>61</v>
      </c>
      <c r="D6" s="11"/>
      <c r="E6" s="3" t="s">
        <v>73</v>
      </c>
      <c r="F6" s="2" t="s">
        <v>74</v>
      </c>
      <c r="G6" s="2" t="s">
        <v>75</v>
      </c>
      <c r="H6" s="2" t="s">
        <v>65</v>
      </c>
      <c r="I6" s="7" t="n">
        <v>10</v>
      </c>
      <c r="J6" s="7" t="n">
        <v>10</v>
      </c>
      <c r="K6" s="5" t="n">
        <f aca="false">I6+J6</f>
        <v>20</v>
      </c>
      <c r="L6" s="2" t="s">
        <v>76</v>
      </c>
    </row>
    <row r="7" customFormat="false" ht="58.2" hidden="false" customHeight="false" outlineLevel="0" collapsed="false">
      <c r="A7" s="11" t="n">
        <v>5</v>
      </c>
      <c r="B7" s="11" t="s">
        <v>61</v>
      </c>
      <c r="C7" s="11" t="s">
        <v>61</v>
      </c>
      <c r="D7" s="11"/>
      <c r="E7" s="3" t="s">
        <v>77</v>
      </c>
      <c r="F7" s="2" t="s">
        <v>78</v>
      </c>
      <c r="G7" s="2" t="s">
        <v>79</v>
      </c>
      <c r="H7" s="2" t="s">
        <v>65</v>
      </c>
      <c r="I7" s="7" t="n">
        <v>10</v>
      </c>
      <c r="J7" s="7" t="n">
        <v>10</v>
      </c>
      <c r="K7" s="5" t="n">
        <f aca="false">I7+J7</f>
        <v>20</v>
      </c>
      <c r="L7" s="2"/>
    </row>
    <row r="8" customFormat="false" ht="100.7" hidden="false" customHeight="false" outlineLevel="0" collapsed="false">
      <c r="A8" s="11" t="n">
        <v>6</v>
      </c>
      <c r="B8" s="11" t="s">
        <v>61</v>
      </c>
      <c r="C8" s="11" t="s">
        <v>61</v>
      </c>
      <c r="D8" s="10" t="s">
        <v>32</v>
      </c>
      <c r="E8" s="3" t="s">
        <v>80</v>
      </c>
      <c r="F8" s="2" t="s">
        <v>81</v>
      </c>
      <c r="G8" s="2" t="s">
        <v>82</v>
      </c>
      <c r="H8" s="2" t="s">
        <v>83</v>
      </c>
      <c r="I8" s="7" t="n">
        <v>10</v>
      </c>
      <c r="J8" s="7" t="n">
        <v>20</v>
      </c>
      <c r="K8" s="5" t="n">
        <f aca="false">I8+J8</f>
        <v>30</v>
      </c>
      <c r="L8" s="2" t="s">
        <v>84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("&amp;SUM(K10:K38)&amp;"분)"</f>
        <v>2. 온톨로지 — 문서를 공장의 지식 지도로 만들면 AI가 근거를 들고 답한다  (690분)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customFormat="false" ht="72.35" hidden="false" customHeight="false" outlineLevel="0" collapsed="false">
      <c r="A10" s="13" t="n">
        <v>7</v>
      </c>
      <c r="B10" s="13" t="s">
        <v>85</v>
      </c>
      <c r="C10" s="13" t="s">
        <v>86</v>
      </c>
      <c r="D10" s="13"/>
      <c r="E10" s="3" t="s">
        <v>87</v>
      </c>
      <c r="F10" s="2" t="s">
        <v>88</v>
      </c>
      <c r="G10" s="2" t="s">
        <v>89</v>
      </c>
      <c r="H10" s="2" t="s">
        <v>90</v>
      </c>
      <c r="I10" s="7" t="n">
        <v>15</v>
      </c>
      <c r="J10" s="7" t="n">
        <v>5</v>
      </c>
      <c r="K10" s="5" t="n">
        <f aca="false">I10+J10</f>
        <v>20</v>
      </c>
      <c r="L10" s="2"/>
    </row>
    <row r="11" customFormat="false" ht="72.35" hidden="false" customHeight="false" outlineLevel="0" collapsed="false">
      <c r="A11" s="13" t="n">
        <v>8</v>
      </c>
      <c r="B11" s="13" t="s">
        <v>85</v>
      </c>
      <c r="C11" s="13" t="s">
        <v>86</v>
      </c>
      <c r="D11" s="13"/>
      <c r="E11" s="3" t="s">
        <v>91</v>
      </c>
      <c r="F11" s="2" t="s">
        <v>92</v>
      </c>
      <c r="G11" s="2" t="s">
        <v>93</v>
      </c>
      <c r="H11" s="2" t="s">
        <v>90</v>
      </c>
      <c r="I11" s="7" t="n">
        <v>20</v>
      </c>
      <c r="J11" s="7" t="n">
        <v>0</v>
      </c>
      <c r="K11" s="5" t="n">
        <f aca="false">I11+J11</f>
        <v>20</v>
      </c>
      <c r="L11" s="2"/>
    </row>
    <row r="12" customFormat="false" ht="72.35" hidden="false" customHeight="false" outlineLevel="0" collapsed="false">
      <c r="A12" s="13" t="n">
        <v>9</v>
      </c>
      <c r="B12" s="13" t="s">
        <v>85</v>
      </c>
      <c r="C12" s="13" t="s">
        <v>86</v>
      </c>
      <c r="D12" s="13"/>
      <c r="E12" s="3" t="s">
        <v>94</v>
      </c>
      <c r="F12" s="2" t="s">
        <v>95</v>
      </c>
      <c r="G12" s="2" t="s">
        <v>96</v>
      </c>
      <c r="H12" s="2" t="s">
        <v>90</v>
      </c>
      <c r="I12" s="7" t="n">
        <v>25</v>
      </c>
      <c r="J12" s="7" t="n">
        <v>0</v>
      </c>
      <c r="K12" s="5" t="n">
        <f aca="false">I12+J12</f>
        <v>25</v>
      </c>
      <c r="L12" s="2"/>
    </row>
    <row r="13" customFormat="false" ht="72.35" hidden="false" customHeight="false" outlineLevel="0" collapsed="false">
      <c r="A13" s="13" t="n">
        <v>10</v>
      </c>
      <c r="B13" s="13" t="s">
        <v>85</v>
      </c>
      <c r="C13" s="13" t="s">
        <v>86</v>
      </c>
      <c r="D13" s="13"/>
      <c r="E13" s="3" t="s">
        <v>101</v>
      </c>
      <c r="F13" s="2" t="s">
        <v>102</v>
      </c>
      <c r="G13" s="2" t="s">
        <v>103</v>
      </c>
      <c r="H13" s="2" t="s">
        <v>90</v>
      </c>
      <c r="I13" s="7" t="n">
        <v>15</v>
      </c>
      <c r="J13" s="7" t="n">
        <v>5</v>
      </c>
      <c r="K13" s="5" t="n">
        <f aca="false">I13+J13</f>
        <v>20</v>
      </c>
      <c r="L13" s="2"/>
    </row>
    <row r="14" customFormat="false" ht="86.55" hidden="false" customHeight="false" outlineLevel="0" collapsed="false">
      <c r="A14" s="13" t="n">
        <v>11</v>
      </c>
      <c r="B14" s="13" t="s">
        <v>85</v>
      </c>
      <c r="C14" s="13" t="s">
        <v>86</v>
      </c>
      <c r="D14" s="13"/>
      <c r="E14" s="3" t="s">
        <v>104</v>
      </c>
      <c r="F14" s="2" t="s">
        <v>105</v>
      </c>
      <c r="G14" s="2" t="s">
        <v>106</v>
      </c>
      <c r="H14" s="2" t="s">
        <v>90</v>
      </c>
      <c r="I14" s="7" t="n">
        <v>15</v>
      </c>
      <c r="J14" s="7" t="n">
        <v>5</v>
      </c>
      <c r="K14" s="5" t="n">
        <f aca="false">I14+J14</f>
        <v>20</v>
      </c>
      <c r="L14" s="2"/>
    </row>
    <row r="15" customFormat="false" ht="86.55" hidden="false" customHeight="false" outlineLevel="0" collapsed="false">
      <c r="A15" s="13" t="n">
        <v>12</v>
      </c>
      <c r="B15" s="13" t="s">
        <v>85</v>
      </c>
      <c r="C15" s="13" t="s">
        <v>86</v>
      </c>
      <c r="D15" s="13"/>
      <c r="E15" s="3" t="s">
        <v>111</v>
      </c>
      <c r="F15" s="2" t="s">
        <v>112</v>
      </c>
      <c r="G15" s="2" t="s">
        <v>113</v>
      </c>
      <c r="H15" s="2" t="s">
        <v>90</v>
      </c>
      <c r="I15" s="7" t="n">
        <v>20</v>
      </c>
      <c r="J15" s="7" t="n">
        <v>5</v>
      </c>
      <c r="K15" s="5" t="n">
        <f aca="false">I15+J15</f>
        <v>25</v>
      </c>
      <c r="L15" s="2"/>
    </row>
    <row r="16" customFormat="false" ht="86.55" hidden="false" customHeight="false" outlineLevel="0" collapsed="false">
      <c r="A16" s="13" t="n">
        <v>13</v>
      </c>
      <c r="B16" s="13" t="s">
        <v>85</v>
      </c>
      <c r="C16" s="13" t="s">
        <v>86</v>
      </c>
      <c r="D16" s="13"/>
      <c r="E16" s="3" t="s">
        <v>126</v>
      </c>
      <c r="F16" s="2" t="s">
        <v>127</v>
      </c>
      <c r="G16" s="2" t="s">
        <v>128</v>
      </c>
      <c r="H16" s="2" t="s">
        <v>90</v>
      </c>
      <c r="I16" s="7" t="n">
        <v>20</v>
      </c>
      <c r="J16" s="7" t="n">
        <v>5</v>
      </c>
      <c r="K16" s="5" t="n">
        <f aca="false">I16+J16</f>
        <v>25</v>
      </c>
      <c r="L16" s="2"/>
    </row>
    <row r="17" customFormat="false" ht="72.35" hidden="false" customHeight="false" outlineLevel="0" collapsed="false">
      <c r="A17" s="15" t="n">
        <v>14</v>
      </c>
      <c r="B17" s="15" t="s">
        <v>85</v>
      </c>
      <c r="C17" s="15" t="s">
        <v>10</v>
      </c>
      <c r="D17" s="14" t="s">
        <v>32</v>
      </c>
      <c r="E17" s="3" t="s">
        <v>129</v>
      </c>
      <c r="F17" s="2" t="s">
        <v>130</v>
      </c>
      <c r="G17" s="2" t="s">
        <v>131</v>
      </c>
      <c r="H17" s="2" t="s">
        <v>132</v>
      </c>
      <c r="I17" s="7" t="n">
        <v>5</v>
      </c>
      <c r="J17" s="7" t="n">
        <v>20</v>
      </c>
      <c r="K17" s="5" t="n">
        <f aca="false">I17+J17</f>
        <v>25</v>
      </c>
      <c r="L17" s="2" t="s">
        <v>133</v>
      </c>
    </row>
    <row r="18" customFormat="false" ht="86.55" hidden="false" customHeight="false" outlineLevel="0" collapsed="false">
      <c r="A18" s="15" t="n">
        <v>15</v>
      </c>
      <c r="B18" s="15" t="s">
        <v>85</v>
      </c>
      <c r="C18" s="15" t="s">
        <v>10</v>
      </c>
      <c r="D18" s="14" t="s">
        <v>32</v>
      </c>
      <c r="E18" s="3" t="s">
        <v>134</v>
      </c>
      <c r="F18" s="2" t="s">
        <v>135</v>
      </c>
      <c r="G18" s="2" t="s">
        <v>136</v>
      </c>
      <c r="H18" s="2" t="s">
        <v>132</v>
      </c>
      <c r="I18" s="7" t="n">
        <v>5</v>
      </c>
      <c r="J18" s="7" t="n">
        <v>35</v>
      </c>
      <c r="K18" s="5" t="n">
        <f aca="false">I18+J18</f>
        <v>40</v>
      </c>
      <c r="L18" s="2" t="s">
        <v>137</v>
      </c>
    </row>
    <row r="19" customFormat="false" ht="72.35" hidden="false" customHeight="false" outlineLevel="0" collapsed="false">
      <c r="A19" s="15" t="n">
        <v>16</v>
      </c>
      <c r="B19" s="15" t="s">
        <v>85</v>
      </c>
      <c r="C19" s="15" t="s">
        <v>10</v>
      </c>
      <c r="D19" s="14" t="s">
        <v>32</v>
      </c>
      <c r="E19" s="3" t="s">
        <v>138</v>
      </c>
      <c r="F19" s="2" t="s">
        <v>139</v>
      </c>
      <c r="G19" s="2" t="s">
        <v>140</v>
      </c>
      <c r="H19" s="2" t="s">
        <v>132</v>
      </c>
      <c r="I19" s="7" t="n">
        <v>5</v>
      </c>
      <c r="J19" s="7" t="n">
        <v>25</v>
      </c>
      <c r="K19" s="5" t="n">
        <f aca="false">I19+J19</f>
        <v>30</v>
      </c>
      <c r="L19" s="2" t="s">
        <v>141</v>
      </c>
    </row>
    <row r="20" customFormat="false" ht="72.35" hidden="false" customHeight="false" outlineLevel="0" collapsed="false">
      <c r="A20" s="15" t="n">
        <v>17</v>
      </c>
      <c r="B20" s="15" t="s">
        <v>85</v>
      </c>
      <c r="C20" s="15" t="s">
        <v>10</v>
      </c>
      <c r="D20" s="14" t="s">
        <v>32</v>
      </c>
      <c r="E20" s="3" t="s">
        <v>142</v>
      </c>
      <c r="F20" s="2" t="s">
        <v>143</v>
      </c>
      <c r="G20" s="2" t="s">
        <v>144</v>
      </c>
      <c r="H20" s="2" t="s">
        <v>132</v>
      </c>
      <c r="I20" s="7" t="n">
        <v>5</v>
      </c>
      <c r="J20" s="7" t="n">
        <v>20</v>
      </c>
      <c r="K20" s="5" t="n">
        <f aca="false">I20+J20</f>
        <v>25</v>
      </c>
      <c r="L20" s="2" t="s">
        <v>145</v>
      </c>
    </row>
    <row r="21" customFormat="false" ht="58.2" hidden="false" customHeight="false" outlineLevel="0" collapsed="false">
      <c r="A21" s="15" t="n">
        <v>18</v>
      </c>
      <c r="B21" s="15" t="s">
        <v>85</v>
      </c>
      <c r="C21" s="15" t="s">
        <v>10</v>
      </c>
      <c r="D21" s="14" t="s">
        <v>32</v>
      </c>
      <c r="E21" s="3" t="s">
        <v>146</v>
      </c>
      <c r="F21" s="2" t="s">
        <v>147</v>
      </c>
      <c r="G21" s="2" t="s">
        <v>148</v>
      </c>
      <c r="H21" s="2" t="s">
        <v>132</v>
      </c>
      <c r="I21" s="7" t="n">
        <v>5</v>
      </c>
      <c r="J21" s="7" t="n">
        <v>20</v>
      </c>
      <c r="K21" s="5" t="n">
        <f aca="false">I21+J21</f>
        <v>25</v>
      </c>
      <c r="L21" s="2"/>
    </row>
    <row r="22" customFormat="false" ht="72.35" hidden="false" customHeight="false" outlineLevel="0" collapsed="false">
      <c r="A22" s="15" t="n">
        <v>19</v>
      </c>
      <c r="B22" s="15" t="s">
        <v>85</v>
      </c>
      <c r="C22" s="15" t="s">
        <v>10</v>
      </c>
      <c r="D22" s="14" t="s">
        <v>149</v>
      </c>
      <c r="E22" s="3" t="s">
        <v>150</v>
      </c>
      <c r="F22" s="2" t="s">
        <v>151</v>
      </c>
      <c r="G22" s="2" t="s">
        <v>152</v>
      </c>
      <c r="H22" s="2" t="s">
        <v>132</v>
      </c>
      <c r="I22" s="7" t="n">
        <v>5</v>
      </c>
      <c r="J22" s="7" t="n">
        <v>15</v>
      </c>
      <c r="K22" s="5" t="n">
        <f aca="false">I22+J22</f>
        <v>20</v>
      </c>
      <c r="L22" s="2" t="s">
        <v>153</v>
      </c>
    </row>
    <row r="23" customFormat="false" ht="86.55" hidden="false" customHeight="false" outlineLevel="0" collapsed="false">
      <c r="A23" s="15" t="n">
        <v>20</v>
      </c>
      <c r="B23" s="15" t="s">
        <v>85</v>
      </c>
      <c r="C23" s="15" t="s">
        <v>10</v>
      </c>
      <c r="D23" s="14" t="s">
        <v>149</v>
      </c>
      <c r="E23" s="3" t="s">
        <v>154</v>
      </c>
      <c r="F23" s="2" t="s">
        <v>155</v>
      </c>
      <c r="G23" s="2" t="s">
        <v>156</v>
      </c>
      <c r="H23" s="2" t="s">
        <v>132</v>
      </c>
      <c r="I23" s="7" t="n">
        <v>5</v>
      </c>
      <c r="J23" s="7" t="n">
        <v>25</v>
      </c>
      <c r="K23" s="5" t="n">
        <f aca="false">I23+J23</f>
        <v>30</v>
      </c>
      <c r="L23" s="2" t="s">
        <v>157</v>
      </c>
    </row>
    <row r="24" customFormat="false" ht="72.35" hidden="false" customHeight="false" outlineLevel="0" collapsed="false">
      <c r="A24" s="15" t="n">
        <v>21</v>
      </c>
      <c r="B24" s="15" t="s">
        <v>85</v>
      </c>
      <c r="C24" s="15" t="s">
        <v>10</v>
      </c>
      <c r="D24" s="14" t="s">
        <v>149</v>
      </c>
      <c r="E24" s="3" t="s">
        <v>158</v>
      </c>
      <c r="F24" s="2" t="s">
        <v>159</v>
      </c>
      <c r="G24" s="2" t="s">
        <v>160</v>
      </c>
      <c r="H24" s="2" t="s">
        <v>132</v>
      </c>
      <c r="I24" s="7" t="n">
        <v>5</v>
      </c>
      <c r="J24" s="7" t="n">
        <v>15</v>
      </c>
      <c r="K24" s="5" t="n">
        <f aca="false">I24+J24</f>
        <v>20</v>
      </c>
      <c r="L24" s="2"/>
    </row>
    <row r="25" customFormat="false" ht="58.2" hidden="false" customHeight="false" outlineLevel="0" collapsed="false">
      <c r="A25" s="15" t="n">
        <v>22</v>
      </c>
      <c r="B25" s="15" t="s">
        <v>85</v>
      </c>
      <c r="C25" s="15" t="s">
        <v>10</v>
      </c>
      <c r="D25" s="14" t="s">
        <v>149</v>
      </c>
      <c r="E25" s="3" t="s">
        <v>161</v>
      </c>
      <c r="F25" s="2" t="s">
        <v>162</v>
      </c>
      <c r="G25" s="2" t="s">
        <v>163</v>
      </c>
      <c r="H25" s="2" t="s">
        <v>132</v>
      </c>
      <c r="I25" s="7" t="n">
        <v>5</v>
      </c>
      <c r="J25" s="7" t="n">
        <v>15</v>
      </c>
      <c r="K25" s="5" t="n">
        <f aca="false">I25+J25</f>
        <v>20</v>
      </c>
      <c r="L25" s="2"/>
    </row>
    <row r="26" customFormat="false" ht="72.35" hidden="false" customHeight="false" outlineLevel="0" collapsed="false">
      <c r="A26" s="15" t="n">
        <v>23</v>
      </c>
      <c r="B26" s="15" t="s">
        <v>85</v>
      </c>
      <c r="C26" s="15" t="s">
        <v>10</v>
      </c>
      <c r="D26" s="14" t="s">
        <v>149</v>
      </c>
      <c r="E26" s="3" t="s">
        <v>164</v>
      </c>
      <c r="F26" s="2" t="s">
        <v>165</v>
      </c>
      <c r="G26" s="2" t="s">
        <v>148</v>
      </c>
      <c r="H26" s="2" t="s">
        <v>132</v>
      </c>
      <c r="I26" s="7" t="n">
        <v>5</v>
      </c>
      <c r="J26" s="7" t="n">
        <v>15</v>
      </c>
      <c r="K26" s="5" t="n">
        <f aca="false">I26+J26</f>
        <v>20</v>
      </c>
      <c r="L26" s="2"/>
    </row>
    <row r="27" customFormat="false" ht="72.35" hidden="false" customHeight="false" outlineLevel="0" collapsed="false">
      <c r="A27" s="15" t="n">
        <v>24</v>
      </c>
      <c r="B27" s="15" t="s">
        <v>85</v>
      </c>
      <c r="C27" s="15" t="s">
        <v>10</v>
      </c>
      <c r="D27" s="14" t="s">
        <v>166</v>
      </c>
      <c r="E27" s="3" t="s">
        <v>167</v>
      </c>
      <c r="F27" s="2" t="s">
        <v>168</v>
      </c>
      <c r="G27" s="2" t="s">
        <v>169</v>
      </c>
      <c r="H27" s="2" t="s">
        <v>132</v>
      </c>
      <c r="I27" s="7" t="n">
        <v>5</v>
      </c>
      <c r="J27" s="7" t="n">
        <v>15</v>
      </c>
      <c r="K27" s="5" t="n">
        <f aca="false">I27+J27</f>
        <v>20</v>
      </c>
      <c r="L27" s="2" t="s">
        <v>170</v>
      </c>
    </row>
    <row r="28" customFormat="false" ht="86.55" hidden="false" customHeight="false" outlineLevel="0" collapsed="false">
      <c r="A28" s="15" t="n">
        <v>25</v>
      </c>
      <c r="B28" s="15" t="s">
        <v>85</v>
      </c>
      <c r="C28" s="15" t="s">
        <v>10</v>
      </c>
      <c r="D28" s="14" t="s">
        <v>166</v>
      </c>
      <c r="E28" s="3" t="s">
        <v>171</v>
      </c>
      <c r="F28" s="2" t="s">
        <v>172</v>
      </c>
      <c r="G28" s="2" t="s">
        <v>173</v>
      </c>
      <c r="H28" s="2" t="s">
        <v>132</v>
      </c>
      <c r="I28" s="7" t="n">
        <v>5</v>
      </c>
      <c r="J28" s="7" t="n">
        <v>25</v>
      </c>
      <c r="K28" s="5" t="n">
        <f aca="false">I28+J28</f>
        <v>30</v>
      </c>
      <c r="L28" s="2" t="s">
        <v>157</v>
      </c>
    </row>
    <row r="29" customFormat="false" ht="72.35" hidden="false" customHeight="false" outlineLevel="0" collapsed="false">
      <c r="A29" s="15" t="n">
        <v>26</v>
      </c>
      <c r="B29" s="15" t="s">
        <v>85</v>
      </c>
      <c r="C29" s="15" t="s">
        <v>10</v>
      </c>
      <c r="D29" s="14" t="s">
        <v>166</v>
      </c>
      <c r="E29" s="3" t="s">
        <v>174</v>
      </c>
      <c r="F29" s="2" t="s">
        <v>175</v>
      </c>
      <c r="G29" s="2" t="s">
        <v>176</v>
      </c>
      <c r="H29" s="2" t="s">
        <v>132</v>
      </c>
      <c r="I29" s="7" t="n">
        <v>5</v>
      </c>
      <c r="J29" s="7" t="n">
        <v>15</v>
      </c>
      <c r="K29" s="5" t="n">
        <f aca="false">I29+J29</f>
        <v>20</v>
      </c>
      <c r="L29" s="2"/>
    </row>
    <row r="30" customFormat="false" ht="58.2" hidden="false" customHeight="false" outlineLevel="0" collapsed="false">
      <c r="A30" s="15" t="n">
        <v>27</v>
      </c>
      <c r="B30" s="15" t="s">
        <v>85</v>
      </c>
      <c r="C30" s="15" t="s">
        <v>10</v>
      </c>
      <c r="D30" s="14" t="s">
        <v>166</v>
      </c>
      <c r="E30" s="3" t="s">
        <v>177</v>
      </c>
      <c r="F30" s="2" t="s">
        <v>178</v>
      </c>
      <c r="G30" s="2" t="s">
        <v>179</v>
      </c>
      <c r="H30" s="2" t="s">
        <v>132</v>
      </c>
      <c r="I30" s="7" t="n">
        <v>5</v>
      </c>
      <c r="J30" s="7" t="n">
        <v>15</v>
      </c>
      <c r="K30" s="5" t="n">
        <f aca="false">I30+J30</f>
        <v>20</v>
      </c>
      <c r="L30" s="2"/>
    </row>
    <row r="31" customFormat="false" ht="72.35" hidden="false" customHeight="false" outlineLevel="0" collapsed="false">
      <c r="A31" s="15" t="n">
        <v>28</v>
      </c>
      <c r="B31" s="15" t="s">
        <v>85</v>
      </c>
      <c r="C31" s="15" t="s">
        <v>10</v>
      </c>
      <c r="D31" s="14" t="s">
        <v>166</v>
      </c>
      <c r="E31" s="3" t="s">
        <v>180</v>
      </c>
      <c r="F31" s="2" t="s">
        <v>181</v>
      </c>
      <c r="G31" s="2" t="s">
        <v>182</v>
      </c>
      <c r="H31" s="2" t="s">
        <v>132</v>
      </c>
      <c r="I31" s="7" t="n">
        <v>5</v>
      </c>
      <c r="J31" s="7" t="n">
        <v>15</v>
      </c>
      <c r="K31" s="5" t="n">
        <f aca="false">I31+J31</f>
        <v>20</v>
      </c>
      <c r="L31" s="2"/>
    </row>
    <row r="32" customFormat="false" ht="72.35" hidden="false" customHeight="false" outlineLevel="0" collapsed="false">
      <c r="A32" s="17" t="n">
        <v>29</v>
      </c>
      <c r="B32" s="17" t="s">
        <v>85</v>
      </c>
      <c r="C32" s="17" t="s">
        <v>12</v>
      </c>
      <c r="D32" s="17"/>
      <c r="E32" s="3" t="s">
        <v>183</v>
      </c>
      <c r="F32" s="2" t="s">
        <v>184</v>
      </c>
      <c r="G32" s="2" t="s">
        <v>185</v>
      </c>
      <c r="H32" s="2" t="s">
        <v>186</v>
      </c>
      <c r="I32" s="7" t="n">
        <v>5</v>
      </c>
      <c r="J32" s="7" t="n">
        <v>20</v>
      </c>
      <c r="K32" s="5" t="n">
        <f aca="false">I32+J32</f>
        <v>25</v>
      </c>
      <c r="L32" s="2" t="s">
        <v>187</v>
      </c>
    </row>
    <row r="33" customFormat="false" ht="72.35" hidden="false" customHeight="false" outlineLevel="0" collapsed="false">
      <c r="A33" s="17" t="n">
        <v>30</v>
      </c>
      <c r="B33" s="17" t="s">
        <v>85</v>
      </c>
      <c r="C33" s="17" t="s">
        <v>12</v>
      </c>
      <c r="D33" s="17"/>
      <c r="E33" s="3" t="s">
        <v>188</v>
      </c>
      <c r="F33" s="2" t="s">
        <v>189</v>
      </c>
      <c r="G33" s="2" t="s">
        <v>190</v>
      </c>
      <c r="H33" s="2" t="s">
        <v>186</v>
      </c>
      <c r="I33" s="7" t="n">
        <v>5</v>
      </c>
      <c r="J33" s="7" t="n">
        <v>25</v>
      </c>
      <c r="K33" s="5" t="n">
        <f aca="false">I33+J33</f>
        <v>30</v>
      </c>
      <c r="L33" s="2" t="s">
        <v>191</v>
      </c>
    </row>
    <row r="34" customFormat="false" ht="58.2" hidden="false" customHeight="false" outlineLevel="0" collapsed="false">
      <c r="A34" s="17" t="n">
        <v>31</v>
      </c>
      <c r="B34" s="17" t="s">
        <v>85</v>
      </c>
      <c r="C34" s="17" t="s">
        <v>12</v>
      </c>
      <c r="D34" s="17"/>
      <c r="E34" s="3" t="s">
        <v>196</v>
      </c>
      <c r="F34" s="2" t="s">
        <v>197</v>
      </c>
      <c r="G34" s="2" t="s">
        <v>198</v>
      </c>
      <c r="H34" s="2" t="s">
        <v>186</v>
      </c>
      <c r="I34" s="7" t="n">
        <v>5</v>
      </c>
      <c r="J34" s="7" t="n">
        <v>15</v>
      </c>
      <c r="K34" s="5" t="n">
        <f aca="false">I34+J34</f>
        <v>20</v>
      </c>
      <c r="L34" s="2" t="s">
        <v>199</v>
      </c>
    </row>
    <row r="35" customFormat="false" ht="72.35" hidden="false" customHeight="false" outlineLevel="0" collapsed="false">
      <c r="A35" s="17" t="n">
        <v>32</v>
      </c>
      <c r="B35" s="17" t="s">
        <v>85</v>
      </c>
      <c r="C35" s="17" t="s">
        <v>12</v>
      </c>
      <c r="D35" s="17"/>
      <c r="E35" s="3" t="s">
        <v>200</v>
      </c>
      <c r="F35" s="2" t="s">
        <v>201</v>
      </c>
      <c r="G35" s="2" t="s">
        <v>202</v>
      </c>
      <c r="H35" s="2" t="s">
        <v>186</v>
      </c>
      <c r="I35" s="7" t="n">
        <v>5</v>
      </c>
      <c r="J35" s="7" t="n">
        <v>25</v>
      </c>
      <c r="K35" s="5" t="n">
        <f aca="false">I35+J35</f>
        <v>30</v>
      </c>
      <c r="L35" s="2" t="s">
        <v>203</v>
      </c>
    </row>
    <row r="36" customFormat="false" ht="58.2" hidden="false" customHeight="false" outlineLevel="0" collapsed="false">
      <c r="A36" s="17" t="n">
        <v>33</v>
      </c>
      <c r="B36" s="17" t="s">
        <v>85</v>
      </c>
      <c r="C36" s="17" t="s">
        <v>12</v>
      </c>
      <c r="D36" s="17"/>
      <c r="E36" s="3" t="s">
        <v>204</v>
      </c>
      <c r="F36" s="2" t="s">
        <v>205</v>
      </c>
      <c r="G36" s="2" t="s">
        <v>206</v>
      </c>
      <c r="H36" s="2" t="s">
        <v>186</v>
      </c>
      <c r="I36" s="7" t="n">
        <v>5</v>
      </c>
      <c r="J36" s="7" t="n">
        <v>15</v>
      </c>
      <c r="K36" s="5" t="n">
        <f aca="false">I36+J36</f>
        <v>20</v>
      </c>
      <c r="L36" s="2" t="s">
        <v>207</v>
      </c>
    </row>
    <row r="37" customFormat="false" ht="72.35" hidden="false" customHeight="false" outlineLevel="0" collapsed="false">
      <c r="A37" s="17" t="n">
        <v>34</v>
      </c>
      <c r="B37" s="17" t="s">
        <v>85</v>
      </c>
      <c r="C37" s="17" t="s">
        <v>12</v>
      </c>
      <c r="D37" s="17"/>
      <c r="E37" s="3" t="s">
        <v>208</v>
      </c>
      <c r="F37" s="2" t="s">
        <v>209</v>
      </c>
      <c r="G37" s="2" t="s">
        <v>210</v>
      </c>
      <c r="H37" s="2" t="s">
        <v>186</v>
      </c>
      <c r="I37" s="7" t="n">
        <v>5</v>
      </c>
      <c r="J37" s="7" t="n">
        <v>20</v>
      </c>
      <c r="K37" s="5" t="n">
        <f aca="false">I37+J37</f>
        <v>25</v>
      </c>
      <c r="L37" s="2" t="s">
        <v>211</v>
      </c>
    </row>
    <row r="38" customFormat="false" ht="72.35" hidden="false" customHeight="false" outlineLevel="0" collapsed="false">
      <c r="A38" s="17" t="n">
        <v>35</v>
      </c>
      <c r="B38" s="17" t="s">
        <v>85</v>
      </c>
      <c r="C38" s="17" t="s">
        <v>12</v>
      </c>
      <c r="D38" s="17"/>
      <c r="E38" s="3" t="s">
        <v>212</v>
      </c>
      <c r="F38" s="2" t="s">
        <v>213</v>
      </c>
      <c r="G38" s="2" t="s">
        <v>214</v>
      </c>
      <c r="H38" s="2" t="s">
        <v>186</v>
      </c>
      <c r="I38" s="7" t="n">
        <v>5</v>
      </c>
      <c r="J38" s="7" t="n">
        <v>15</v>
      </c>
      <c r="K38" s="5" t="n">
        <f aca="false">I38+J38</f>
        <v>20</v>
      </c>
      <c r="L38" s="2" t="s">
        <v>215</v>
      </c>
    </row>
    <row r="39" customFormat="false" ht="15" hidden="false" customHeight="false" outlineLevel="0" collapsed="false">
      <c r="A39" s="9" t="str">
        <f aca="false">"3. 에이전트 — AI 일꾼이 지식 지도와 지금 값을 근거로 추천안 하나를 제안한다  ("&amp;SUM(K40:K62)&amp;"분)"</f>
        <v>3. 에이전트 — AI 일꾼이 지식 지도와 지금 값을 근거로 추천안 하나를 제안한다  (605분)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72.35" hidden="false" customHeight="false" outlineLevel="0" collapsed="false">
      <c r="A40" s="13" t="n">
        <v>36</v>
      </c>
      <c r="B40" s="13" t="s">
        <v>220</v>
      </c>
      <c r="C40" s="13" t="s">
        <v>86</v>
      </c>
      <c r="D40" s="13"/>
      <c r="E40" s="3" t="s">
        <v>221</v>
      </c>
      <c r="F40" s="2" t="s">
        <v>222</v>
      </c>
      <c r="G40" s="2" t="s">
        <v>223</v>
      </c>
      <c r="H40" s="2" t="s">
        <v>90</v>
      </c>
      <c r="I40" s="7" t="n">
        <v>15</v>
      </c>
      <c r="J40" s="7" t="n">
        <v>10</v>
      </c>
      <c r="K40" s="5" t="n">
        <f aca="false">I40+J40</f>
        <v>25</v>
      </c>
      <c r="L40" s="2"/>
    </row>
    <row r="41" customFormat="false" ht="72.35" hidden="false" customHeight="false" outlineLevel="0" collapsed="false">
      <c r="A41" s="13" t="n">
        <v>37</v>
      </c>
      <c r="B41" s="13" t="s">
        <v>220</v>
      </c>
      <c r="C41" s="13" t="s">
        <v>86</v>
      </c>
      <c r="D41" s="13"/>
      <c r="E41" s="3" t="s">
        <v>224</v>
      </c>
      <c r="F41" s="2" t="s">
        <v>225</v>
      </c>
      <c r="G41" s="2" t="s">
        <v>226</v>
      </c>
      <c r="H41" s="2" t="s">
        <v>90</v>
      </c>
      <c r="I41" s="7" t="n">
        <v>20</v>
      </c>
      <c r="J41" s="7" t="n">
        <v>5</v>
      </c>
      <c r="K41" s="5" t="n">
        <f aca="false">I41+J41</f>
        <v>25</v>
      </c>
      <c r="L41" s="2"/>
    </row>
    <row r="42" customFormat="false" ht="72.35" hidden="false" customHeight="false" outlineLevel="0" collapsed="false">
      <c r="A42" s="13" t="n">
        <v>38</v>
      </c>
      <c r="B42" s="13" t="s">
        <v>220</v>
      </c>
      <c r="C42" s="13" t="s">
        <v>86</v>
      </c>
      <c r="D42" s="13"/>
      <c r="E42" s="3" t="s">
        <v>227</v>
      </c>
      <c r="F42" s="2" t="s">
        <v>228</v>
      </c>
      <c r="G42" s="2" t="s">
        <v>229</v>
      </c>
      <c r="H42" s="2" t="s">
        <v>90</v>
      </c>
      <c r="I42" s="7" t="n">
        <v>15</v>
      </c>
      <c r="J42" s="7" t="n">
        <v>5</v>
      </c>
      <c r="K42" s="5" t="n">
        <f aca="false">I42+J42</f>
        <v>20</v>
      </c>
      <c r="L42" s="2"/>
    </row>
    <row r="43" customFormat="false" ht="72.35" hidden="false" customHeight="false" outlineLevel="0" collapsed="false">
      <c r="A43" s="13" t="n">
        <v>39</v>
      </c>
      <c r="B43" s="13" t="s">
        <v>220</v>
      </c>
      <c r="C43" s="13" t="s">
        <v>86</v>
      </c>
      <c r="D43" s="13"/>
      <c r="E43" s="3" t="s">
        <v>234</v>
      </c>
      <c r="F43" s="2" t="s">
        <v>235</v>
      </c>
      <c r="G43" s="2" t="s">
        <v>236</v>
      </c>
      <c r="H43" s="2" t="s">
        <v>90</v>
      </c>
      <c r="I43" s="7" t="n">
        <v>15</v>
      </c>
      <c r="J43" s="7" t="n">
        <v>10</v>
      </c>
      <c r="K43" s="5" t="n">
        <f aca="false">I43+J43</f>
        <v>25</v>
      </c>
      <c r="L43" s="2"/>
    </row>
    <row r="44" customFormat="false" ht="72.35" hidden="false" customHeight="false" outlineLevel="0" collapsed="false">
      <c r="A44" s="13" t="n">
        <v>40</v>
      </c>
      <c r="B44" s="13" t="s">
        <v>220</v>
      </c>
      <c r="C44" s="13" t="s">
        <v>86</v>
      </c>
      <c r="D44" s="13"/>
      <c r="E44" s="3" t="s">
        <v>241</v>
      </c>
      <c r="F44" s="2" t="s">
        <v>242</v>
      </c>
      <c r="G44" s="2" t="s">
        <v>243</v>
      </c>
      <c r="H44" s="2" t="s">
        <v>90</v>
      </c>
      <c r="I44" s="7" t="n">
        <v>15</v>
      </c>
      <c r="J44" s="7" t="n">
        <v>10</v>
      </c>
      <c r="K44" s="5" t="n">
        <f aca="false">I44+J44</f>
        <v>25</v>
      </c>
      <c r="L44" s="2"/>
    </row>
    <row r="45" customFormat="false" ht="58.2" hidden="false" customHeight="false" outlineLevel="0" collapsed="false">
      <c r="A45" s="13" t="n">
        <v>41</v>
      </c>
      <c r="B45" s="13" t="s">
        <v>220</v>
      </c>
      <c r="C45" s="13" t="s">
        <v>86</v>
      </c>
      <c r="D45" s="13"/>
      <c r="E45" s="3" t="s">
        <v>244</v>
      </c>
      <c r="F45" s="2" t="s">
        <v>245</v>
      </c>
      <c r="G45" s="2" t="s">
        <v>246</v>
      </c>
      <c r="H45" s="2" t="s">
        <v>90</v>
      </c>
      <c r="I45" s="7" t="n">
        <v>15</v>
      </c>
      <c r="J45" s="7" t="n">
        <v>5</v>
      </c>
      <c r="K45" s="5" t="n">
        <f aca="false">I45+J45</f>
        <v>20</v>
      </c>
      <c r="L45" s="2"/>
    </row>
    <row r="46" customFormat="false" ht="86.55" hidden="false" customHeight="false" outlineLevel="0" collapsed="false">
      <c r="A46" s="15" t="n">
        <v>42</v>
      </c>
      <c r="B46" s="15" t="s">
        <v>220</v>
      </c>
      <c r="C46" s="15" t="s">
        <v>10</v>
      </c>
      <c r="D46" s="14" t="s">
        <v>32</v>
      </c>
      <c r="E46" s="3" t="s">
        <v>247</v>
      </c>
      <c r="F46" s="2" t="s">
        <v>248</v>
      </c>
      <c r="G46" s="2" t="s">
        <v>249</v>
      </c>
      <c r="H46" s="2" t="s">
        <v>132</v>
      </c>
      <c r="I46" s="7" t="n">
        <v>5</v>
      </c>
      <c r="J46" s="7" t="n">
        <v>35</v>
      </c>
      <c r="K46" s="5" t="n">
        <f aca="false">I46+J46</f>
        <v>40</v>
      </c>
      <c r="L46" s="2" t="s">
        <v>250</v>
      </c>
    </row>
    <row r="47" customFormat="false" ht="72.35" hidden="false" customHeight="false" outlineLevel="0" collapsed="false">
      <c r="A47" s="15" t="n">
        <v>43</v>
      </c>
      <c r="B47" s="15" t="s">
        <v>220</v>
      </c>
      <c r="C47" s="15" t="s">
        <v>10</v>
      </c>
      <c r="D47" s="14" t="s">
        <v>32</v>
      </c>
      <c r="E47" s="3" t="s">
        <v>251</v>
      </c>
      <c r="F47" s="2" t="s">
        <v>252</v>
      </c>
      <c r="G47" s="2" t="s">
        <v>253</v>
      </c>
      <c r="H47" s="2" t="s">
        <v>132</v>
      </c>
      <c r="I47" s="7" t="n">
        <v>5</v>
      </c>
      <c r="J47" s="7" t="n">
        <v>30</v>
      </c>
      <c r="K47" s="5" t="n">
        <f aca="false">I47+J47</f>
        <v>35</v>
      </c>
      <c r="L47" s="2" t="s">
        <v>254</v>
      </c>
    </row>
    <row r="48" customFormat="false" ht="58.2" hidden="false" customHeight="false" outlineLevel="0" collapsed="false">
      <c r="A48" s="15" t="n">
        <v>44</v>
      </c>
      <c r="B48" s="15" t="s">
        <v>220</v>
      </c>
      <c r="C48" s="15" t="s">
        <v>10</v>
      </c>
      <c r="D48" s="14" t="s">
        <v>32</v>
      </c>
      <c r="E48" s="3" t="s">
        <v>255</v>
      </c>
      <c r="F48" s="2" t="s">
        <v>256</v>
      </c>
      <c r="G48" s="2" t="s">
        <v>257</v>
      </c>
      <c r="H48" s="2" t="s">
        <v>132</v>
      </c>
      <c r="I48" s="7" t="n">
        <v>5</v>
      </c>
      <c r="J48" s="7" t="n">
        <v>15</v>
      </c>
      <c r="K48" s="5" t="n">
        <f aca="false">I48+J48</f>
        <v>20</v>
      </c>
      <c r="L48" s="2" t="s">
        <v>258</v>
      </c>
    </row>
    <row r="49" customFormat="false" ht="72.35" hidden="false" customHeight="false" outlineLevel="0" collapsed="false">
      <c r="A49" s="15" t="n">
        <v>45</v>
      </c>
      <c r="B49" s="15" t="s">
        <v>220</v>
      </c>
      <c r="C49" s="15" t="s">
        <v>10</v>
      </c>
      <c r="D49" s="14" t="s">
        <v>32</v>
      </c>
      <c r="E49" s="3" t="s">
        <v>259</v>
      </c>
      <c r="F49" s="2" t="s">
        <v>260</v>
      </c>
      <c r="G49" s="2" t="s">
        <v>246</v>
      </c>
      <c r="H49" s="2" t="s">
        <v>132</v>
      </c>
      <c r="I49" s="7" t="n">
        <v>5</v>
      </c>
      <c r="J49" s="7" t="n">
        <v>25</v>
      </c>
      <c r="K49" s="5" t="n">
        <f aca="false">I49+J49</f>
        <v>30</v>
      </c>
      <c r="L49" s="2" t="s">
        <v>261</v>
      </c>
    </row>
    <row r="50" customFormat="false" ht="86.55" hidden="false" customHeight="false" outlineLevel="0" collapsed="false">
      <c r="A50" s="15" t="n">
        <v>46</v>
      </c>
      <c r="B50" s="15" t="s">
        <v>220</v>
      </c>
      <c r="C50" s="15" t="s">
        <v>10</v>
      </c>
      <c r="D50" s="14" t="s">
        <v>149</v>
      </c>
      <c r="E50" s="3" t="s">
        <v>262</v>
      </c>
      <c r="F50" s="2" t="s">
        <v>263</v>
      </c>
      <c r="G50" s="2" t="s">
        <v>264</v>
      </c>
      <c r="H50" s="2" t="s">
        <v>132</v>
      </c>
      <c r="I50" s="7" t="n">
        <v>5</v>
      </c>
      <c r="J50" s="7" t="n">
        <v>25</v>
      </c>
      <c r="K50" s="5" t="n">
        <f aca="false">I50+J50</f>
        <v>30</v>
      </c>
      <c r="L50" s="2" t="s">
        <v>265</v>
      </c>
    </row>
    <row r="51" customFormat="false" ht="86.55" hidden="false" customHeight="false" outlineLevel="0" collapsed="false">
      <c r="A51" s="15" t="n">
        <v>47</v>
      </c>
      <c r="B51" s="15" t="s">
        <v>220</v>
      </c>
      <c r="C51" s="15" t="s">
        <v>10</v>
      </c>
      <c r="D51" s="14" t="s">
        <v>149</v>
      </c>
      <c r="E51" s="3" t="s">
        <v>266</v>
      </c>
      <c r="F51" s="2" t="s">
        <v>267</v>
      </c>
      <c r="G51" s="2" t="s">
        <v>268</v>
      </c>
      <c r="H51" s="2" t="s">
        <v>132</v>
      </c>
      <c r="I51" s="7" t="n">
        <v>5</v>
      </c>
      <c r="J51" s="7" t="n">
        <v>20</v>
      </c>
      <c r="K51" s="5" t="n">
        <f aca="false">I51+J51</f>
        <v>25</v>
      </c>
      <c r="L51" s="2" t="s">
        <v>261</v>
      </c>
    </row>
    <row r="52" customFormat="false" ht="58.2" hidden="false" customHeight="false" outlineLevel="0" collapsed="false">
      <c r="A52" s="15" t="n">
        <v>48</v>
      </c>
      <c r="B52" s="15" t="s">
        <v>220</v>
      </c>
      <c r="C52" s="15" t="s">
        <v>10</v>
      </c>
      <c r="D52" s="14" t="s">
        <v>149</v>
      </c>
      <c r="E52" s="3" t="s">
        <v>269</v>
      </c>
      <c r="F52" s="2" t="s">
        <v>270</v>
      </c>
      <c r="G52" s="2" t="s">
        <v>271</v>
      </c>
      <c r="H52" s="2" t="s">
        <v>132</v>
      </c>
      <c r="I52" s="7" t="n">
        <v>5</v>
      </c>
      <c r="J52" s="7" t="n">
        <v>15</v>
      </c>
      <c r="K52" s="5" t="n">
        <f aca="false">I52+J52</f>
        <v>20</v>
      </c>
      <c r="L52" s="2" t="s">
        <v>261</v>
      </c>
    </row>
    <row r="53" customFormat="false" ht="58.2" hidden="false" customHeight="false" outlineLevel="0" collapsed="false">
      <c r="A53" s="15" t="n">
        <v>49</v>
      </c>
      <c r="B53" s="15" t="s">
        <v>220</v>
      </c>
      <c r="C53" s="15" t="s">
        <v>10</v>
      </c>
      <c r="D53" s="14" t="s">
        <v>149</v>
      </c>
      <c r="E53" s="3" t="s">
        <v>272</v>
      </c>
      <c r="F53" s="2" t="s">
        <v>273</v>
      </c>
      <c r="G53" s="2" t="s">
        <v>274</v>
      </c>
      <c r="H53" s="2" t="s">
        <v>132</v>
      </c>
      <c r="I53" s="7" t="n">
        <v>5</v>
      </c>
      <c r="J53" s="7" t="n">
        <v>15</v>
      </c>
      <c r="K53" s="5" t="n">
        <f aca="false">I53+J53</f>
        <v>20</v>
      </c>
      <c r="L53" s="2" t="s">
        <v>261</v>
      </c>
    </row>
    <row r="54" customFormat="false" ht="86.55" hidden="false" customHeight="false" outlineLevel="0" collapsed="false">
      <c r="A54" s="15" t="n">
        <v>50</v>
      </c>
      <c r="B54" s="15" t="s">
        <v>220</v>
      </c>
      <c r="C54" s="15" t="s">
        <v>10</v>
      </c>
      <c r="D54" s="14" t="s">
        <v>166</v>
      </c>
      <c r="E54" s="3" t="s">
        <v>275</v>
      </c>
      <c r="F54" s="2" t="s">
        <v>276</v>
      </c>
      <c r="G54" s="2" t="s">
        <v>277</v>
      </c>
      <c r="H54" s="2" t="s">
        <v>132</v>
      </c>
      <c r="I54" s="7" t="n">
        <v>5</v>
      </c>
      <c r="J54" s="7" t="n">
        <v>25</v>
      </c>
      <c r="K54" s="5" t="n">
        <f aca="false">I54+J54</f>
        <v>30</v>
      </c>
      <c r="L54" s="2" t="s">
        <v>278</v>
      </c>
    </row>
    <row r="55" customFormat="false" ht="72.35" hidden="false" customHeight="false" outlineLevel="0" collapsed="false">
      <c r="A55" s="15" t="n">
        <v>51</v>
      </c>
      <c r="B55" s="15" t="s">
        <v>220</v>
      </c>
      <c r="C55" s="15" t="s">
        <v>10</v>
      </c>
      <c r="D55" s="14" t="s">
        <v>166</v>
      </c>
      <c r="E55" s="3" t="s">
        <v>279</v>
      </c>
      <c r="F55" s="2" t="s">
        <v>280</v>
      </c>
      <c r="G55" s="2" t="s">
        <v>281</v>
      </c>
      <c r="H55" s="2" t="s">
        <v>132</v>
      </c>
      <c r="I55" s="7" t="n">
        <v>5</v>
      </c>
      <c r="J55" s="7" t="n">
        <v>20</v>
      </c>
      <c r="K55" s="5" t="n">
        <f aca="false">I55+J55</f>
        <v>25</v>
      </c>
      <c r="L55" s="2" t="s">
        <v>261</v>
      </c>
    </row>
    <row r="56" customFormat="false" ht="58.2" hidden="false" customHeight="false" outlineLevel="0" collapsed="false">
      <c r="A56" s="15" t="n">
        <v>52</v>
      </c>
      <c r="B56" s="15" t="s">
        <v>220</v>
      </c>
      <c r="C56" s="15" t="s">
        <v>10</v>
      </c>
      <c r="D56" s="14" t="s">
        <v>166</v>
      </c>
      <c r="E56" s="3" t="s">
        <v>282</v>
      </c>
      <c r="F56" s="2" t="s">
        <v>283</v>
      </c>
      <c r="G56" s="2" t="s">
        <v>284</v>
      </c>
      <c r="H56" s="2" t="s">
        <v>132</v>
      </c>
      <c r="I56" s="7" t="n">
        <v>5</v>
      </c>
      <c r="J56" s="7" t="n">
        <v>15</v>
      </c>
      <c r="K56" s="5" t="n">
        <f aca="false">I56+J56</f>
        <v>20</v>
      </c>
      <c r="L56" s="2" t="s">
        <v>261</v>
      </c>
    </row>
    <row r="57" customFormat="false" ht="72.35" hidden="false" customHeight="false" outlineLevel="0" collapsed="false">
      <c r="A57" s="15" t="n">
        <v>53</v>
      </c>
      <c r="B57" s="15" t="s">
        <v>220</v>
      </c>
      <c r="C57" s="15" t="s">
        <v>10</v>
      </c>
      <c r="D57" s="14" t="s">
        <v>166</v>
      </c>
      <c r="E57" s="3" t="s">
        <v>285</v>
      </c>
      <c r="F57" s="2" t="s">
        <v>286</v>
      </c>
      <c r="G57" s="2" t="s">
        <v>274</v>
      </c>
      <c r="H57" s="2" t="s">
        <v>132</v>
      </c>
      <c r="I57" s="7" t="n">
        <v>5</v>
      </c>
      <c r="J57" s="7" t="n">
        <v>15</v>
      </c>
      <c r="K57" s="5" t="n">
        <f aca="false">I57+J57</f>
        <v>20</v>
      </c>
      <c r="L57" s="2" t="s">
        <v>261</v>
      </c>
    </row>
    <row r="58" customFormat="false" ht="58.2" hidden="false" customHeight="false" outlineLevel="0" collapsed="false">
      <c r="A58" s="17" t="n">
        <v>54</v>
      </c>
      <c r="B58" s="17" t="s">
        <v>220</v>
      </c>
      <c r="C58" s="17" t="s">
        <v>12</v>
      </c>
      <c r="D58" s="17"/>
      <c r="E58" s="3" t="s">
        <v>287</v>
      </c>
      <c r="F58" s="2" t="s">
        <v>288</v>
      </c>
      <c r="G58" s="2" t="s">
        <v>289</v>
      </c>
      <c r="H58" s="2" t="s">
        <v>186</v>
      </c>
      <c r="I58" s="7" t="n">
        <v>5</v>
      </c>
      <c r="J58" s="7" t="n">
        <v>25</v>
      </c>
      <c r="K58" s="5" t="n">
        <f aca="false">I58+J58</f>
        <v>30</v>
      </c>
      <c r="L58" s="2" t="s">
        <v>290</v>
      </c>
    </row>
    <row r="59" customFormat="false" ht="58.2" hidden="false" customHeight="false" outlineLevel="0" collapsed="false">
      <c r="A59" s="17" t="n">
        <v>55</v>
      </c>
      <c r="B59" s="17" t="s">
        <v>220</v>
      </c>
      <c r="C59" s="17" t="s">
        <v>12</v>
      </c>
      <c r="D59" s="17"/>
      <c r="E59" s="3" t="s">
        <v>295</v>
      </c>
      <c r="F59" s="2" t="s">
        <v>296</v>
      </c>
      <c r="G59" s="2" t="s">
        <v>297</v>
      </c>
      <c r="H59" s="2" t="s">
        <v>186</v>
      </c>
      <c r="I59" s="7" t="n">
        <v>5</v>
      </c>
      <c r="J59" s="7" t="n">
        <v>20</v>
      </c>
      <c r="K59" s="5" t="n">
        <f aca="false">I59+J59</f>
        <v>25</v>
      </c>
      <c r="L59" s="2" t="s">
        <v>298</v>
      </c>
    </row>
    <row r="60" customFormat="false" ht="58.2" hidden="false" customHeight="false" outlineLevel="0" collapsed="false">
      <c r="A60" s="17" t="n">
        <v>56</v>
      </c>
      <c r="B60" s="17" t="s">
        <v>220</v>
      </c>
      <c r="C60" s="17" t="s">
        <v>12</v>
      </c>
      <c r="D60" s="17"/>
      <c r="E60" s="3" t="s">
        <v>299</v>
      </c>
      <c r="F60" s="2" t="s">
        <v>300</v>
      </c>
      <c r="G60" s="2" t="s">
        <v>301</v>
      </c>
      <c r="H60" s="2" t="s">
        <v>186</v>
      </c>
      <c r="I60" s="7" t="n">
        <v>5</v>
      </c>
      <c r="J60" s="7" t="n">
        <v>30</v>
      </c>
      <c r="K60" s="5" t="n">
        <f aca="false">I60+J60</f>
        <v>35</v>
      </c>
      <c r="L60" s="2" t="s">
        <v>302</v>
      </c>
    </row>
    <row r="61" customFormat="false" ht="58.2" hidden="false" customHeight="false" outlineLevel="0" collapsed="false">
      <c r="A61" s="17" t="n">
        <v>57</v>
      </c>
      <c r="B61" s="17" t="s">
        <v>220</v>
      </c>
      <c r="C61" s="17" t="s">
        <v>12</v>
      </c>
      <c r="D61" s="17"/>
      <c r="E61" s="3" t="s">
        <v>307</v>
      </c>
      <c r="F61" s="2" t="s">
        <v>308</v>
      </c>
      <c r="G61" s="2" t="s">
        <v>309</v>
      </c>
      <c r="H61" s="2" t="s">
        <v>186</v>
      </c>
      <c r="I61" s="7" t="n">
        <v>5</v>
      </c>
      <c r="J61" s="7" t="n">
        <v>30</v>
      </c>
      <c r="K61" s="5" t="n">
        <f aca="false">I61+J61</f>
        <v>35</v>
      </c>
      <c r="L61" s="2" t="s">
        <v>310</v>
      </c>
    </row>
    <row r="62" customFormat="false" ht="58.2" hidden="false" customHeight="false" outlineLevel="0" collapsed="false">
      <c r="A62" s="17" t="n">
        <v>58</v>
      </c>
      <c r="B62" s="17" t="s">
        <v>220</v>
      </c>
      <c r="C62" s="17" t="s">
        <v>12</v>
      </c>
      <c r="D62" s="17"/>
      <c r="E62" s="3" t="s">
        <v>311</v>
      </c>
      <c r="F62" s="2" t="s">
        <v>312</v>
      </c>
      <c r="G62" s="2" t="s">
        <v>313</v>
      </c>
      <c r="H62" s="2" t="s">
        <v>186</v>
      </c>
      <c r="I62" s="7" t="n">
        <v>5</v>
      </c>
      <c r="J62" s="7" t="n">
        <v>20</v>
      </c>
      <c r="K62" s="5" t="n">
        <f aca="false">I62+J62</f>
        <v>25</v>
      </c>
      <c r="L62" s="2" t="s">
        <v>314</v>
      </c>
    </row>
    <row r="63" customFormat="false" ht="15" hidden="false" customHeight="false" outlineLevel="0" collapsed="false">
      <c r="A63" s="9" t="str">
        <f aca="false">"4. BPMN — 제안이 한 번 승인되고, 실행되고, 자동 확인되어야 일이 닫힌다  ("&amp;SUM(K64:K80)&amp;"분)"</f>
        <v>4. BPMN — 제안이 한 번 승인되고, 실행되고, 자동 확인되어야 일이 닫힌다  (445분)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customFormat="false" ht="58.2" hidden="false" customHeight="false" outlineLevel="0" collapsed="false">
      <c r="A64" s="13" t="n">
        <v>59</v>
      </c>
      <c r="B64" s="12" t="s">
        <v>319</v>
      </c>
      <c r="C64" s="13" t="s">
        <v>86</v>
      </c>
      <c r="D64" s="13"/>
      <c r="E64" s="3" t="s">
        <v>320</v>
      </c>
      <c r="F64" s="2" t="s">
        <v>321</v>
      </c>
      <c r="G64" s="2" t="s">
        <v>322</v>
      </c>
      <c r="H64" s="2" t="s">
        <v>90</v>
      </c>
      <c r="I64" s="7" t="n">
        <v>10</v>
      </c>
      <c r="J64" s="7" t="n">
        <v>15</v>
      </c>
      <c r="K64" s="5" t="n">
        <f aca="false">I64+J64</f>
        <v>25</v>
      </c>
      <c r="L64" s="2"/>
    </row>
    <row r="65" customFormat="false" ht="72.35" hidden="false" customHeight="false" outlineLevel="0" collapsed="false">
      <c r="A65" s="13" t="n">
        <v>60</v>
      </c>
      <c r="B65" s="12" t="s">
        <v>319</v>
      </c>
      <c r="C65" s="13" t="s">
        <v>86</v>
      </c>
      <c r="D65" s="13"/>
      <c r="E65" s="3" t="s">
        <v>323</v>
      </c>
      <c r="F65" s="2" t="s">
        <v>324</v>
      </c>
      <c r="G65" s="2" t="s">
        <v>325</v>
      </c>
      <c r="H65" s="2" t="s">
        <v>90</v>
      </c>
      <c r="I65" s="7" t="n">
        <v>15</v>
      </c>
      <c r="J65" s="7" t="n">
        <v>10</v>
      </c>
      <c r="K65" s="5" t="n">
        <f aca="false">I65+J65</f>
        <v>25</v>
      </c>
      <c r="L65" s="2"/>
    </row>
    <row r="66" customFormat="false" ht="58.2" hidden="false" customHeight="false" outlineLevel="0" collapsed="false">
      <c r="A66" s="13" t="n">
        <v>61</v>
      </c>
      <c r="B66" s="12" t="s">
        <v>319</v>
      </c>
      <c r="C66" s="13" t="s">
        <v>86</v>
      </c>
      <c r="D66" s="13"/>
      <c r="E66" s="3" t="s">
        <v>326</v>
      </c>
      <c r="F66" s="2" t="s">
        <v>327</v>
      </c>
      <c r="G66" s="2" t="s">
        <v>328</v>
      </c>
      <c r="H66" s="2" t="s">
        <v>90</v>
      </c>
      <c r="I66" s="7" t="n">
        <v>15</v>
      </c>
      <c r="J66" s="7" t="n">
        <v>5</v>
      </c>
      <c r="K66" s="5" t="n">
        <f aca="false">I66+J66</f>
        <v>20</v>
      </c>
      <c r="L66" s="2"/>
    </row>
    <row r="67" customFormat="false" ht="58.2" hidden="false" customHeight="false" outlineLevel="0" collapsed="false">
      <c r="A67" s="13" t="n">
        <v>62</v>
      </c>
      <c r="B67" s="12" t="s">
        <v>319</v>
      </c>
      <c r="C67" s="13" t="s">
        <v>86</v>
      </c>
      <c r="D67" s="13"/>
      <c r="E67" s="3" t="s">
        <v>329</v>
      </c>
      <c r="F67" s="2" t="s">
        <v>330</v>
      </c>
      <c r="G67" s="2" t="s">
        <v>331</v>
      </c>
      <c r="H67" s="2" t="s">
        <v>90</v>
      </c>
      <c r="I67" s="7" t="n">
        <v>10</v>
      </c>
      <c r="J67" s="7" t="n">
        <v>10</v>
      </c>
      <c r="K67" s="5" t="n">
        <f aca="false">I67+J67</f>
        <v>20</v>
      </c>
      <c r="L67" s="2"/>
    </row>
    <row r="68" customFormat="false" ht="72.35" hidden="false" customHeight="false" outlineLevel="0" collapsed="false">
      <c r="A68" s="13" t="n">
        <v>63</v>
      </c>
      <c r="B68" s="12" t="s">
        <v>319</v>
      </c>
      <c r="C68" s="13" t="s">
        <v>86</v>
      </c>
      <c r="D68" s="13"/>
      <c r="E68" s="3" t="s">
        <v>332</v>
      </c>
      <c r="F68" s="2" t="s">
        <v>333</v>
      </c>
      <c r="G68" s="2" t="s">
        <v>334</v>
      </c>
      <c r="H68" s="2" t="s">
        <v>90</v>
      </c>
      <c r="I68" s="7" t="n">
        <v>20</v>
      </c>
      <c r="J68" s="7" t="n">
        <v>0</v>
      </c>
      <c r="K68" s="5" t="n">
        <f aca="false">I68+J68</f>
        <v>20</v>
      </c>
      <c r="L68" s="2"/>
    </row>
    <row r="69" customFormat="false" ht="86.55" hidden="false" customHeight="false" outlineLevel="0" collapsed="false">
      <c r="A69" s="15" t="n">
        <v>64</v>
      </c>
      <c r="B69" s="14" t="s">
        <v>319</v>
      </c>
      <c r="C69" s="15" t="s">
        <v>10</v>
      </c>
      <c r="D69" s="14" t="s">
        <v>32</v>
      </c>
      <c r="E69" s="3" t="s">
        <v>335</v>
      </c>
      <c r="F69" s="2" t="s">
        <v>336</v>
      </c>
      <c r="G69" s="3" t="s">
        <v>337</v>
      </c>
      <c r="H69" s="2" t="s">
        <v>132</v>
      </c>
      <c r="I69" s="7" t="n">
        <v>5</v>
      </c>
      <c r="J69" s="7" t="n">
        <v>40</v>
      </c>
      <c r="K69" s="5" t="n">
        <f aca="false">I69+J69</f>
        <v>45</v>
      </c>
      <c r="L69" s="2" t="s">
        <v>338</v>
      </c>
    </row>
    <row r="70" customFormat="false" ht="72.35" hidden="false" customHeight="false" outlineLevel="0" collapsed="false">
      <c r="A70" s="15" t="n">
        <v>65</v>
      </c>
      <c r="B70" s="14" t="s">
        <v>319</v>
      </c>
      <c r="C70" s="15" t="s">
        <v>10</v>
      </c>
      <c r="D70" s="14" t="s">
        <v>32</v>
      </c>
      <c r="E70" s="3" t="s">
        <v>339</v>
      </c>
      <c r="F70" s="2" t="s">
        <v>340</v>
      </c>
      <c r="G70" s="2" t="s">
        <v>341</v>
      </c>
      <c r="H70" s="2" t="s">
        <v>132</v>
      </c>
      <c r="I70" s="7" t="n">
        <v>5</v>
      </c>
      <c r="J70" s="7" t="n">
        <v>30</v>
      </c>
      <c r="K70" s="5" t="n">
        <f aca="false">I70+J70</f>
        <v>35</v>
      </c>
      <c r="L70" s="2" t="s">
        <v>342</v>
      </c>
    </row>
    <row r="71" customFormat="false" ht="72.35" hidden="false" customHeight="false" outlineLevel="0" collapsed="false">
      <c r="A71" s="15" t="n">
        <v>66</v>
      </c>
      <c r="B71" s="14" t="s">
        <v>319</v>
      </c>
      <c r="C71" s="15" t="s">
        <v>10</v>
      </c>
      <c r="D71" s="14" t="s">
        <v>32</v>
      </c>
      <c r="E71" s="3" t="s">
        <v>343</v>
      </c>
      <c r="F71" s="2" t="s">
        <v>344</v>
      </c>
      <c r="G71" s="2" t="s">
        <v>345</v>
      </c>
      <c r="H71" s="2" t="s">
        <v>132</v>
      </c>
      <c r="I71" s="7" t="n">
        <v>5</v>
      </c>
      <c r="J71" s="7" t="n">
        <v>15</v>
      </c>
      <c r="K71" s="5" t="n">
        <f aca="false">I71+J71</f>
        <v>20</v>
      </c>
      <c r="L71" s="2" t="s">
        <v>346</v>
      </c>
    </row>
    <row r="72" customFormat="false" ht="86.55" hidden="false" customHeight="false" outlineLevel="0" collapsed="false">
      <c r="A72" s="15" t="n">
        <v>67</v>
      </c>
      <c r="B72" s="14" t="s">
        <v>319</v>
      </c>
      <c r="C72" s="15" t="s">
        <v>10</v>
      </c>
      <c r="D72" s="14" t="s">
        <v>149</v>
      </c>
      <c r="E72" s="3" t="s">
        <v>347</v>
      </c>
      <c r="F72" s="2" t="s">
        <v>348</v>
      </c>
      <c r="G72" s="2" t="s">
        <v>349</v>
      </c>
      <c r="H72" s="2" t="s">
        <v>132</v>
      </c>
      <c r="I72" s="7" t="n">
        <v>5</v>
      </c>
      <c r="J72" s="7" t="n">
        <v>25</v>
      </c>
      <c r="K72" s="5" t="n">
        <f aca="false">I72+J72</f>
        <v>30</v>
      </c>
      <c r="L72" s="2" t="s">
        <v>350</v>
      </c>
    </row>
    <row r="73" customFormat="false" ht="72.35" hidden="false" customHeight="false" outlineLevel="0" collapsed="false">
      <c r="A73" s="15" t="n">
        <v>68</v>
      </c>
      <c r="B73" s="14" t="s">
        <v>319</v>
      </c>
      <c r="C73" s="15" t="s">
        <v>10</v>
      </c>
      <c r="D73" s="14" t="s">
        <v>149</v>
      </c>
      <c r="E73" s="3" t="s">
        <v>351</v>
      </c>
      <c r="F73" s="2" t="s">
        <v>352</v>
      </c>
      <c r="G73" s="2" t="s">
        <v>353</v>
      </c>
      <c r="H73" s="2" t="s">
        <v>132</v>
      </c>
      <c r="I73" s="7" t="n">
        <v>5</v>
      </c>
      <c r="J73" s="7" t="n">
        <v>20</v>
      </c>
      <c r="K73" s="5" t="n">
        <f aca="false">I73+J73</f>
        <v>25</v>
      </c>
      <c r="L73" s="2" t="s">
        <v>354</v>
      </c>
    </row>
    <row r="74" customFormat="false" ht="58.2" hidden="false" customHeight="false" outlineLevel="0" collapsed="false">
      <c r="A74" s="15" t="n">
        <v>69</v>
      </c>
      <c r="B74" s="14" t="s">
        <v>319</v>
      </c>
      <c r="C74" s="15" t="s">
        <v>10</v>
      </c>
      <c r="D74" s="14" t="s">
        <v>149</v>
      </c>
      <c r="E74" s="3" t="s">
        <v>355</v>
      </c>
      <c r="F74" s="2" t="s">
        <v>356</v>
      </c>
      <c r="G74" s="2" t="s">
        <v>357</v>
      </c>
      <c r="H74" s="2" t="s">
        <v>132</v>
      </c>
      <c r="I74" s="7" t="n">
        <v>5</v>
      </c>
      <c r="J74" s="7" t="n">
        <v>15</v>
      </c>
      <c r="K74" s="5" t="n">
        <f aca="false">I74+J74</f>
        <v>20</v>
      </c>
      <c r="L74" s="2" t="s">
        <v>358</v>
      </c>
    </row>
    <row r="75" customFormat="false" ht="72.35" hidden="false" customHeight="false" outlineLevel="0" collapsed="false">
      <c r="A75" s="15" t="n">
        <v>70</v>
      </c>
      <c r="B75" s="14" t="s">
        <v>319</v>
      </c>
      <c r="C75" s="15" t="s">
        <v>10</v>
      </c>
      <c r="D75" s="14" t="s">
        <v>166</v>
      </c>
      <c r="E75" s="3" t="s">
        <v>359</v>
      </c>
      <c r="F75" s="2" t="s">
        <v>360</v>
      </c>
      <c r="G75" s="2" t="s">
        <v>361</v>
      </c>
      <c r="H75" s="2" t="s">
        <v>132</v>
      </c>
      <c r="I75" s="7" t="n">
        <v>5</v>
      </c>
      <c r="J75" s="7" t="n">
        <v>25</v>
      </c>
      <c r="K75" s="5" t="n">
        <f aca="false">I75+J75</f>
        <v>30</v>
      </c>
      <c r="L75" s="2"/>
    </row>
    <row r="76" customFormat="false" ht="72.35" hidden="false" customHeight="false" outlineLevel="0" collapsed="false">
      <c r="A76" s="15" t="n">
        <v>71</v>
      </c>
      <c r="B76" s="14" t="s">
        <v>319</v>
      </c>
      <c r="C76" s="15" t="s">
        <v>10</v>
      </c>
      <c r="D76" s="14" t="s">
        <v>166</v>
      </c>
      <c r="E76" s="3" t="s">
        <v>362</v>
      </c>
      <c r="F76" s="2" t="s">
        <v>363</v>
      </c>
      <c r="G76" s="2" t="s">
        <v>364</v>
      </c>
      <c r="H76" s="2" t="s">
        <v>132</v>
      </c>
      <c r="I76" s="7" t="n">
        <v>5</v>
      </c>
      <c r="J76" s="7" t="n">
        <v>20</v>
      </c>
      <c r="K76" s="5" t="n">
        <f aca="false">I76+J76</f>
        <v>25</v>
      </c>
      <c r="L76" s="2" t="s">
        <v>354</v>
      </c>
    </row>
    <row r="77" customFormat="false" ht="72.35" hidden="false" customHeight="false" outlineLevel="0" collapsed="false">
      <c r="A77" s="15" t="n">
        <v>72</v>
      </c>
      <c r="B77" s="14" t="s">
        <v>319</v>
      </c>
      <c r="C77" s="15" t="s">
        <v>10</v>
      </c>
      <c r="D77" s="14" t="s">
        <v>166</v>
      </c>
      <c r="E77" s="3" t="s">
        <v>365</v>
      </c>
      <c r="F77" s="2" t="s">
        <v>366</v>
      </c>
      <c r="G77" s="2" t="s">
        <v>367</v>
      </c>
      <c r="H77" s="2" t="s">
        <v>132</v>
      </c>
      <c r="I77" s="7" t="n">
        <v>5</v>
      </c>
      <c r="J77" s="7" t="n">
        <v>15</v>
      </c>
      <c r="K77" s="5" t="n">
        <f aca="false">I77+J77</f>
        <v>20</v>
      </c>
      <c r="L77" s="2" t="s">
        <v>358</v>
      </c>
    </row>
    <row r="78" customFormat="false" ht="58.2" hidden="false" customHeight="false" outlineLevel="0" collapsed="false">
      <c r="A78" s="17" t="n">
        <v>73</v>
      </c>
      <c r="B78" s="16" t="s">
        <v>319</v>
      </c>
      <c r="C78" s="17" t="s">
        <v>12</v>
      </c>
      <c r="D78" s="17"/>
      <c r="E78" s="3" t="s">
        <v>372</v>
      </c>
      <c r="F78" s="2" t="s">
        <v>373</v>
      </c>
      <c r="G78" s="2" t="s">
        <v>374</v>
      </c>
      <c r="H78" s="2" t="s">
        <v>186</v>
      </c>
      <c r="I78" s="7" t="n">
        <v>5</v>
      </c>
      <c r="J78" s="7" t="n">
        <v>20</v>
      </c>
      <c r="K78" s="5" t="n">
        <f aca="false">I78+J78</f>
        <v>25</v>
      </c>
      <c r="L78" s="2" t="s">
        <v>375</v>
      </c>
    </row>
    <row r="79" customFormat="false" ht="58.2" hidden="false" customHeight="false" outlineLevel="0" collapsed="false">
      <c r="A79" s="17" t="n">
        <v>74</v>
      </c>
      <c r="B79" s="16" t="s">
        <v>319</v>
      </c>
      <c r="C79" s="17" t="s">
        <v>12</v>
      </c>
      <c r="D79" s="17"/>
      <c r="E79" s="3" t="s">
        <v>376</v>
      </c>
      <c r="F79" s="2" t="s">
        <v>377</v>
      </c>
      <c r="G79" s="2" t="s">
        <v>378</v>
      </c>
      <c r="H79" s="2" t="s">
        <v>186</v>
      </c>
      <c r="I79" s="7" t="n">
        <v>5</v>
      </c>
      <c r="J79" s="7" t="n">
        <v>20</v>
      </c>
      <c r="K79" s="5" t="n">
        <f aca="false">I79+J79</f>
        <v>25</v>
      </c>
      <c r="L79" s="2" t="s">
        <v>379</v>
      </c>
    </row>
    <row r="80" customFormat="false" ht="58.2" hidden="false" customHeight="false" outlineLevel="0" collapsed="false">
      <c r="A80" s="17" t="n">
        <v>75</v>
      </c>
      <c r="B80" s="16" t="s">
        <v>319</v>
      </c>
      <c r="C80" s="17" t="s">
        <v>12</v>
      </c>
      <c r="D80" s="17"/>
      <c r="E80" s="3" t="s">
        <v>380</v>
      </c>
      <c r="F80" s="2" t="s">
        <v>381</v>
      </c>
      <c r="G80" s="2" t="s">
        <v>382</v>
      </c>
      <c r="H80" s="2" t="s">
        <v>186</v>
      </c>
      <c r="I80" s="7" t="n">
        <v>5</v>
      </c>
      <c r="J80" s="7" t="n">
        <v>30</v>
      </c>
      <c r="K80" s="5" t="n">
        <f aca="false">I80+J80</f>
        <v>35</v>
      </c>
      <c r="L80" s="2" t="s">
        <v>383</v>
      </c>
    </row>
    <row r="81" customFormat="false" ht="15" hidden="false" customHeight="false" outlineLevel="0" collapsed="false">
      <c r="A81" s="9" t="str">
        <f aca="false">"5. 마무리 — 내가 만든 것이 실제 제품에서는 어디에 있나  ("&amp;SUM(K82)&amp;"분)"</f>
        <v>5. 마무리 — 내가 만든 것이 실제 제품에서는 어디에 있나  (30분)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</row>
    <row r="82" customFormat="false" ht="72.35" hidden="false" customHeight="false" outlineLevel="0" collapsed="false">
      <c r="A82" s="11" t="n">
        <v>76</v>
      </c>
      <c r="B82" s="11" t="s">
        <v>388</v>
      </c>
      <c r="C82" s="11" t="s">
        <v>388</v>
      </c>
      <c r="D82" s="10" t="s">
        <v>32</v>
      </c>
      <c r="E82" s="3" t="s">
        <v>389</v>
      </c>
      <c r="F82" s="2" t="s">
        <v>390</v>
      </c>
      <c r="G82" s="3" t="s">
        <v>391</v>
      </c>
      <c r="H82" s="2" t="s">
        <v>392</v>
      </c>
      <c r="I82" s="7" t="n">
        <v>10</v>
      </c>
      <c r="J82" s="7" t="n">
        <v>20</v>
      </c>
      <c r="K82" s="5" t="n">
        <f aca="false">I82+J82</f>
        <v>30</v>
      </c>
      <c r="L82" s="2"/>
    </row>
    <row r="83" customFormat="false" ht="15" hidden="false" customHeight="false" outlineLevel="0" collapsed="false">
      <c r="E83" s="1" t="s">
        <v>393</v>
      </c>
      <c r="I83" s="6" t="n">
        <f aca="false">SUM(I2:I82)</f>
        <v>630</v>
      </c>
      <c r="J83" s="6" t="n">
        <f aca="false">SUM(J2:J82)</f>
        <v>1290</v>
      </c>
      <c r="K83" s="6" t="n">
        <f aca="false">SUM(K2:K82)</f>
        <v>1920</v>
      </c>
    </row>
    <row r="84" customFormat="false" ht="15" hidden="false" customHeight="false" outlineLevel="0" collapsed="false">
      <c r="E84" s="1" t="s">
        <v>47</v>
      </c>
      <c r="K84" s="7" t="n">
        <v>1920</v>
      </c>
    </row>
    <row r="85" customFormat="false" ht="15" hidden="false" customHeight="false" outlineLevel="0" collapsed="false">
      <c r="E85" s="1" t="s">
        <v>394</v>
      </c>
      <c r="K85" s="6" t="n">
        <f aca="false">K83-K84</f>
        <v>0</v>
      </c>
    </row>
    <row r="86" customFormat="false" ht="15" hidden="false" customHeight="false" outlineLevel="0" collapsed="false">
      <c r="E86" s="1" t="s">
        <v>395</v>
      </c>
      <c r="K86" s="6" t="n">
        <f aca="false">ROUND(K83/60,1)</f>
        <v>32</v>
      </c>
    </row>
  </sheetData>
  <autoFilter ref="A1:L82"/>
  <mergeCells count="5">
    <mergeCell ref="A2:L2"/>
    <mergeCell ref="A9:L9"/>
    <mergeCell ref="A39:L39"/>
    <mergeCell ref="A63:L63"/>
    <mergeCell ref="A81:L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4" min="3" style="0" width="5.46"/>
    <col collapsed="false" customWidth="true" hidden="false" outlineLevel="0" max="5" min="5" style="0" width="41.85"/>
    <col collapsed="false" customWidth="true" hidden="false" outlineLevel="0" max="6" min="6" style="0" width="63.69"/>
    <col collapsed="false" customWidth="true" hidden="false" outlineLevel="0" max="7" min="7" style="0" width="32.76"/>
    <col collapsed="false" customWidth="true" hidden="false" outlineLevel="0" max="8" min="8" style="0" width="23.66"/>
    <col collapsed="false" customWidth="true" hidden="false" outlineLevel="0" max="9" min="9" style="0" width="16.38"/>
    <col collapsed="false" customWidth="true" hidden="false" outlineLevel="0" max="10" min="10" style="0" width="7.28"/>
    <col collapsed="false" customWidth="true" hidden="false" outlineLevel="0" max="11" min="11" style="0" width="32.76"/>
  </cols>
  <sheetData>
    <row r="1" customFormat="false" ht="29.85" hidden="false" customHeight="false" outlineLevel="0" collapsed="false">
      <c r="A1" s="8" t="s">
        <v>51</v>
      </c>
      <c r="B1" s="4" t="s">
        <v>20</v>
      </c>
      <c r="C1" s="4" t="s">
        <v>52</v>
      </c>
      <c r="D1" s="4" t="s">
        <v>24</v>
      </c>
      <c r="E1" s="4" t="s">
        <v>396</v>
      </c>
      <c r="F1" s="4" t="s">
        <v>397</v>
      </c>
      <c r="G1" s="4" t="s">
        <v>398</v>
      </c>
      <c r="H1" s="4" t="s">
        <v>55</v>
      </c>
      <c r="I1" s="4" t="s">
        <v>399</v>
      </c>
      <c r="J1" s="4" t="s">
        <v>59</v>
      </c>
      <c r="K1" s="4" t="s">
        <v>60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("&amp;SUM(J3:J8)&amp;"분)"</f>
        <v>1. 시작 — 공장의 값이 업무가 되기까지, 우리가 끝까지 만들 것을 먼저 본다  (170분)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customFormat="false" ht="58.2" hidden="false" customHeight="false" outlineLevel="0" collapsed="false">
      <c r="A3" s="11" t="n">
        <v>1</v>
      </c>
      <c r="B3" s="11" t="s">
        <v>61</v>
      </c>
      <c r="C3" s="11" t="s">
        <v>61</v>
      </c>
      <c r="D3" s="11"/>
      <c r="E3" s="3" t="s">
        <v>400</v>
      </c>
      <c r="F3" s="2" t="s">
        <v>401</v>
      </c>
      <c r="G3" s="2" t="s">
        <v>402</v>
      </c>
      <c r="H3" s="2" t="s">
        <v>64</v>
      </c>
      <c r="I3" s="2" t="s">
        <v>403</v>
      </c>
      <c r="J3" s="7" t="n">
        <v>20</v>
      </c>
      <c r="K3" s="2"/>
    </row>
    <row r="4" customFormat="false" ht="58.2" hidden="false" customHeight="false" outlineLevel="0" collapsed="false">
      <c r="A4" s="11" t="n">
        <v>2</v>
      </c>
      <c r="B4" s="11" t="s">
        <v>61</v>
      </c>
      <c r="C4" s="11" t="s">
        <v>61</v>
      </c>
      <c r="D4" s="11"/>
      <c r="E4" s="3" t="s">
        <v>404</v>
      </c>
      <c r="F4" s="3" t="s">
        <v>405</v>
      </c>
      <c r="G4" s="2" t="s">
        <v>406</v>
      </c>
      <c r="H4" s="3" t="s">
        <v>68</v>
      </c>
      <c r="I4" s="3" t="s">
        <v>407</v>
      </c>
      <c r="J4" s="7" t="n">
        <v>40</v>
      </c>
      <c r="K4" s="2" t="s">
        <v>408</v>
      </c>
    </row>
    <row r="5" customFormat="false" ht="58.2" hidden="false" customHeight="false" outlineLevel="0" collapsed="false">
      <c r="A5" s="11" t="n">
        <v>3</v>
      </c>
      <c r="B5" s="11" t="s">
        <v>61</v>
      </c>
      <c r="C5" s="11" t="s">
        <v>61</v>
      </c>
      <c r="D5" s="11"/>
      <c r="E5" s="3" t="s">
        <v>409</v>
      </c>
      <c r="F5" s="2" t="s">
        <v>410</v>
      </c>
      <c r="G5" s="3" t="s">
        <v>411</v>
      </c>
      <c r="H5" s="3" t="s">
        <v>72</v>
      </c>
      <c r="I5" s="2" t="s">
        <v>412</v>
      </c>
      <c r="J5" s="7" t="n">
        <v>25</v>
      </c>
      <c r="K5" s="2" t="s">
        <v>413</v>
      </c>
    </row>
    <row r="6" customFormat="false" ht="58.2" hidden="false" customHeight="false" outlineLevel="0" collapsed="false">
      <c r="A6" s="11" t="n">
        <v>4</v>
      </c>
      <c r="B6" s="11" t="s">
        <v>61</v>
      </c>
      <c r="C6" s="11" t="s">
        <v>61</v>
      </c>
      <c r="D6" s="11"/>
      <c r="E6" s="3" t="s">
        <v>414</v>
      </c>
      <c r="F6" s="2" t="s">
        <v>415</v>
      </c>
      <c r="G6" s="2" t="s">
        <v>416</v>
      </c>
      <c r="H6" s="2" t="s">
        <v>75</v>
      </c>
      <c r="I6" s="2" t="s">
        <v>412</v>
      </c>
      <c r="J6" s="7" t="n">
        <v>25</v>
      </c>
      <c r="K6" s="2" t="s">
        <v>417</v>
      </c>
    </row>
    <row r="7" customFormat="false" ht="58.2" hidden="false" customHeight="false" outlineLevel="0" collapsed="false">
      <c r="A7" s="11" t="n">
        <v>5</v>
      </c>
      <c r="B7" s="11" t="s">
        <v>61</v>
      </c>
      <c r="C7" s="11" t="s">
        <v>61</v>
      </c>
      <c r="D7" s="11"/>
      <c r="E7" s="3" t="s">
        <v>418</v>
      </c>
      <c r="F7" s="2" t="s">
        <v>419</v>
      </c>
      <c r="G7" s="2" t="s">
        <v>420</v>
      </c>
      <c r="H7" s="2" t="s">
        <v>79</v>
      </c>
      <c r="I7" s="2" t="s">
        <v>403</v>
      </c>
      <c r="J7" s="7" t="n">
        <v>25</v>
      </c>
      <c r="K7" s="2"/>
    </row>
    <row r="8" customFormat="false" ht="86.55" hidden="false" customHeight="false" outlineLevel="0" collapsed="false">
      <c r="A8" s="11" t="n">
        <v>6</v>
      </c>
      <c r="B8" s="11" t="s">
        <v>61</v>
      </c>
      <c r="C8" s="11" t="s">
        <v>61</v>
      </c>
      <c r="D8" s="10" t="s">
        <v>32</v>
      </c>
      <c r="E8" s="3" t="s">
        <v>421</v>
      </c>
      <c r="F8" s="2" t="s">
        <v>422</v>
      </c>
      <c r="G8" s="2" t="s">
        <v>423</v>
      </c>
      <c r="H8" s="2" t="s">
        <v>82</v>
      </c>
      <c r="I8" s="2" t="s">
        <v>412</v>
      </c>
      <c r="J8" s="7" t="n">
        <v>35</v>
      </c>
      <c r="K8" s="2" t="s">
        <v>84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("&amp;SUM(J10:J40)&amp;"분)"</f>
        <v>2. 온톨로지 — 문서를 공장의 지식 지도로 만들면 AI가 근거를 들고 답한다  (835분)</v>
      </c>
      <c r="B9" s="9"/>
      <c r="C9" s="9"/>
      <c r="D9" s="9"/>
      <c r="E9" s="9"/>
      <c r="F9" s="9"/>
      <c r="G9" s="9"/>
      <c r="H9" s="9"/>
      <c r="I9" s="9"/>
      <c r="J9" s="9"/>
      <c r="K9" s="9"/>
    </row>
    <row r="10" customFormat="false" ht="58.2" hidden="false" customHeight="false" outlineLevel="0" collapsed="false">
      <c r="A10" s="13" t="n">
        <v>7</v>
      </c>
      <c r="B10" s="13" t="s">
        <v>85</v>
      </c>
      <c r="C10" s="13" t="s">
        <v>86</v>
      </c>
      <c r="D10" s="13"/>
      <c r="E10" s="3" t="s">
        <v>424</v>
      </c>
      <c r="F10" s="3" t="s">
        <v>425</v>
      </c>
      <c r="G10" s="3" t="s">
        <v>426</v>
      </c>
      <c r="H10" s="2" t="s">
        <v>89</v>
      </c>
      <c r="I10" s="2" t="s">
        <v>403</v>
      </c>
      <c r="J10" s="7" t="n">
        <v>20</v>
      </c>
      <c r="K10" s="2"/>
    </row>
    <row r="11" customFormat="false" ht="58.2" hidden="false" customHeight="false" outlineLevel="0" collapsed="false">
      <c r="A11" s="13" t="n">
        <v>8</v>
      </c>
      <c r="B11" s="13" t="s">
        <v>85</v>
      </c>
      <c r="C11" s="13" t="s">
        <v>86</v>
      </c>
      <c r="D11" s="13"/>
      <c r="E11" s="3" t="s">
        <v>427</v>
      </c>
      <c r="F11" s="2" t="s">
        <v>428</v>
      </c>
      <c r="G11" s="2" t="s">
        <v>429</v>
      </c>
      <c r="H11" s="2" t="s">
        <v>93</v>
      </c>
      <c r="I11" s="2" t="s">
        <v>403</v>
      </c>
      <c r="J11" s="7" t="n">
        <v>20</v>
      </c>
      <c r="K11" s="2"/>
    </row>
    <row r="12" customFormat="false" ht="58.2" hidden="false" customHeight="false" outlineLevel="0" collapsed="false">
      <c r="A12" s="13" t="n">
        <v>9</v>
      </c>
      <c r="B12" s="13" t="s">
        <v>85</v>
      </c>
      <c r="C12" s="13" t="s">
        <v>86</v>
      </c>
      <c r="D12" s="13"/>
      <c r="E12" s="3" t="s">
        <v>430</v>
      </c>
      <c r="F12" s="2" t="s">
        <v>431</v>
      </c>
      <c r="G12" s="2" t="s">
        <v>432</v>
      </c>
      <c r="H12" s="2" t="s">
        <v>96</v>
      </c>
      <c r="I12" s="2" t="s">
        <v>403</v>
      </c>
      <c r="J12" s="7" t="n">
        <v>25</v>
      </c>
      <c r="K12" s="2"/>
    </row>
    <row r="13" customFormat="false" ht="72.35" hidden="false" customHeight="false" outlineLevel="0" collapsed="false">
      <c r="A13" s="13" t="n">
        <v>10</v>
      </c>
      <c r="B13" s="13" t="s">
        <v>85</v>
      </c>
      <c r="C13" s="13" t="s">
        <v>86</v>
      </c>
      <c r="D13" s="13"/>
      <c r="E13" s="3" t="s">
        <v>433</v>
      </c>
      <c r="F13" s="3" t="s">
        <v>434</v>
      </c>
      <c r="G13" s="2" t="s">
        <v>435</v>
      </c>
      <c r="H13" s="3" t="s">
        <v>99</v>
      </c>
      <c r="I13" s="3" t="s">
        <v>436</v>
      </c>
      <c r="J13" s="7" t="n">
        <v>25</v>
      </c>
      <c r="K13" s="2" t="s">
        <v>437</v>
      </c>
    </row>
    <row r="14" customFormat="false" ht="58.2" hidden="false" customHeight="false" outlineLevel="0" collapsed="false">
      <c r="A14" s="13" t="n">
        <v>11</v>
      </c>
      <c r="B14" s="13" t="s">
        <v>85</v>
      </c>
      <c r="C14" s="13" t="s">
        <v>86</v>
      </c>
      <c r="D14" s="13"/>
      <c r="E14" s="3" t="s">
        <v>438</v>
      </c>
      <c r="F14" s="2" t="s">
        <v>439</v>
      </c>
      <c r="G14" s="2" t="s">
        <v>440</v>
      </c>
      <c r="H14" s="2" t="s">
        <v>103</v>
      </c>
      <c r="I14" s="2" t="s">
        <v>441</v>
      </c>
      <c r="J14" s="7" t="n">
        <v>25</v>
      </c>
      <c r="K14" s="2"/>
    </row>
    <row r="15" customFormat="false" ht="58.2" hidden="false" customHeight="false" outlineLevel="0" collapsed="false">
      <c r="A15" s="13" t="n">
        <v>12</v>
      </c>
      <c r="B15" s="13" t="s">
        <v>85</v>
      </c>
      <c r="C15" s="13" t="s">
        <v>86</v>
      </c>
      <c r="D15" s="13"/>
      <c r="E15" s="3" t="s">
        <v>442</v>
      </c>
      <c r="F15" s="2" t="s">
        <v>443</v>
      </c>
      <c r="G15" s="2" t="s">
        <v>444</v>
      </c>
      <c r="H15" s="2" t="s">
        <v>106</v>
      </c>
      <c r="I15" s="2" t="s">
        <v>403</v>
      </c>
      <c r="J15" s="7" t="n">
        <v>20</v>
      </c>
      <c r="K15" s="2"/>
    </row>
    <row r="16" customFormat="false" ht="58.2" hidden="false" customHeight="false" outlineLevel="0" collapsed="false">
      <c r="A16" s="13" t="n">
        <v>13</v>
      </c>
      <c r="B16" s="13" t="s">
        <v>85</v>
      </c>
      <c r="C16" s="13" t="s">
        <v>86</v>
      </c>
      <c r="D16" s="13"/>
      <c r="E16" s="3" t="s">
        <v>445</v>
      </c>
      <c r="F16" s="2" t="s">
        <v>446</v>
      </c>
      <c r="G16" s="2" t="s">
        <v>447</v>
      </c>
      <c r="H16" s="2" t="s">
        <v>109</v>
      </c>
      <c r="I16" s="2" t="s">
        <v>403</v>
      </c>
      <c r="J16" s="7" t="n">
        <v>20</v>
      </c>
      <c r="K16" s="2" t="s">
        <v>110</v>
      </c>
    </row>
    <row r="17" customFormat="false" ht="58.2" hidden="false" customHeight="false" outlineLevel="0" collapsed="false">
      <c r="A17" s="13" t="n">
        <v>14</v>
      </c>
      <c r="B17" s="13" t="s">
        <v>85</v>
      </c>
      <c r="C17" s="13" t="s">
        <v>86</v>
      </c>
      <c r="D17" s="13"/>
      <c r="E17" s="3" t="s">
        <v>448</v>
      </c>
      <c r="F17" s="2" t="s">
        <v>449</v>
      </c>
      <c r="G17" s="2" t="s">
        <v>450</v>
      </c>
      <c r="H17" s="2" t="s">
        <v>113</v>
      </c>
      <c r="I17" s="2" t="s">
        <v>451</v>
      </c>
      <c r="J17" s="7" t="n">
        <v>30</v>
      </c>
      <c r="K17" s="2"/>
    </row>
    <row r="18" customFormat="false" ht="72.35" hidden="false" customHeight="false" outlineLevel="0" collapsed="false">
      <c r="A18" s="13" t="n">
        <v>15</v>
      </c>
      <c r="B18" s="13" t="s">
        <v>85</v>
      </c>
      <c r="C18" s="13" t="s">
        <v>86</v>
      </c>
      <c r="D18" s="13"/>
      <c r="E18" s="3" t="s">
        <v>459</v>
      </c>
      <c r="F18" s="2" t="s">
        <v>460</v>
      </c>
      <c r="G18" s="2" t="s">
        <v>461</v>
      </c>
      <c r="H18" s="2" t="s">
        <v>128</v>
      </c>
      <c r="I18" s="2" t="s">
        <v>403</v>
      </c>
      <c r="J18" s="7" t="n">
        <v>25</v>
      </c>
      <c r="K18" s="2"/>
    </row>
    <row r="19" customFormat="false" ht="58.2" hidden="false" customHeight="false" outlineLevel="0" collapsed="false">
      <c r="A19" s="15" t="n">
        <v>16</v>
      </c>
      <c r="B19" s="15" t="s">
        <v>85</v>
      </c>
      <c r="C19" s="15" t="s">
        <v>10</v>
      </c>
      <c r="D19" s="14" t="s">
        <v>32</v>
      </c>
      <c r="E19" s="3" t="s">
        <v>462</v>
      </c>
      <c r="F19" s="2" t="s">
        <v>463</v>
      </c>
      <c r="G19" s="3" t="s">
        <v>464</v>
      </c>
      <c r="H19" s="2" t="s">
        <v>131</v>
      </c>
      <c r="I19" s="2" t="s">
        <v>10</v>
      </c>
      <c r="J19" s="7" t="n">
        <v>30</v>
      </c>
      <c r="K19" s="2" t="s">
        <v>465</v>
      </c>
    </row>
    <row r="20" customFormat="false" ht="72.35" hidden="false" customHeight="false" outlineLevel="0" collapsed="false">
      <c r="A20" s="15" t="n">
        <v>17</v>
      </c>
      <c r="B20" s="15" t="s">
        <v>85</v>
      </c>
      <c r="C20" s="15" t="s">
        <v>10</v>
      </c>
      <c r="D20" s="14" t="s">
        <v>32</v>
      </c>
      <c r="E20" s="3" t="s">
        <v>466</v>
      </c>
      <c r="F20" s="3" t="s">
        <v>467</v>
      </c>
      <c r="G20" s="3" t="s">
        <v>468</v>
      </c>
      <c r="H20" s="2" t="s">
        <v>136</v>
      </c>
      <c r="I20" s="2" t="s">
        <v>10</v>
      </c>
      <c r="J20" s="7" t="n">
        <v>50</v>
      </c>
      <c r="K20" s="2" t="s">
        <v>469</v>
      </c>
    </row>
    <row r="21" customFormat="false" ht="58.2" hidden="false" customHeight="false" outlineLevel="0" collapsed="false">
      <c r="A21" s="15" t="n">
        <v>18</v>
      </c>
      <c r="B21" s="15" t="s">
        <v>85</v>
      </c>
      <c r="C21" s="15" t="s">
        <v>10</v>
      </c>
      <c r="D21" s="14" t="s">
        <v>32</v>
      </c>
      <c r="E21" s="3" t="s">
        <v>470</v>
      </c>
      <c r="F21" s="2" t="s">
        <v>471</v>
      </c>
      <c r="G21" s="3" t="s">
        <v>472</v>
      </c>
      <c r="H21" s="2" t="s">
        <v>140</v>
      </c>
      <c r="I21" s="2" t="s">
        <v>10</v>
      </c>
      <c r="J21" s="7" t="n">
        <v>30</v>
      </c>
      <c r="K21" s="2" t="s">
        <v>473</v>
      </c>
    </row>
    <row r="22" customFormat="false" ht="44" hidden="false" customHeight="false" outlineLevel="0" collapsed="false">
      <c r="A22" s="15" t="n">
        <v>19</v>
      </c>
      <c r="B22" s="15" t="s">
        <v>85</v>
      </c>
      <c r="C22" s="15" t="s">
        <v>10</v>
      </c>
      <c r="D22" s="14" t="s">
        <v>32</v>
      </c>
      <c r="E22" s="3" t="s">
        <v>474</v>
      </c>
      <c r="F22" s="2" t="s">
        <v>475</v>
      </c>
      <c r="G22" s="3" t="s">
        <v>476</v>
      </c>
      <c r="H22" s="2" t="s">
        <v>144</v>
      </c>
      <c r="I22" s="2" t="s">
        <v>10</v>
      </c>
      <c r="J22" s="7" t="n">
        <v>25</v>
      </c>
      <c r="K22" s="2" t="s">
        <v>477</v>
      </c>
    </row>
    <row r="23" customFormat="false" ht="72.35" hidden="false" customHeight="false" outlineLevel="0" collapsed="false">
      <c r="A23" s="15" t="n">
        <v>20</v>
      </c>
      <c r="B23" s="15" t="s">
        <v>85</v>
      </c>
      <c r="C23" s="15" t="s">
        <v>10</v>
      </c>
      <c r="D23" s="14" t="s">
        <v>32</v>
      </c>
      <c r="E23" s="3" t="s">
        <v>478</v>
      </c>
      <c r="F23" s="2" t="s">
        <v>479</v>
      </c>
      <c r="G23" s="3" t="s">
        <v>480</v>
      </c>
      <c r="H23" s="2" t="s">
        <v>148</v>
      </c>
      <c r="I23" s="2" t="s">
        <v>10</v>
      </c>
      <c r="J23" s="7" t="n">
        <v>25</v>
      </c>
      <c r="K23" s="2"/>
    </row>
    <row r="24" customFormat="false" ht="72.35" hidden="false" customHeight="false" outlineLevel="0" collapsed="false">
      <c r="A24" s="15" t="n">
        <v>21</v>
      </c>
      <c r="B24" s="15" t="s">
        <v>85</v>
      </c>
      <c r="C24" s="15" t="s">
        <v>10</v>
      </c>
      <c r="D24" s="14" t="s">
        <v>149</v>
      </c>
      <c r="E24" s="3" t="s">
        <v>481</v>
      </c>
      <c r="F24" s="2" t="s">
        <v>482</v>
      </c>
      <c r="G24" s="3" t="s">
        <v>483</v>
      </c>
      <c r="H24" s="2" t="s">
        <v>152</v>
      </c>
      <c r="I24" s="2" t="s">
        <v>10</v>
      </c>
      <c r="J24" s="7" t="n">
        <v>20</v>
      </c>
      <c r="K24" s="2"/>
    </row>
    <row r="25" customFormat="false" ht="72.35" hidden="false" customHeight="false" outlineLevel="0" collapsed="false">
      <c r="A25" s="15" t="n">
        <v>22</v>
      </c>
      <c r="B25" s="15" t="s">
        <v>85</v>
      </c>
      <c r="C25" s="15" t="s">
        <v>10</v>
      </c>
      <c r="D25" s="14" t="s">
        <v>149</v>
      </c>
      <c r="E25" s="3" t="s">
        <v>484</v>
      </c>
      <c r="F25" s="2" t="s">
        <v>485</v>
      </c>
      <c r="G25" s="3" t="s">
        <v>486</v>
      </c>
      <c r="H25" s="2" t="s">
        <v>156</v>
      </c>
      <c r="I25" s="2" t="s">
        <v>10</v>
      </c>
      <c r="J25" s="7" t="n">
        <v>40</v>
      </c>
      <c r="K25" s="2" t="s">
        <v>487</v>
      </c>
    </row>
    <row r="26" customFormat="false" ht="58.2" hidden="false" customHeight="false" outlineLevel="0" collapsed="false">
      <c r="A26" s="15" t="n">
        <v>23</v>
      </c>
      <c r="B26" s="15" t="s">
        <v>85</v>
      </c>
      <c r="C26" s="15" t="s">
        <v>10</v>
      </c>
      <c r="D26" s="14" t="s">
        <v>149</v>
      </c>
      <c r="E26" s="3" t="s">
        <v>488</v>
      </c>
      <c r="F26" s="2" t="s">
        <v>489</v>
      </c>
      <c r="G26" s="3" t="s">
        <v>490</v>
      </c>
      <c r="H26" s="2" t="s">
        <v>160</v>
      </c>
      <c r="I26" s="2" t="s">
        <v>10</v>
      </c>
      <c r="J26" s="7" t="n">
        <v>20</v>
      </c>
      <c r="K26" s="2"/>
    </row>
    <row r="27" customFormat="false" ht="58.2" hidden="false" customHeight="false" outlineLevel="0" collapsed="false">
      <c r="A27" s="15" t="n">
        <v>24</v>
      </c>
      <c r="B27" s="15" t="s">
        <v>85</v>
      </c>
      <c r="C27" s="15" t="s">
        <v>10</v>
      </c>
      <c r="D27" s="14" t="s">
        <v>149</v>
      </c>
      <c r="E27" s="3" t="s">
        <v>491</v>
      </c>
      <c r="F27" s="2" t="s">
        <v>492</v>
      </c>
      <c r="G27" s="3" t="s">
        <v>493</v>
      </c>
      <c r="H27" s="2" t="s">
        <v>163</v>
      </c>
      <c r="I27" s="2" t="s">
        <v>10</v>
      </c>
      <c r="J27" s="7" t="n">
        <v>20</v>
      </c>
      <c r="K27" s="2"/>
    </row>
    <row r="28" customFormat="false" ht="44" hidden="false" customHeight="false" outlineLevel="0" collapsed="false">
      <c r="A28" s="15" t="n">
        <v>25</v>
      </c>
      <c r="B28" s="15" t="s">
        <v>85</v>
      </c>
      <c r="C28" s="15" t="s">
        <v>10</v>
      </c>
      <c r="D28" s="14" t="s">
        <v>149</v>
      </c>
      <c r="E28" s="3" t="s">
        <v>494</v>
      </c>
      <c r="F28" s="2" t="s">
        <v>495</v>
      </c>
      <c r="G28" s="2" t="s">
        <v>496</v>
      </c>
      <c r="H28" s="2" t="s">
        <v>148</v>
      </c>
      <c r="I28" s="2" t="s">
        <v>10</v>
      </c>
      <c r="J28" s="7" t="n">
        <v>20</v>
      </c>
      <c r="K28" s="2"/>
    </row>
    <row r="29" customFormat="false" ht="44" hidden="false" customHeight="false" outlineLevel="0" collapsed="false">
      <c r="A29" s="15" t="n">
        <v>26</v>
      </c>
      <c r="B29" s="15" t="s">
        <v>85</v>
      </c>
      <c r="C29" s="15" t="s">
        <v>10</v>
      </c>
      <c r="D29" s="14" t="s">
        <v>166</v>
      </c>
      <c r="E29" s="3" t="s">
        <v>497</v>
      </c>
      <c r="F29" s="2" t="s">
        <v>498</v>
      </c>
      <c r="G29" s="3" t="s">
        <v>499</v>
      </c>
      <c r="H29" s="2" t="s">
        <v>169</v>
      </c>
      <c r="I29" s="2" t="s">
        <v>10</v>
      </c>
      <c r="J29" s="7" t="n">
        <v>20</v>
      </c>
      <c r="K29" s="2"/>
    </row>
    <row r="30" customFormat="false" ht="72.35" hidden="false" customHeight="false" outlineLevel="0" collapsed="false">
      <c r="A30" s="15" t="n">
        <v>27</v>
      </c>
      <c r="B30" s="15" t="s">
        <v>85</v>
      </c>
      <c r="C30" s="15" t="s">
        <v>10</v>
      </c>
      <c r="D30" s="14" t="s">
        <v>166</v>
      </c>
      <c r="E30" s="3" t="s">
        <v>500</v>
      </c>
      <c r="F30" s="2" t="s">
        <v>501</v>
      </c>
      <c r="G30" s="3" t="s">
        <v>502</v>
      </c>
      <c r="H30" s="2" t="s">
        <v>173</v>
      </c>
      <c r="I30" s="2" t="s">
        <v>10</v>
      </c>
      <c r="J30" s="7" t="n">
        <v>40</v>
      </c>
      <c r="K30" s="2" t="s">
        <v>487</v>
      </c>
    </row>
    <row r="31" customFormat="false" ht="58.2" hidden="false" customHeight="false" outlineLevel="0" collapsed="false">
      <c r="A31" s="15" t="n">
        <v>28</v>
      </c>
      <c r="B31" s="15" t="s">
        <v>85</v>
      </c>
      <c r="C31" s="15" t="s">
        <v>10</v>
      </c>
      <c r="D31" s="14" t="s">
        <v>166</v>
      </c>
      <c r="E31" s="3" t="s">
        <v>503</v>
      </c>
      <c r="F31" s="2" t="s">
        <v>504</v>
      </c>
      <c r="G31" s="3" t="s">
        <v>505</v>
      </c>
      <c r="H31" s="2" t="s">
        <v>176</v>
      </c>
      <c r="I31" s="2" t="s">
        <v>10</v>
      </c>
      <c r="J31" s="7" t="n">
        <v>20</v>
      </c>
      <c r="K31" s="2"/>
    </row>
    <row r="32" customFormat="false" ht="44" hidden="false" customHeight="false" outlineLevel="0" collapsed="false">
      <c r="A32" s="15" t="n">
        <v>29</v>
      </c>
      <c r="B32" s="15" t="s">
        <v>85</v>
      </c>
      <c r="C32" s="15" t="s">
        <v>10</v>
      </c>
      <c r="D32" s="14" t="s">
        <v>166</v>
      </c>
      <c r="E32" s="3" t="s">
        <v>506</v>
      </c>
      <c r="F32" s="2" t="s">
        <v>507</v>
      </c>
      <c r="G32" s="3" t="s">
        <v>508</v>
      </c>
      <c r="H32" s="2" t="s">
        <v>179</v>
      </c>
      <c r="I32" s="2" t="s">
        <v>10</v>
      </c>
      <c r="J32" s="7" t="n">
        <v>20</v>
      </c>
      <c r="K32" s="2"/>
    </row>
    <row r="33" customFormat="false" ht="72.35" hidden="false" customHeight="false" outlineLevel="0" collapsed="false">
      <c r="A33" s="15" t="n">
        <v>30</v>
      </c>
      <c r="B33" s="15" t="s">
        <v>85</v>
      </c>
      <c r="C33" s="15" t="s">
        <v>10</v>
      </c>
      <c r="D33" s="14" t="s">
        <v>166</v>
      </c>
      <c r="E33" s="3" t="s">
        <v>509</v>
      </c>
      <c r="F33" s="2" t="s">
        <v>510</v>
      </c>
      <c r="G33" s="3" t="s">
        <v>511</v>
      </c>
      <c r="H33" s="2" t="s">
        <v>182</v>
      </c>
      <c r="I33" s="2" t="s">
        <v>10</v>
      </c>
      <c r="J33" s="7" t="n">
        <v>20</v>
      </c>
      <c r="K33" s="2"/>
    </row>
    <row r="34" customFormat="false" ht="58.2" hidden="false" customHeight="false" outlineLevel="0" collapsed="false">
      <c r="A34" s="17" t="n">
        <v>31</v>
      </c>
      <c r="B34" s="17" t="s">
        <v>85</v>
      </c>
      <c r="C34" s="17" t="s">
        <v>12</v>
      </c>
      <c r="D34" s="17"/>
      <c r="E34" s="3" t="s">
        <v>512</v>
      </c>
      <c r="F34" s="2" t="s">
        <v>513</v>
      </c>
      <c r="G34" s="2" t="s">
        <v>514</v>
      </c>
      <c r="H34" s="2" t="s">
        <v>185</v>
      </c>
      <c r="I34" s="3" t="s">
        <v>515</v>
      </c>
      <c r="J34" s="7" t="n">
        <v>35</v>
      </c>
      <c r="K34" s="2" t="s">
        <v>516</v>
      </c>
    </row>
    <row r="35" customFormat="false" ht="58.2" hidden="false" customHeight="false" outlineLevel="0" collapsed="false">
      <c r="A35" s="17" t="n">
        <v>32</v>
      </c>
      <c r="B35" s="17" t="s">
        <v>85</v>
      </c>
      <c r="C35" s="17" t="s">
        <v>12</v>
      </c>
      <c r="D35" s="17"/>
      <c r="E35" s="3" t="s">
        <v>517</v>
      </c>
      <c r="F35" s="2" t="s">
        <v>518</v>
      </c>
      <c r="G35" s="2" t="s">
        <v>519</v>
      </c>
      <c r="H35" s="2" t="s">
        <v>190</v>
      </c>
      <c r="I35" s="3" t="s">
        <v>515</v>
      </c>
      <c r="J35" s="7" t="n">
        <v>40</v>
      </c>
      <c r="K35" s="2" t="s">
        <v>520</v>
      </c>
    </row>
    <row r="36" customFormat="false" ht="44" hidden="false" customHeight="false" outlineLevel="0" collapsed="false">
      <c r="A36" s="17" t="n">
        <v>33</v>
      </c>
      <c r="B36" s="17" t="s">
        <v>85</v>
      </c>
      <c r="C36" s="17" t="s">
        <v>12</v>
      </c>
      <c r="D36" s="17"/>
      <c r="E36" s="3" t="s">
        <v>521</v>
      </c>
      <c r="F36" s="2" t="s">
        <v>522</v>
      </c>
      <c r="G36" s="2" t="s">
        <v>523</v>
      </c>
      <c r="H36" s="2" t="s">
        <v>198</v>
      </c>
      <c r="I36" s="3" t="s">
        <v>515</v>
      </c>
      <c r="J36" s="7" t="n">
        <v>25</v>
      </c>
      <c r="K36" s="2" t="s">
        <v>199</v>
      </c>
    </row>
    <row r="37" customFormat="false" ht="58.2" hidden="false" customHeight="false" outlineLevel="0" collapsed="false">
      <c r="A37" s="17" t="n">
        <v>34</v>
      </c>
      <c r="B37" s="17" t="s">
        <v>85</v>
      </c>
      <c r="C37" s="17" t="s">
        <v>12</v>
      </c>
      <c r="D37" s="17"/>
      <c r="E37" s="3" t="s">
        <v>524</v>
      </c>
      <c r="F37" s="2" t="s">
        <v>525</v>
      </c>
      <c r="G37" s="2" t="s">
        <v>526</v>
      </c>
      <c r="H37" s="2" t="s">
        <v>202</v>
      </c>
      <c r="I37" s="3" t="s">
        <v>515</v>
      </c>
      <c r="J37" s="7" t="n">
        <v>40</v>
      </c>
      <c r="K37" s="2" t="s">
        <v>527</v>
      </c>
    </row>
    <row r="38" customFormat="false" ht="58.2" hidden="false" customHeight="false" outlineLevel="0" collapsed="false">
      <c r="A38" s="17" t="n">
        <v>35</v>
      </c>
      <c r="B38" s="17" t="s">
        <v>85</v>
      </c>
      <c r="C38" s="17" t="s">
        <v>12</v>
      </c>
      <c r="D38" s="17"/>
      <c r="E38" s="3" t="s">
        <v>528</v>
      </c>
      <c r="F38" s="2" t="s">
        <v>529</v>
      </c>
      <c r="G38" s="2" t="s">
        <v>530</v>
      </c>
      <c r="H38" s="2" t="s">
        <v>206</v>
      </c>
      <c r="I38" s="3" t="s">
        <v>515</v>
      </c>
      <c r="J38" s="7" t="n">
        <v>25</v>
      </c>
      <c r="K38" s="2" t="s">
        <v>207</v>
      </c>
    </row>
    <row r="39" customFormat="false" ht="58.2" hidden="false" customHeight="false" outlineLevel="0" collapsed="false">
      <c r="A39" s="17" t="n">
        <v>36</v>
      </c>
      <c r="B39" s="17" t="s">
        <v>85</v>
      </c>
      <c r="C39" s="17" t="s">
        <v>12</v>
      </c>
      <c r="D39" s="17"/>
      <c r="E39" s="3" t="s">
        <v>531</v>
      </c>
      <c r="F39" s="2" t="s">
        <v>532</v>
      </c>
      <c r="G39" s="2" t="s">
        <v>533</v>
      </c>
      <c r="H39" s="2" t="s">
        <v>210</v>
      </c>
      <c r="I39" s="3" t="s">
        <v>515</v>
      </c>
      <c r="J39" s="7" t="n">
        <v>35</v>
      </c>
      <c r="K39" s="2" t="s">
        <v>211</v>
      </c>
    </row>
    <row r="40" customFormat="false" ht="58.2" hidden="false" customHeight="false" outlineLevel="0" collapsed="false">
      <c r="A40" s="17" t="n">
        <v>37</v>
      </c>
      <c r="B40" s="17" t="s">
        <v>85</v>
      </c>
      <c r="C40" s="17" t="s">
        <v>12</v>
      </c>
      <c r="D40" s="17"/>
      <c r="E40" s="3" t="s">
        <v>534</v>
      </c>
      <c r="F40" s="2" t="s">
        <v>535</v>
      </c>
      <c r="G40" s="2" t="s">
        <v>536</v>
      </c>
      <c r="H40" s="2" t="s">
        <v>214</v>
      </c>
      <c r="I40" s="3" t="s">
        <v>515</v>
      </c>
      <c r="J40" s="7" t="n">
        <v>25</v>
      </c>
      <c r="K40" s="2" t="s">
        <v>215</v>
      </c>
    </row>
    <row r="41" customFormat="false" ht="15" hidden="false" customHeight="false" outlineLevel="0" collapsed="false">
      <c r="A41" s="9" t="str">
        <f aca="false">"3. 에이전트 — AI 일꾼이 지식 지도와 지금 값을 근거로 추천안 하나를 제안한다  ("&amp;SUM(J42:J65)&amp;"분)"</f>
        <v>3. 에이전트 — AI 일꾼이 지식 지도와 지금 값을 근거로 추천안 하나를 제안한다  (700분)</v>
      </c>
      <c r="B41" s="9"/>
      <c r="C41" s="9"/>
      <c r="D41" s="9"/>
      <c r="E41" s="9"/>
      <c r="F41" s="9"/>
      <c r="G41" s="9"/>
      <c r="H41" s="9"/>
      <c r="I41" s="9"/>
      <c r="J41" s="9"/>
      <c r="K41" s="9"/>
    </row>
    <row r="42" customFormat="false" ht="58.2" hidden="false" customHeight="false" outlineLevel="0" collapsed="false">
      <c r="A42" s="13" t="n">
        <v>38</v>
      </c>
      <c r="B42" s="13" t="s">
        <v>220</v>
      </c>
      <c r="C42" s="13" t="s">
        <v>86</v>
      </c>
      <c r="D42" s="13"/>
      <c r="E42" s="3" t="s">
        <v>537</v>
      </c>
      <c r="F42" s="2" t="s">
        <v>538</v>
      </c>
      <c r="G42" s="2" t="s">
        <v>539</v>
      </c>
      <c r="H42" s="2" t="s">
        <v>223</v>
      </c>
      <c r="I42" s="2" t="s">
        <v>540</v>
      </c>
      <c r="J42" s="7" t="n">
        <v>30</v>
      </c>
      <c r="K42" s="2"/>
    </row>
    <row r="43" customFormat="false" ht="58.2" hidden="false" customHeight="false" outlineLevel="0" collapsed="false">
      <c r="A43" s="13" t="n">
        <v>39</v>
      </c>
      <c r="B43" s="13" t="s">
        <v>220</v>
      </c>
      <c r="C43" s="13" t="s">
        <v>86</v>
      </c>
      <c r="D43" s="13"/>
      <c r="E43" s="3" t="s">
        <v>541</v>
      </c>
      <c r="F43" s="2" t="s">
        <v>542</v>
      </c>
      <c r="G43" s="2" t="s">
        <v>543</v>
      </c>
      <c r="H43" s="2" t="s">
        <v>226</v>
      </c>
      <c r="I43" s="2" t="s">
        <v>403</v>
      </c>
      <c r="J43" s="7" t="n">
        <v>25</v>
      </c>
      <c r="K43" s="2"/>
    </row>
    <row r="44" customFormat="false" ht="58.2" hidden="false" customHeight="false" outlineLevel="0" collapsed="false">
      <c r="A44" s="13" t="n">
        <v>40</v>
      </c>
      <c r="B44" s="13" t="s">
        <v>220</v>
      </c>
      <c r="C44" s="13" t="s">
        <v>86</v>
      </c>
      <c r="D44" s="13"/>
      <c r="E44" s="3" t="s">
        <v>544</v>
      </c>
      <c r="F44" s="2" t="s">
        <v>545</v>
      </c>
      <c r="G44" s="2" t="s">
        <v>546</v>
      </c>
      <c r="H44" s="2" t="s">
        <v>229</v>
      </c>
      <c r="I44" s="2" t="s">
        <v>403</v>
      </c>
      <c r="J44" s="7" t="n">
        <v>20</v>
      </c>
      <c r="K44" s="2"/>
    </row>
    <row r="45" customFormat="false" ht="44" hidden="false" customHeight="false" outlineLevel="0" collapsed="false">
      <c r="A45" s="13" t="n">
        <v>41</v>
      </c>
      <c r="B45" s="13" t="s">
        <v>220</v>
      </c>
      <c r="C45" s="13" t="s">
        <v>86</v>
      </c>
      <c r="D45" s="13"/>
      <c r="E45" s="3" t="s">
        <v>547</v>
      </c>
      <c r="F45" s="2" t="s">
        <v>548</v>
      </c>
      <c r="G45" s="3" t="s">
        <v>549</v>
      </c>
      <c r="H45" s="2" t="s">
        <v>232</v>
      </c>
      <c r="I45" s="2" t="s">
        <v>403</v>
      </c>
      <c r="J45" s="7" t="n">
        <v>20</v>
      </c>
      <c r="K45" s="2" t="s">
        <v>233</v>
      </c>
    </row>
    <row r="46" customFormat="false" ht="58.2" hidden="false" customHeight="false" outlineLevel="0" collapsed="false">
      <c r="A46" s="13" t="n">
        <v>42</v>
      </c>
      <c r="B46" s="13" t="s">
        <v>220</v>
      </c>
      <c r="C46" s="13" t="s">
        <v>86</v>
      </c>
      <c r="D46" s="13"/>
      <c r="E46" s="3" t="s">
        <v>550</v>
      </c>
      <c r="F46" s="2" t="s">
        <v>551</v>
      </c>
      <c r="G46" s="2" t="s">
        <v>552</v>
      </c>
      <c r="H46" s="2" t="s">
        <v>236</v>
      </c>
      <c r="I46" s="3" t="s">
        <v>553</v>
      </c>
      <c r="J46" s="7" t="n">
        <v>30</v>
      </c>
      <c r="K46" s="2" t="s">
        <v>554</v>
      </c>
    </row>
    <row r="47" customFormat="false" ht="58.2" hidden="false" customHeight="false" outlineLevel="0" collapsed="false">
      <c r="A47" s="13" t="n">
        <v>43</v>
      </c>
      <c r="B47" s="13" t="s">
        <v>220</v>
      </c>
      <c r="C47" s="13" t="s">
        <v>86</v>
      </c>
      <c r="D47" s="13"/>
      <c r="E47" s="3" t="s">
        <v>558</v>
      </c>
      <c r="F47" s="2" t="s">
        <v>559</v>
      </c>
      <c r="G47" s="2" t="s">
        <v>560</v>
      </c>
      <c r="H47" s="2" t="s">
        <v>243</v>
      </c>
      <c r="I47" s="2" t="s">
        <v>403</v>
      </c>
      <c r="J47" s="7" t="n">
        <v>25</v>
      </c>
      <c r="K47" s="2"/>
    </row>
    <row r="48" customFormat="false" ht="44" hidden="false" customHeight="false" outlineLevel="0" collapsed="false">
      <c r="A48" s="13" t="n">
        <v>44</v>
      </c>
      <c r="B48" s="13" t="s">
        <v>220</v>
      </c>
      <c r="C48" s="13" t="s">
        <v>86</v>
      </c>
      <c r="D48" s="13"/>
      <c r="E48" s="3" t="s">
        <v>561</v>
      </c>
      <c r="F48" s="2" t="s">
        <v>562</v>
      </c>
      <c r="G48" s="2" t="s">
        <v>563</v>
      </c>
      <c r="H48" s="2" t="s">
        <v>246</v>
      </c>
      <c r="I48" s="2" t="s">
        <v>403</v>
      </c>
      <c r="J48" s="7" t="n">
        <v>20</v>
      </c>
      <c r="K48" s="2"/>
    </row>
    <row r="49" customFormat="false" ht="72.35" hidden="false" customHeight="false" outlineLevel="0" collapsed="false">
      <c r="A49" s="15" t="n">
        <v>45</v>
      </c>
      <c r="B49" s="15" t="s">
        <v>220</v>
      </c>
      <c r="C49" s="15" t="s">
        <v>10</v>
      </c>
      <c r="D49" s="14" t="s">
        <v>32</v>
      </c>
      <c r="E49" s="3" t="s">
        <v>564</v>
      </c>
      <c r="F49" s="2" t="s">
        <v>565</v>
      </c>
      <c r="G49" s="3" t="s">
        <v>566</v>
      </c>
      <c r="H49" s="2" t="s">
        <v>249</v>
      </c>
      <c r="I49" s="2" t="s">
        <v>10</v>
      </c>
      <c r="J49" s="7" t="n">
        <v>45</v>
      </c>
      <c r="K49" s="2" t="s">
        <v>567</v>
      </c>
    </row>
    <row r="50" customFormat="false" ht="72.35" hidden="false" customHeight="false" outlineLevel="0" collapsed="false">
      <c r="A50" s="15" t="n">
        <v>46</v>
      </c>
      <c r="B50" s="15" t="s">
        <v>220</v>
      </c>
      <c r="C50" s="15" t="s">
        <v>10</v>
      </c>
      <c r="D50" s="14" t="s">
        <v>32</v>
      </c>
      <c r="E50" s="3" t="s">
        <v>568</v>
      </c>
      <c r="F50" s="2" t="s">
        <v>569</v>
      </c>
      <c r="G50" s="3" t="s">
        <v>570</v>
      </c>
      <c r="H50" s="2" t="s">
        <v>253</v>
      </c>
      <c r="I50" s="2" t="s">
        <v>10</v>
      </c>
      <c r="J50" s="7" t="n">
        <v>35</v>
      </c>
      <c r="K50" s="2" t="s">
        <v>571</v>
      </c>
    </row>
    <row r="51" customFormat="false" ht="58.2" hidden="false" customHeight="false" outlineLevel="0" collapsed="false">
      <c r="A51" s="15" t="n">
        <v>47</v>
      </c>
      <c r="B51" s="15" t="s">
        <v>220</v>
      </c>
      <c r="C51" s="15" t="s">
        <v>10</v>
      </c>
      <c r="D51" s="14" t="s">
        <v>32</v>
      </c>
      <c r="E51" s="3" t="s">
        <v>572</v>
      </c>
      <c r="F51" s="2" t="s">
        <v>573</v>
      </c>
      <c r="G51" s="2" t="s">
        <v>574</v>
      </c>
      <c r="H51" s="2" t="s">
        <v>257</v>
      </c>
      <c r="I51" s="2" t="s">
        <v>10</v>
      </c>
      <c r="J51" s="7" t="n">
        <v>25</v>
      </c>
      <c r="K51" s="2" t="s">
        <v>261</v>
      </c>
    </row>
    <row r="52" customFormat="false" ht="58.2" hidden="false" customHeight="false" outlineLevel="0" collapsed="false">
      <c r="A52" s="15" t="n">
        <v>48</v>
      </c>
      <c r="B52" s="15" t="s">
        <v>220</v>
      </c>
      <c r="C52" s="15" t="s">
        <v>10</v>
      </c>
      <c r="D52" s="14" t="s">
        <v>32</v>
      </c>
      <c r="E52" s="3" t="s">
        <v>575</v>
      </c>
      <c r="F52" s="2" t="s">
        <v>576</v>
      </c>
      <c r="G52" s="3" t="s">
        <v>577</v>
      </c>
      <c r="H52" s="2" t="s">
        <v>246</v>
      </c>
      <c r="I52" s="2" t="s">
        <v>10</v>
      </c>
      <c r="J52" s="7" t="n">
        <v>30</v>
      </c>
      <c r="K52" s="2" t="s">
        <v>261</v>
      </c>
    </row>
    <row r="53" customFormat="false" ht="72.35" hidden="false" customHeight="false" outlineLevel="0" collapsed="false">
      <c r="A53" s="15" t="n">
        <v>49</v>
      </c>
      <c r="B53" s="15" t="s">
        <v>220</v>
      </c>
      <c r="C53" s="15" t="s">
        <v>10</v>
      </c>
      <c r="D53" s="14" t="s">
        <v>149</v>
      </c>
      <c r="E53" s="3" t="s">
        <v>578</v>
      </c>
      <c r="F53" s="2" t="s">
        <v>579</v>
      </c>
      <c r="G53" s="3" t="s">
        <v>580</v>
      </c>
      <c r="H53" s="2" t="s">
        <v>264</v>
      </c>
      <c r="I53" s="2" t="s">
        <v>10</v>
      </c>
      <c r="J53" s="7" t="n">
        <v>35</v>
      </c>
      <c r="K53" s="2"/>
    </row>
    <row r="54" customFormat="false" ht="72.35" hidden="false" customHeight="false" outlineLevel="0" collapsed="false">
      <c r="A54" s="15" t="n">
        <v>50</v>
      </c>
      <c r="B54" s="15" t="s">
        <v>220</v>
      </c>
      <c r="C54" s="15" t="s">
        <v>10</v>
      </c>
      <c r="D54" s="14" t="s">
        <v>149</v>
      </c>
      <c r="E54" s="3" t="s">
        <v>581</v>
      </c>
      <c r="F54" s="2" t="s">
        <v>582</v>
      </c>
      <c r="G54" s="3" t="s">
        <v>583</v>
      </c>
      <c r="H54" s="2" t="s">
        <v>268</v>
      </c>
      <c r="I54" s="2" t="s">
        <v>10</v>
      </c>
      <c r="J54" s="7" t="n">
        <v>30</v>
      </c>
      <c r="K54" s="2" t="s">
        <v>261</v>
      </c>
    </row>
    <row r="55" customFormat="false" ht="44" hidden="false" customHeight="false" outlineLevel="0" collapsed="false">
      <c r="A55" s="15" t="n">
        <v>51</v>
      </c>
      <c r="B55" s="15" t="s">
        <v>220</v>
      </c>
      <c r="C55" s="15" t="s">
        <v>10</v>
      </c>
      <c r="D55" s="14" t="s">
        <v>149</v>
      </c>
      <c r="E55" s="3" t="s">
        <v>584</v>
      </c>
      <c r="F55" s="2" t="s">
        <v>585</v>
      </c>
      <c r="G55" s="2" t="s">
        <v>586</v>
      </c>
      <c r="H55" s="2" t="s">
        <v>271</v>
      </c>
      <c r="I55" s="2" t="s">
        <v>10</v>
      </c>
      <c r="J55" s="7" t="n">
        <v>20</v>
      </c>
      <c r="K55" s="2" t="s">
        <v>261</v>
      </c>
    </row>
    <row r="56" customFormat="false" ht="44" hidden="false" customHeight="false" outlineLevel="0" collapsed="false">
      <c r="A56" s="15" t="n">
        <v>52</v>
      </c>
      <c r="B56" s="15" t="s">
        <v>220</v>
      </c>
      <c r="C56" s="15" t="s">
        <v>10</v>
      </c>
      <c r="D56" s="14" t="s">
        <v>149</v>
      </c>
      <c r="E56" s="3" t="s">
        <v>587</v>
      </c>
      <c r="F56" s="2" t="s">
        <v>588</v>
      </c>
      <c r="G56" s="3" t="s">
        <v>589</v>
      </c>
      <c r="H56" s="2" t="s">
        <v>274</v>
      </c>
      <c r="I56" s="2" t="s">
        <v>10</v>
      </c>
      <c r="J56" s="7" t="n">
        <v>20</v>
      </c>
      <c r="K56" s="2" t="s">
        <v>261</v>
      </c>
    </row>
    <row r="57" customFormat="false" ht="72.35" hidden="false" customHeight="false" outlineLevel="0" collapsed="false">
      <c r="A57" s="15" t="n">
        <v>53</v>
      </c>
      <c r="B57" s="15" t="s">
        <v>220</v>
      </c>
      <c r="C57" s="15" t="s">
        <v>10</v>
      </c>
      <c r="D57" s="14" t="s">
        <v>166</v>
      </c>
      <c r="E57" s="3" t="s">
        <v>590</v>
      </c>
      <c r="F57" s="2" t="s">
        <v>591</v>
      </c>
      <c r="G57" s="3" t="s">
        <v>592</v>
      </c>
      <c r="H57" s="2" t="s">
        <v>277</v>
      </c>
      <c r="I57" s="2" t="s">
        <v>10</v>
      </c>
      <c r="J57" s="7" t="n">
        <v>35</v>
      </c>
      <c r="K57" s="2"/>
    </row>
    <row r="58" customFormat="false" ht="72.35" hidden="false" customHeight="false" outlineLevel="0" collapsed="false">
      <c r="A58" s="15" t="n">
        <v>54</v>
      </c>
      <c r="B58" s="15" t="s">
        <v>220</v>
      </c>
      <c r="C58" s="15" t="s">
        <v>10</v>
      </c>
      <c r="D58" s="14" t="s">
        <v>166</v>
      </c>
      <c r="E58" s="3" t="s">
        <v>593</v>
      </c>
      <c r="F58" s="2" t="s">
        <v>594</v>
      </c>
      <c r="G58" s="3" t="s">
        <v>595</v>
      </c>
      <c r="H58" s="2" t="s">
        <v>281</v>
      </c>
      <c r="I58" s="2" t="s">
        <v>10</v>
      </c>
      <c r="J58" s="7" t="n">
        <v>30</v>
      </c>
      <c r="K58" s="2" t="s">
        <v>261</v>
      </c>
    </row>
    <row r="59" customFormat="false" ht="44" hidden="false" customHeight="false" outlineLevel="0" collapsed="false">
      <c r="A59" s="15" t="n">
        <v>55</v>
      </c>
      <c r="B59" s="15" t="s">
        <v>220</v>
      </c>
      <c r="C59" s="15" t="s">
        <v>10</v>
      </c>
      <c r="D59" s="14" t="s">
        <v>166</v>
      </c>
      <c r="E59" s="3" t="s">
        <v>596</v>
      </c>
      <c r="F59" s="2" t="s">
        <v>597</v>
      </c>
      <c r="G59" s="3" t="s">
        <v>598</v>
      </c>
      <c r="H59" s="2" t="s">
        <v>284</v>
      </c>
      <c r="I59" s="2" t="s">
        <v>10</v>
      </c>
      <c r="J59" s="7" t="n">
        <v>20</v>
      </c>
      <c r="K59" s="2" t="s">
        <v>261</v>
      </c>
    </row>
    <row r="60" customFormat="false" ht="58.2" hidden="false" customHeight="false" outlineLevel="0" collapsed="false">
      <c r="A60" s="15" t="n">
        <v>56</v>
      </c>
      <c r="B60" s="15" t="s">
        <v>220</v>
      </c>
      <c r="C60" s="15" t="s">
        <v>10</v>
      </c>
      <c r="D60" s="14" t="s">
        <v>166</v>
      </c>
      <c r="E60" s="3" t="s">
        <v>599</v>
      </c>
      <c r="F60" s="2" t="s">
        <v>600</v>
      </c>
      <c r="G60" s="3" t="s">
        <v>601</v>
      </c>
      <c r="H60" s="2" t="s">
        <v>274</v>
      </c>
      <c r="I60" s="2" t="s">
        <v>10</v>
      </c>
      <c r="J60" s="7" t="n">
        <v>20</v>
      </c>
      <c r="K60" s="2" t="s">
        <v>261</v>
      </c>
    </row>
    <row r="61" customFormat="false" ht="58.2" hidden="false" customHeight="false" outlineLevel="0" collapsed="false">
      <c r="A61" s="17" t="n">
        <v>57</v>
      </c>
      <c r="B61" s="17" t="s">
        <v>220</v>
      </c>
      <c r="C61" s="17" t="s">
        <v>12</v>
      </c>
      <c r="D61" s="17"/>
      <c r="E61" s="3" t="s">
        <v>602</v>
      </c>
      <c r="F61" s="2" t="s">
        <v>603</v>
      </c>
      <c r="G61" s="2" t="s">
        <v>604</v>
      </c>
      <c r="H61" s="2" t="s">
        <v>289</v>
      </c>
      <c r="I61" s="3" t="s">
        <v>515</v>
      </c>
      <c r="J61" s="7" t="n">
        <v>40</v>
      </c>
      <c r="K61" s="2" t="s">
        <v>290</v>
      </c>
    </row>
    <row r="62" customFormat="false" ht="44" hidden="false" customHeight="false" outlineLevel="0" collapsed="false">
      <c r="A62" s="17" t="n">
        <v>58</v>
      </c>
      <c r="B62" s="17" t="s">
        <v>220</v>
      </c>
      <c r="C62" s="17" t="s">
        <v>12</v>
      </c>
      <c r="D62" s="17"/>
      <c r="E62" s="3" t="s">
        <v>605</v>
      </c>
      <c r="F62" s="2" t="s">
        <v>606</v>
      </c>
      <c r="G62" s="2" t="s">
        <v>607</v>
      </c>
      <c r="H62" s="2" t="s">
        <v>297</v>
      </c>
      <c r="I62" s="3" t="s">
        <v>515</v>
      </c>
      <c r="J62" s="7" t="n">
        <v>30</v>
      </c>
      <c r="K62" s="2" t="s">
        <v>298</v>
      </c>
    </row>
    <row r="63" customFormat="false" ht="44" hidden="false" customHeight="false" outlineLevel="0" collapsed="false">
      <c r="A63" s="17" t="n">
        <v>59</v>
      </c>
      <c r="B63" s="17" t="s">
        <v>220</v>
      </c>
      <c r="C63" s="17" t="s">
        <v>12</v>
      </c>
      <c r="D63" s="17"/>
      <c r="E63" s="3" t="s">
        <v>608</v>
      </c>
      <c r="F63" s="2" t="s">
        <v>609</v>
      </c>
      <c r="G63" s="2" t="s">
        <v>610</v>
      </c>
      <c r="H63" s="2" t="s">
        <v>301</v>
      </c>
      <c r="I63" s="3" t="s">
        <v>515</v>
      </c>
      <c r="J63" s="7" t="n">
        <v>45</v>
      </c>
      <c r="K63" s="2" t="s">
        <v>611</v>
      </c>
    </row>
    <row r="64" customFormat="false" ht="58.2" hidden="false" customHeight="false" outlineLevel="0" collapsed="false">
      <c r="A64" s="17" t="n">
        <v>60</v>
      </c>
      <c r="B64" s="17" t="s">
        <v>220</v>
      </c>
      <c r="C64" s="17" t="s">
        <v>12</v>
      </c>
      <c r="D64" s="17"/>
      <c r="E64" s="3" t="s">
        <v>612</v>
      </c>
      <c r="F64" s="2" t="s">
        <v>613</v>
      </c>
      <c r="G64" s="2" t="s">
        <v>614</v>
      </c>
      <c r="H64" s="2" t="s">
        <v>309</v>
      </c>
      <c r="I64" s="3" t="s">
        <v>515</v>
      </c>
      <c r="J64" s="7" t="n">
        <v>40</v>
      </c>
      <c r="K64" s="2" t="s">
        <v>310</v>
      </c>
    </row>
    <row r="65" customFormat="false" ht="44" hidden="false" customHeight="false" outlineLevel="0" collapsed="false">
      <c r="A65" s="17" t="n">
        <v>61</v>
      </c>
      <c r="B65" s="17" t="s">
        <v>220</v>
      </c>
      <c r="C65" s="17" t="s">
        <v>12</v>
      </c>
      <c r="D65" s="17"/>
      <c r="E65" s="3" t="s">
        <v>615</v>
      </c>
      <c r="F65" s="2" t="s">
        <v>616</v>
      </c>
      <c r="G65" s="2" t="s">
        <v>617</v>
      </c>
      <c r="H65" s="2" t="s">
        <v>313</v>
      </c>
      <c r="I65" s="3" t="s">
        <v>515</v>
      </c>
      <c r="J65" s="7" t="n">
        <v>30</v>
      </c>
      <c r="K65" s="2" t="s">
        <v>314</v>
      </c>
    </row>
    <row r="66" customFormat="false" ht="15" hidden="false" customHeight="false" outlineLevel="0" collapsed="false">
      <c r="A66" s="9" t="str">
        <f aca="false">"4. BPMN — 제안이 한 번 승인되고, 실행되고, 자동 확인되어야 일이 닫힌다  ("&amp;SUM(J67:J84)&amp;"분)"</f>
        <v>4. BPMN — 제안이 한 번 승인되고, 실행되고, 자동 확인되어야 일이 닫힌다  (545분)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customFormat="false" ht="44" hidden="false" customHeight="false" outlineLevel="0" collapsed="false">
      <c r="A67" s="13" t="n">
        <v>62</v>
      </c>
      <c r="B67" s="12" t="s">
        <v>319</v>
      </c>
      <c r="C67" s="13" t="s">
        <v>86</v>
      </c>
      <c r="D67" s="13"/>
      <c r="E67" s="3" t="s">
        <v>618</v>
      </c>
      <c r="F67" s="2" t="s">
        <v>619</v>
      </c>
      <c r="G67" s="2" t="s">
        <v>620</v>
      </c>
      <c r="H67" s="2" t="s">
        <v>322</v>
      </c>
      <c r="I67" s="3" t="s">
        <v>621</v>
      </c>
      <c r="J67" s="7" t="n">
        <v>30</v>
      </c>
      <c r="K67" s="2" t="s">
        <v>622</v>
      </c>
    </row>
    <row r="68" customFormat="false" ht="72.35" hidden="false" customHeight="false" outlineLevel="0" collapsed="false">
      <c r="A68" s="13" t="n">
        <v>63</v>
      </c>
      <c r="B68" s="12" t="s">
        <v>319</v>
      </c>
      <c r="C68" s="13" t="s">
        <v>86</v>
      </c>
      <c r="D68" s="13"/>
      <c r="E68" s="3" t="s">
        <v>623</v>
      </c>
      <c r="F68" s="2" t="s">
        <v>624</v>
      </c>
      <c r="G68" s="2" t="s">
        <v>625</v>
      </c>
      <c r="H68" s="2" t="s">
        <v>325</v>
      </c>
      <c r="I68" s="2" t="s">
        <v>626</v>
      </c>
      <c r="J68" s="7" t="n">
        <v>30</v>
      </c>
      <c r="K68" s="2"/>
    </row>
    <row r="69" customFormat="false" ht="44" hidden="false" customHeight="false" outlineLevel="0" collapsed="false">
      <c r="A69" s="13" t="n">
        <v>64</v>
      </c>
      <c r="B69" s="12" t="s">
        <v>319</v>
      </c>
      <c r="C69" s="13" t="s">
        <v>86</v>
      </c>
      <c r="D69" s="13"/>
      <c r="E69" s="3" t="s">
        <v>627</v>
      </c>
      <c r="F69" s="2" t="s">
        <v>628</v>
      </c>
      <c r="G69" s="2" t="s">
        <v>629</v>
      </c>
      <c r="H69" s="2" t="s">
        <v>328</v>
      </c>
      <c r="I69" s="2" t="s">
        <v>630</v>
      </c>
      <c r="J69" s="7" t="n">
        <v>20</v>
      </c>
      <c r="K69" s="2"/>
    </row>
    <row r="70" customFormat="false" ht="44" hidden="false" customHeight="false" outlineLevel="0" collapsed="false">
      <c r="A70" s="13" t="n">
        <v>65</v>
      </c>
      <c r="B70" s="12" t="s">
        <v>319</v>
      </c>
      <c r="C70" s="13" t="s">
        <v>86</v>
      </c>
      <c r="D70" s="13"/>
      <c r="E70" s="3" t="s">
        <v>631</v>
      </c>
      <c r="F70" s="2" t="s">
        <v>632</v>
      </c>
      <c r="G70" s="2" t="s">
        <v>633</v>
      </c>
      <c r="H70" s="2" t="s">
        <v>331</v>
      </c>
      <c r="I70" s="3" t="s">
        <v>621</v>
      </c>
      <c r="J70" s="7" t="n">
        <v>25</v>
      </c>
      <c r="K70" s="2"/>
    </row>
    <row r="71" customFormat="false" ht="58.2" hidden="false" customHeight="false" outlineLevel="0" collapsed="false">
      <c r="A71" s="13" t="n">
        <v>66</v>
      </c>
      <c r="B71" s="12" t="s">
        <v>319</v>
      </c>
      <c r="C71" s="13" t="s">
        <v>86</v>
      </c>
      <c r="D71" s="13"/>
      <c r="E71" s="3" t="s">
        <v>634</v>
      </c>
      <c r="F71" s="2" t="s">
        <v>635</v>
      </c>
      <c r="G71" s="2" t="s">
        <v>636</v>
      </c>
      <c r="H71" s="2" t="s">
        <v>334</v>
      </c>
      <c r="I71" s="2" t="s">
        <v>403</v>
      </c>
      <c r="J71" s="7" t="n">
        <v>20</v>
      </c>
      <c r="K71" s="2"/>
    </row>
    <row r="72" customFormat="false" ht="72.35" hidden="false" customHeight="false" outlineLevel="0" collapsed="false">
      <c r="A72" s="15" t="n">
        <v>67</v>
      </c>
      <c r="B72" s="14" t="s">
        <v>319</v>
      </c>
      <c r="C72" s="15" t="s">
        <v>10</v>
      </c>
      <c r="D72" s="14" t="s">
        <v>32</v>
      </c>
      <c r="E72" s="3" t="s">
        <v>637</v>
      </c>
      <c r="F72" s="3" t="s">
        <v>638</v>
      </c>
      <c r="G72" s="3" t="s">
        <v>639</v>
      </c>
      <c r="H72" s="3" t="s">
        <v>337</v>
      </c>
      <c r="I72" s="2" t="s">
        <v>10</v>
      </c>
      <c r="J72" s="7" t="n">
        <v>50</v>
      </c>
      <c r="K72" s="2" t="s">
        <v>640</v>
      </c>
    </row>
    <row r="73" customFormat="false" ht="58.2" hidden="false" customHeight="false" outlineLevel="0" collapsed="false">
      <c r="A73" s="15" t="n">
        <v>68</v>
      </c>
      <c r="B73" s="14" t="s">
        <v>319</v>
      </c>
      <c r="C73" s="15" t="s">
        <v>10</v>
      </c>
      <c r="D73" s="14" t="s">
        <v>32</v>
      </c>
      <c r="E73" s="3" t="s">
        <v>641</v>
      </c>
      <c r="F73" s="2" t="s">
        <v>642</v>
      </c>
      <c r="G73" s="3" t="s">
        <v>643</v>
      </c>
      <c r="H73" s="2" t="s">
        <v>341</v>
      </c>
      <c r="I73" s="2" t="s">
        <v>10</v>
      </c>
      <c r="J73" s="7" t="n">
        <v>40</v>
      </c>
      <c r="K73" s="2" t="s">
        <v>84</v>
      </c>
    </row>
    <row r="74" customFormat="false" ht="58.2" hidden="false" customHeight="false" outlineLevel="0" collapsed="false">
      <c r="A74" s="15" t="n">
        <v>69</v>
      </c>
      <c r="B74" s="14" t="s">
        <v>319</v>
      </c>
      <c r="C74" s="15" t="s">
        <v>10</v>
      </c>
      <c r="D74" s="14" t="s">
        <v>32</v>
      </c>
      <c r="E74" s="3" t="s">
        <v>644</v>
      </c>
      <c r="F74" s="2" t="s">
        <v>645</v>
      </c>
      <c r="G74" s="3" t="s">
        <v>646</v>
      </c>
      <c r="H74" s="2" t="s">
        <v>345</v>
      </c>
      <c r="I74" s="2" t="s">
        <v>10</v>
      </c>
      <c r="J74" s="7" t="n">
        <v>25</v>
      </c>
      <c r="K74" s="2" t="s">
        <v>346</v>
      </c>
    </row>
    <row r="75" customFormat="false" ht="72.35" hidden="false" customHeight="false" outlineLevel="0" collapsed="false">
      <c r="A75" s="15" t="n">
        <v>70</v>
      </c>
      <c r="B75" s="14" t="s">
        <v>319</v>
      </c>
      <c r="C75" s="15" t="s">
        <v>10</v>
      </c>
      <c r="D75" s="14" t="s">
        <v>149</v>
      </c>
      <c r="E75" s="3" t="s">
        <v>647</v>
      </c>
      <c r="F75" s="2" t="s">
        <v>648</v>
      </c>
      <c r="G75" s="3" t="s">
        <v>649</v>
      </c>
      <c r="H75" s="2" t="s">
        <v>349</v>
      </c>
      <c r="I75" s="2" t="s">
        <v>10</v>
      </c>
      <c r="J75" s="7" t="n">
        <v>35</v>
      </c>
      <c r="K75" s="2"/>
    </row>
    <row r="76" customFormat="false" ht="72.35" hidden="false" customHeight="false" outlineLevel="0" collapsed="false">
      <c r="A76" s="15" t="n">
        <v>71</v>
      </c>
      <c r="B76" s="14" t="s">
        <v>319</v>
      </c>
      <c r="C76" s="15" t="s">
        <v>10</v>
      </c>
      <c r="D76" s="14" t="s">
        <v>149</v>
      </c>
      <c r="E76" s="3" t="s">
        <v>650</v>
      </c>
      <c r="F76" s="2" t="s">
        <v>651</v>
      </c>
      <c r="G76" s="3" t="s">
        <v>652</v>
      </c>
      <c r="H76" s="2" t="s">
        <v>353</v>
      </c>
      <c r="I76" s="2" t="s">
        <v>10</v>
      </c>
      <c r="J76" s="7" t="n">
        <v>30</v>
      </c>
      <c r="K76" s="2" t="s">
        <v>354</v>
      </c>
    </row>
    <row r="77" customFormat="false" ht="58.2" hidden="false" customHeight="false" outlineLevel="0" collapsed="false">
      <c r="A77" s="15" t="n">
        <v>72</v>
      </c>
      <c r="B77" s="14" t="s">
        <v>319</v>
      </c>
      <c r="C77" s="15" t="s">
        <v>10</v>
      </c>
      <c r="D77" s="14" t="s">
        <v>149</v>
      </c>
      <c r="E77" s="3" t="s">
        <v>653</v>
      </c>
      <c r="F77" s="2" t="s">
        <v>654</v>
      </c>
      <c r="G77" s="3" t="s">
        <v>655</v>
      </c>
      <c r="H77" s="2" t="s">
        <v>357</v>
      </c>
      <c r="I77" s="2" t="s">
        <v>10</v>
      </c>
      <c r="J77" s="7" t="n">
        <v>20</v>
      </c>
      <c r="K77" s="2" t="s">
        <v>358</v>
      </c>
    </row>
    <row r="78" customFormat="false" ht="58.2" hidden="false" customHeight="false" outlineLevel="0" collapsed="false">
      <c r="A78" s="15" t="n">
        <v>73</v>
      </c>
      <c r="B78" s="14" t="s">
        <v>319</v>
      </c>
      <c r="C78" s="15" t="s">
        <v>10</v>
      </c>
      <c r="D78" s="14" t="s">
        <v>166</v>
      </c>
      <c r="E78" s="3" t="s">
        <v>656</v>
      </c>
      <c r="F78" s="2" t="s">
        <v>657</v>
      </c>
      <c r="G78" s="3" t="s">
        <v>658</v>
      </c>
      <c r="H78" s="2" t="s">
        <v>361</v>
      </c>
      <c r="I78" s="2" t="s">
        <v>10</v>
      </c>
      <c r="J78" s="7" t="n">
        <v>35</v>
      </c>
      <c r="K78" s="2"/>
    </row>
    <row r="79" customFormat="false" ht="72.35" hidden="false" customHeight="false" outlineLevel="0" collapsed="false">
      <c r="A79" s="15" t="n">
        <v>74</v>
      </c>
      <c r="B79" s="14" t="s">
        <v>319</v>
      </c>
      <c r="C79" s="15" t="s">
        <v>10</v>
      </c>
      <c r="D79" s="14" t="s">
        <v>166</v>
      </c>
      <c r="E79" s="3" t="s">
        <v>659</v>
      </c>
      <c r="F79" s="2" t="s">
        <v>660</v>
      </c>
      <c r="G79" s="3" t="s">
        <v>661</v>
      </c>
      <c r="H79" s="2" t="s">
        <v>364</v>
      </c>
      <c r="I79" s="2" t="s">
        <v>10</v>
      </c>
      <c r="J79" s="7" t="n">
        <v>30</v>
      </c>
      <c r="K79" s="2" t="s">
        <v>354</v>
      </c>
    </row>
    <row r="80" customFormat="false" ht="58.2" hidden="false" customHeight="false" outlineLevel="0" collapsed="false">
      <c r="A80" s="15" t="n">
        <v>75</v>
      </c>
      <c r="B80" s="14" t="s">
        <v>319</v>
      </c>
      <c r="C80" s="15" t="s">
        <v>10</v>
      </c>
      <c r="D80" s="14" t="s">
        <v>166</v>
      </c>
      <c r="E80" s="3" t="s">
        <v>662</v>
      </c>
      <c r="F80" s="2" t="s">
        <v>663</v>
      </c>
      <c r="G80" s="3" t="s">
        <v>664</v>
      </c>
      <c r="H80" s="2" t="s">
        <v>367</v>
      </c>
      <c r="I80" s="2" t="s">
        <v>10</v>
      </c>
      <c r="J80" s="7" t="n">
        <v>20</v>
      </c>
      <c r="K80" s="2" t="s">
        <v>358</v>
      </c>
    </row>
    <row r="81" customFormat="false" ht="44" hidden="false" customHeight="false" outlineLevel="0" collapsed="false">
      <c r="A81" s="17" t="n">
        <v>76</v>
      </c>
      <c r="B81" s="16" t="s">
        <v>319</v>
      </c>
      <c r="C81" s="17" t="s">
        <v>12</v>
      </c>
      <c r="D81" s="17"/>
      <c r="E81" s="3" t="s">
        <v>665</v>
      </c>
      <c r="F81" s="3" t="s">
        <v>666</v>
      </c>
      <c r="G81" s="3" t="s">
        <v>667</v>
      </c>
      <c r="H81" s="2" t="s">
        <v>370</v>
      </c>
      <c r="I81" s="3" t="s">
        <v>515</v>
      </c>
      <c r="J81" s="7" t="n">
        <v>35</v>
      </c>
      <c r="K81" s="2" t="s">
        <v>371</v>
      </c>
    </row>
    <row r="82" customFormat="false" ht="44" hidden="false" customHeight="false" outlineLevel="0" collapsed="false">
      <c r="A82" s="17" t="n">
        <v>77</v>
      </c>
      <c r="B82" s="16" t="s">
        <v>319</v>
      </c>
      <c r="C82" s="17" t="s">
        <v>12</v>
      </c>
      <c r="D82" s="17"/>
      <c r="E82" s="3" t="s">
        <v>668</v>
      </c>
      <c r="F82" s="2" t="s">
        <v>669</v>
      </c>
      <c r="G82" s="2" t="s">
        <v>670</v>
      </c>
      <c r="H82" s="2" t="s">
        <v>374</v>
      </c>
      <c r="I82" s="3" t="s">
        <v>515</v>
      </c>
      <c r="J82" s="7" t="n">
        <v>30</v>
      </c>
      <c r="K82" s="2" t="s">
        <v>375</v>
      </c>
    </row>
    <row r="83" customFormat="false" ht="58.2" hidden="false" customHeight="false" outlineLevel="0" collapsed="false">
      <c r="A83" s="17" t="n">
        <v>78</v>
      </c>
      <c r="B83" s="16" t="s">
        <v>319</v>
      </c>
      <c r="C83" s="17" t="s">
        <v>12</v>
      </c>
      <c r="D83" s="17"/>
      <c r="E83" s="3" t="s">
        <v>671</v>
      </c>
      <c r="F83" s="2" t="s">
        <v>672</v>
      </c>
      <c r="G83" s="2" t="s">
        <v>673</v>
      </c>
      <c r="H83" s="2" t="s">
        <v>378</v>
      </c>
      <c r="I83" s="3" t="s">
        <v>515</v>
      </c>
      <c r="J83" s="7" t="n">
        <v>30</v>
      </c>
      <c r="K83" s="2" t="s">
        <v>379</v>
      </c>
    </row>
    <row r="84" customFormat="false" ht="44" hidden="false" customHeight="false" outlineLevel="0" collapsed="false">
      <c r="A84" s="17" t="n">
        <v>79</v>
      </c>
      <c r="B84" s="16" t="s">
        <v>319</v>
      </c>
      <c r="C84" s="17" t="s">
        <v>12</v>
      </c>
      <c r="D84" s="17"/>
      <c r="E84" s="3" t="s">
        <v>674</v>
      </c>
      <c r="F84" s="3" t="s">
        <v>675</v>
      </c>
      <c r="G84" s="2" t="s">
        <v>676</v>
      </c>
      <c r="H84" s="2" t="s">
        <v>382</v>
      </c>
      <c r="I84" s="3" t="s">
        <v>515</v>
      </c>
      <c r="J84" s="7" t="n">
        <v>40</v>
      </c>
      <c r="K84" s="2" t="s">
        <v>677</v>
      </c>
    </row>
    <row r="85" customFormat="false" ht="15" hidden="false" customHeight="false" outlineLevel="0" collapsed="false">
      <c r="A85" s="9" t="str">
        <f aca="false">"5. 마무리 — 내가 만든 것이 실제 제품에서는 어디에 있나  ("&amp;SUM(J86)&amp;"분)"</f>
        <v>5. 마무리 — 내가 만든 것이 실제 제품에서는 어디에 있나  (30분)</v>
      </c>
      <c r="B85" s="9"/>
      <c r="C85" s="9"/>
      <c r="D85" s="9"/>
      <c r="E85" s="9"/>
      <c r="F85" s="9"/>
      <c r="G85" s="9"/>
      <c r="H85" s="9"/>
      <c r="I85" s="9"/>
      <c r="J85" s="9"/>
      <c r="K85" s="9"/>
    </row>
    <row r="86" customFormat="false" ht="58.2" hidden="false" customHeight="false" outlineLevel="0" collapsed="false">
      <c r="A86" s="11" t="n">
        <v>80</v>
      </c>
      <c r="B86" s="11" t="s">
        <v>388</v>
      </c>
      <c r="C86" s="11" t="s">
        <v>388</v>
      </c>
      <c r="D86" s="10" t="s">
        <v>32</v>
      </c>
      <c r="E86" s="3" t="s">
        <v>678</v>
      </c>
      <c r="F86" s="2" t="s">
        <v>679</v>
      </c>
      <c r="G86" s="2" t="s">
        <v>680</v>
      </c>
      <c r="H86" s="3" t="s">
        <v>391</v>
      </c>
      <c r="I86" s="2" t="s">
        <v>412</v>
      </c>
      <c r="J86" s="7" t="n">
        <v>30</v>
      </c>
      <c r="K86" s="2"/>
    </row>
    <row r="87" customFormat="false" ht="15" hidden="false" customHeight="false" outlineLevel="0" collapsed="false">
      <c r="E87" s="1" t="s">
        <v>393</v>
      </c>
      <c r="J87" s="6" t="n">
        <f aca="false">SUM(J2:J86)</f>
        <v>2280</v>
      </c>
    </row>
    <row r="88" customFormat="false" ht="15" hidden="false" customHeight="false" outlineLevel="0" collapsed="false">
      <c r="E88" s="1" t="s">
        <v>47</v>
      </c>
      <c r="J88" s="7" t="n">
        <v>2280</v>
      </c>
    </row>
    <row r="89" customFormat="false" ht="15" hidden="false" customHeight="false" outlineLevel="0" collapsed="false">
      <c r="E89" s="1" t="s">
        <v>394</v>
      </c>
      <c r="J89" s="6" t="n">
        <f aca="false">J87-J88</f>
        <v>0</v>
      </c>
    </row>
    <row r="90" customFormat="false" ht="15" hidden="false" customHeight="false" outlineLevel="0" collapsed="false">
      <c r="E90" s="1" t="s">
        <v>395</v>
      </c>
      <c r="J90" s="6" t="n">
        <f aca="false">ROUND(J87/60,1)</f>
        <v>38</v>
      </c>
    </row>
  </sheetData>
  <autoFilter ref="A1:K86"/>
  <mergeCells count="5">
    <mergeCell ref="A2:K2"/>
    <mergeCell ref="A9:K9"/>
    <mergeCell ref="A41:K41"/>
    <mergeCell ref="A66:K66"/>
    <mergeCell ref="A85:K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8.19"/>
    <col collapsed="false" customWidth="true" hidden="false" outlineLevel="0" max="6" min="3" style="0" width="7.28"/>
    <col collapsed="false" customWidth="true" hidden="false" outlineLevel="0" max="7" min="7" style="0" width="32.76"/>
    <col collapsed="false" customWidth="true" hidden="false" outlineLevel="0" max="8" min="8" style="0" width="21.84"/>
    <col collapsed="false" customWidth="true" hidden="false" outlineLevel="0" max="9" min="9" style="0" width="45.49"/>
    <col collapsed="false" customWidth="true" hidden="false" outlineLevel="0" max="10" min="10" style="0" width="29.11"/>
    <col collapsed="false" customWidth="true" hidden="false" outlineLevel="0" max="11" min="11" style="0" width="25.47"/>
    <col collapsed="false" customWidth="true" hidden="false" outlineLevel="0" max="12" min="12" style="0" width="27.3"/>
    <col collapsed="false" customWidth="true" hidden="false" outlineLevel="0" max="13" min="13" style="0" width="25.47"/>
  </cols>
  <sheetData>
    <row r="1" customFormat="false" ht="41" hidden="false" customHeight="false" outlineLevel="0" collapsed="false">
      <c r="A1" s="4" t="s">
        <v>12</v>
      </c>
      <c r="B1" s="4" t="s">
        <v>20</v>
      </c>
      <c r="C1" s="4" t="s">
        <v>681</v>
      </c>
      <c r="D1" s="4" t="s">
        <v>682</v>
      </c>
      <c r="E1" s="4" t="s">
        <v>683</v>
      </c>
      <c r="F1" s="4" t="s">
        <v>684</v>
      </c>
      <c r="G1" s="4" t="s">
        <v>685</v>
      </c>
      <c r="H1" s="4" t="s">
        <v>686</v>
      </c>
      <c r="I1" s="4" t="s">
        <v>687</v>
      </c>
      <c r="J1" s="4" t="s">
        <v>688</v>
      </c>
      <c r="K1" s="4" t="s">
        <v>689</v>
      </c>
      <c r="L1" s="4" t="s">
        <v>690</v>
      </c>
      <c r="M1" s="4" t="s">
        <v>691</v>
      </c>
    </row>
    <row r="2" customFormat="false" ht="44" hidden="false" customHeight="false" outlineLevel="0" collapsed="false">
      <c r="A2" s="5" t="s">
        <v>692</v>
      </c>
      <c r="B2" s="18" t="s">
        <v>85</v>
      </c>
      <c r="C2" s="18" t="n">
        <v>34</v>
      </c>
      <c r="D2" s="18" t="n">
        <v>33</v>
      </c>
      <c r="E2" s="18" t="n">
        <v>29</v>
      </c>
      <c r="F2" s="18" t="n">
        <v>31</v>
      </c>
      <c r="G2" s="2" t="s">
        <v>693</v>
      </c>
      <c r="H2" s="2" t="s">
        <v>694</v>
      </c>
      <c r="I2" s="3" t="s">
        <v>695</v>
      </c>
      <c r="J2" s="2" t="s">
        <v>696</v>
      </c>
      <c r="K2" s="2" t="s">
        <v>697</v>
      </c>
      <c r="L2" s="2" t="s">
        <v>698</v>
      </c>
      <c r="M2" s="2" t="s">
        <v>699</v>
      </c>
    </row>
    <row r="3" customFormat="false" ht="44" hidden="false" customHeight="false" outlineLevel="0" collapsed="false">
      <c r="A3" s="5" t="s">
        <v>700</v>
      </c>
      <c r="B3" s="18" t="s">
        <v>85</v>
      </c>
      <c r="C3" s="18" t="n">
        <v>35</v>
      </c>
      <c r="D3" s="18" t="n">
        <v>34</v>
      </c>
      <c r="E3" s="18" t="n">
        <v>30</v>
      </c>
      <c r="F3" s="18" t="n">
        <v>32</v>
      </c>
      <c r="G3" s="2" t="s">
        <v>701</v>
      </c>
      <c r="H3" s="2" t="s">
        <v>702</v>
      </c>
      <c r="I3" s="3" t="s">
        <v>703</v>
      </c>
      <c r="J3" s="2" t="s">
        <v>704</v>
      </c>
      <c r="K3" s="2" t="s">
        <v>705</v>
      </c>
      <c r="L3" s="2" t="s">
        <v>706</v>
      </c>
      <c r="M3" s="2" t="s">
        <v>707</v>
      </c>
    </row>
    <row r="4" customFormat="false" ht="29.85" hidden="false" customHeight="false" outlineLevel="0" collapsed="false">
      <c r="A4" s="5" t="s">
        <v>708</v>
      </c>
      <c r="B4" s="18" t="s">
        <v>85</v>
      </c>
      <c r="C4" s="18" t="n">
        <v>36</v>
      </c>
      <c r="D4" s="18" t="s">
        <v>709</v>
      </c>
      <c r="E4" s="18" t="s">
        <v>709</v>
      </c>
      <c r="F4" s="18" t="s">
        <v>709</v>
      </c>
      <c r="G4" s="2" t="s">
        <v>710</v>
      </c>
      <c r="H4" s="2" t="s">
        <v>711</v>
      </c>
      <c r="I4" s="3" t="s">
        <v>712</v>
      </c>
      <c r="J4" s="3" t="s">
        <v>713</v>
      </c>
      <c r="K4" s="2" t="s">
        <v>714</v>
      </c>
      <c r="L4" s="2" t="s">
        <v>715</v>
      </c>
      <c r="M4" s="2" t="s">
        <v>716</v>
      </c>
    </row>
    <row r="5" customFormat="false" ht="29.85" hidden="false" customHeight="false" outlineLevel="0" collapsed="false">
      <c r="A5" s="5" t="s">
        <v>717</v>
      </c>
      <c r="B5" s="18" t="s">
        <v>85</v>
      </c>
      <c r="C5" s="18" t="n">
        <v>37</v>
      </c>
      <c r="D5" s="18" t="n">
        <v>35</v>
      </c>
      <c r="E5" s="18" t="n">
        <v>31</v>
      </c>
      <c r="F5" s="18" t="n">
        <v>33</v>
      </c>
      <c r="G5" s="2" t="s">
        <v>718</v>
      </c>
      <c r="H5" s="2" t="s">
        <v>719</v>
      </c>
      <c r="I5" s="3" t="s">
        <v>720</v>
      </c>
      <c r="J5" s="2" t="s">
        <v>721</v>
      </c>
      <c r="K5" s="2" t="s">
        <v>722</v>
      </c>
      <c r="L5" s="2" t="s">
        <v>723</v>
      </c>
      <c r="M5" s="3" t="s">
        <v>724</v>
      </c>
    </row>
    <row r="6" customFormat="false" ht="29.85" hidden="false" customHeight="false" outlineLevel="0" collapsed="false">
      <c r="A6" s="5" t="s">
        <v>725</v>
      </c>
      <c r="B6" s="18" t="s">
        <v>85</v>
      </c>
      <c r="C6" s="18" t="n">
        <v>38</v>
      </c>
      <c r="D6" s="18" t="n">
        <v>36</v>
      </c>
      <c r="E6" s="18" t="n">
        <v>32</v>
      </c>
      <c r="F6" s="18" t="n">
        <v>34</v>
      </c>
      <c r="G6" s="2" t="s">
        <v>726</v>
      </c>
      <c r="H6" s="2" t="s">
        <v>727</v>
      </c>
      <c r="I6" s="3" t="s">
        <v>728</v>
      </c>
      <c r="J6" s="2" t="s">
        <v>729</v>
      </c>
      <c r="K6" s="2" t="s">
        <v>730</v>
      </c>
      <c r="L6" s="2" t="s">
        <v>731</v>
      </c>
      <c r="M6" s="2" t="s">
        <v>732</v>
      </c>
    </row>
    <row r="7" customFormat="false" ht="29.85" hidden="false" customHeight="false" outlineLevel="0" collapsed="false">
      <c r="A7" s="5" t="s">
        <v>733</v>
      </c>
      <c r="B7" s="18" t="s">
        <v>85</v>
      </c>
      <c r="C7" s="18" t="n">
        <v>39</v>
      </c>
      <c r="D7" s="18" t="n">
        <v>37</v>
      </c>
      <c r="E7" s="18" t="n">
        <v>33</v>
      </c>
      <c r="F7" s="18" t="n">
        <v>35</v>
      </c>
      <c r="G7" s="2" t="s">
        <v>734</v>
      </c>
      <c r="H7" s="2" t="s">
        <v>735</v>
      </c>
      <c r="I7" s="3" t="s">
        <v>736</v>
      </c>
      <c r="J7" s="2" t="s">
        <v>737</v>
      </c>
      <c r="K7" s="2" t="s">
        <v>738</v>
      </c>
      <c r="L7" s="2" t="s">
        <v>739</v>
      </c>
      <c r="M7" s="2" t="s">
        <v>740</v>
      </c>
    </row>
    <row r="8" customFormat="false" ht="44" hidden="false" customHeight="false" outlineLevel="0" collapsed="false">
      <c r="A8" s="5" t="s">
        <v>741</v>
      </c>
      <c r="B8" s="18" t="s">
        <v>85</v>
      </c>
      <c r="C8" s="18" t="n">
        <v>40</v>
      </c>
      <c r="D8" s="18" t="n">
        <v>38</v>
      </c>
      <c r="E8" s="18" t="n">
        <v>34</v>
      </c>
      <c r="F8" s="18" t="n">
        <v>36</v>
      </c>
      <c r="G8" s="2" t="s">
        <v>742</v>
      </c>
      <c r="H8" s="2" t="s">
        <v>743</v>
      </c>
      <c r="I8" s="3" t="s">
        <v>744</v>
      </c>
      <c r="J8" s="2" t="s">
        <v>745</v>
      </c>
      <c r="K8" s="2" t="s">
        <v>746</v>
      </c>
      <c r="L8" s="2" t="s">
        <v>747</v>
      </c>
      <c r="M8" s="2" t="s">
        <v>748</v>
      </c>
    </row>
    <row r="9" customFormat="false" ht="44" hidden="false" customHeight="false" outlineLevel="0" collapsed="false">
      <c r="A9" s="5" t="s">
        <v>749</v>
      </c>
      <c r="B9" s="18" t="s">
        <v>85</v>
      </c>
      <c r="C9" s="18" t="n">
        <v>41</v>
      </c>
      <c r="D9" s="18" t="n">
        <v>39</v>
      </c>
      <c r="E9" s="18" t="n">
        <v>35</v>
      </c>
      <c r="F9" s="18" t="n">
        <v>37</v>
      </c>
      <c r="G9" s="2" t="s">
        <v>750</v>
      </c>
      <c r="H9" s="2" t="s">
        <v>751</v>
      </c>
      <c r="I9" s="3" t="s">
        <v>752</v>
      </c>
      <c r="J9" s="2" t="s">
        <v>753</v>
      </c>
      <c r="K9" s="2" t="s">
        <v>754</v>
      </c>
      <c r="L9" s="2" t="s">
        <v>755</v>
      </c>
      <c r="M9" s="2" t="s">
        <v>756</v>
      </c>
    </row>
    <row r="10" customFormat="false" ht="29.85" hidden="false" customHeight="false" outlineLevel="0" collapsed="false">
      <c r="A10" s="5" t="s">
        <v>757</v>
      </c>
      <c r="B10" s="18" t="s">
        <v>85</v>
      </c>
      <c r="C10" s="18" t="n">
        <v>42</v>
      </c>
      <c r="D10" s="18" t="s">
        <v>709</v>
      </c>
      <c r="E10" s="18" t="s">
        <v>709</v>
      </c>
      <c r="F10" s="18" t="s">
        <v>709</v>
      </c>
      <c r="G10" s="2" t="s">
        <v>758</v>
      </c>
      <c r="H10" s="2" t="s">
        <v>759</v>
      </c>
      <c r="I10" s="3" t="s">
        <v>760</v>
      </c>
      <c r="J10" s="2" t="s">
        <v>761</v>
      </c>
      <c r="K10" s="2" t="s">
        <v>762</v>
      </c>
      <c r="L10" s="2" t="s">
        <v>763</v>
      </c>
      <c r="M10" s="2" t="s">
        <v>764</v>
      </c>
    </row>
    <row r="11" customFormat="false" ht="44" hidden="false" customHeight="false" outlineLevel="0" collapsed="false">
      <c r="A11" s="5" t="s">
        <v>765</v>
      </c>
      <c r="B11" s="18" t="s">
        <v>220</v>
      </c>
      <c r="C11" s="18" t="n">
        <v>63</v>
      </c>
      <c r="D11" s="18" t="n">
        <v>60</v>
      </c>
      <c r="E11" s="18" t="n">
        <v>54</v>
      </c>
      <c r="F11" s="18" t="n">
        <v>57</v>
      </c>
      <c r="G11" s="2" t="s">
        <v>766</v>
      </c>
      <c r="H11" s="2" t="s">
        <v>767</v>
      </c>
      <c r="I11" s="3" t="s">
        <v>768</v>
      </c>
      <c r="J11" s="2" t="s">
        <v>769</v>
      </c>
      <c r="K11" s="2" t="s">
        <v>770</v>
      </c>
      <c r="L11" s="2" t="s">
        <v>771</v>
      </c>
      <c r="M11" s="2" t="s">
        <v>772</v>
      </c>
    </row>
    <row r="12" customFormat="false" ht="29.85" hidden="false" customHeight="false" outlineLevel="0" collapsed="false">
      <c r="A12" s="5" t="s">
        <v>773</v>
      </c>
      <c r="B12" s="18" t="s">
        <v>220</v>
      </c>
      <c r="C12" s="18" t="n">
        <v>64</v>
      </c>
      <c r="D12" s="18" t="s">
        <v>709</v>
      </c>
      <c r="E12" s="18" t="s">
        <v>709</v>
      </c>
      <c r="F12" s="18" t="s">
        <v>709</v>
      </c>
      <c r="G12" s="2" t="s">
        <v>774</v>
      </c>
      <c r="H12" s="2" t="s">
        <v>775</v>
      </c>
      <c r="I12" s="3" t="s">
        <v>776</v>
      </c>
      <c r="J12" s="2" t="s">
        <v>777</v>
      </c>
      <c r="K12" s="2" t="s">
        <v>778</v>
      </c>
      <c r="L12" s="2" t="s">
        <v>779</v>
      </c>
      <c r="M12" s="2" t="s">
        <v>780</v>
      </c>
    </row>
    <row r="13" customFormat="false" ht="29.85" hidden="false" customHeight="false" outlineLevel="0" collapsed="false">
      <c r="A13" s="5" t="s">
        <v>781</v>
      </c>
      <c r="B13" s="18" t="s">
        <v>220</v>
      </c>
      <c r="C13" s="18" t="n">
        <v>65</v>
      </c>
      <c r="D13" s="18" t="n">
        <v>61</v>
      </c>
      <c r="E13" s="18" t="n">
        <v>55</v>
      </c>
      <c r="F13" s="18" t="n">
        <v>58</v>
      </c>
      <c r="G13" s="2" t="s">
        <v>782</v>
      </c>
      <c r="H13" s="2" t="s">
        <v>783</v>
      </c>
      <c r="I13" s="3" t="s">
        <v>784</v>
      </c>
      <c r="J13" s="2" t="s">
        <v>785</v>
      </c>
      <c r="K13" s="2" t="s">
        <v>786</v>
      </c>
      <c r="L13" s="2" t="s">
        <v>787</v>
      </c>
      <c r="M13" s="2" t="s">
        <v>788</v>
      </c>
    </row>
    <row r="14" customFormat="false" ht="44" hidden="false" customHeight="false" outlineLevel="0" collapsed="false">
      <c r="A14" s="5" t="s">
        <v>789</v>
      </c>
      <c r="B14" s="18" t="s">
        <v>220</v>
      </c>
      <c r="C14" s="18" t="n">
        <v>66</v>
      </c>
      <c r="D14" s="18" t="n">
        <v>62</v>
      </c>
      <c r="E14" s="18" t="n">
        <v>56</v>
      </c>
      <c r="F14" s="18" t="n">
        <v>59</v>
      </c>
      <c r="G14" s="2" t="s">
        <v>790</v>
      </c>
      <c r="H14" s="2" t="s">
        <v>791</v>
      </c>
      <c r="I14" s="3" t="s">
        <v>792</v>
      </c>
      <c r="J14" s="2" t="s">
        <v>793</v>
      </c>
      <c r="K14" s="2" t="s">
        <v>794</v>
      </c>
      <c r="L14" s="2" t="s">
        <v>795</v>
      </c>
      <c r="M14" s="2" t="s">
        <v>796</v>
      </c>
    </row>
    <row r="15" customFormat="false" ht="44" hidden="false" customHeight="false" outlineLevel="0" collapsed="false">
      <c r="A15" s="5" t="s">
        <v>797</v>
      </c>
      <c r="B15" s="18" t="s">
        <v>220</v>
      </c>
      <c r="C15" s="18" t="n">
        <v>67</v>
      </c>
      <c r="D15" s="18" t="s">
        <v>709</v>
      </c>
      <c r="E15" s="18" t="s">
        <v>709</v>
      </c>
      <c r="F15" s="18" t="s">
        <v>709</v>
      </c>
      <c r="G15" s="2" t="s">
        <v>798</v>
      </c>
      <c r="H15" s="2" t="s">
        <v>799</v>
      </c>
      <c r="I15" s="3" t="s">
        <v>800</v>
      </c>
      <c r="J15" s="2" t="s">
        <v>801</v>
      </c>
      <c r="K15" s="2" t="s">
        <v>802</v>
      </c>
      <c r="L15" s="2" t="s">
        <v>803</v>
      </c>
      <c r="M15" s="2" t="s">
        <v>804</v>
      </c>
    </row>
    <row r="16" customFormat="false" ht="44" hidden="false" customHeight="false" outlineLevel="0" collapsed="false">
      <c r="A16" s="5" t="s">
        <v>805</v>
      </c>
      <c r="B16" s="18" t="s">
        <v>220</v>
      </c>
      <c r="C16" s="18" t="n">
        <v>68</v>
      </c>
      <c r="D16" s="18" t="n">
        <v>63</v>
      </c>
      <c r="E16" s="18" t="n">
        <v>57</v>
      </c>
      <c r="F16" s="18" t="n">
        <v>60</v>
      </c>
      <c r="G16" s="2" t="s">
        <v>806</v>
      </c>
      <c r="H16" s="2" t="s">
        <v>807</v>
      </c>
      <c r="I16" s="3" t="s">
        <v>808</v>
      </c>
      <c r="J16" s="2" t="s">
        <v>809</v>
      </c>
      <c r="K16" s="2" t="s">
        <v>810</v>
      </c>
      <c r="L16" s="2" t="s">
        <v>811</v>
      </c>
      <c r="M16" s="2" t="s">
        <v>812</v>
      </c>
    </row>
    <row r="17" customFormat="false" ht="29.85" hidden="false" customHeight="false" outlineLevel="0" collapsed="false">
      <c r="A17" s="5" t="s">
        <v>813</v>
      </c>
      <c r="B17" s="18" t="s">
        <v>220</v>
      </c>
      <c r="C17" s="18" t="n">
        <v>69</v>
      </c>
      <c r="D17" s="18" t="n">
        <v>64</v>
      </c>
      <c r="E17" s="18" t="n">
        <v>58</v>
      </c>
      <c r="F17" s="18" t="n">
        <v>61</v>
      </c>
      <c r="G17" s="2" t="s">
        <v>814</v>
      </c>
      <c r="H17" s="2" t="s">
        <v>815</v>
      </c>
      <c r="I17" s="3" t="s">
        <v>816</v>
      </c>
      <c r="J17" s="2" t="s">
        <v>817</v>
      </c>
      <c r="K17" s="2" t="s">
        <v>274</v>
      </c>
      <c r="L17" s="2" t="s">
        <v>818</v>
      </c>
      <c r="M17" s="2" t="s">
        <v>819</v>
      </c>
    </row>
    <row r="18" customFormat="false" ht="44" hidden="false" customHeight="false" outlineLevel="0" collapsed="false">
      <c r="A18" s="5" t="s">
        <v>820</v>
      </c>
      <c r="B18" s="18" t="s">
        <v>220</v>
      </c>
      <c r="C18" s="18" t="n">
        <v>70</v>
      </c>
      <c r="D18" s="18" t="s">
        <v>709</v>
      </c>
      <c r="E18" s="18" t="s">
        <v>709</v>
      </c>
      <c r="F18" s="18" t="s">
        <v>709</v>
      </c>
      <c r="G18" s="2" t="s">
        <v>821</v>
      </c>
      <c r="H18" s="2" t="s">
        <v>822</v>
      </c>
      <c r="I18" s="3" t="s">
        <v>823</v>
      </c>
      <c r="J18" s="2" t="s">
        <v>824</v>
      </c>
      <c r="K18" s="2" t="s">
        <v>825</v>
      </c>
      <c r="L18" s="2" t="s">
        <v>826</v>
      </c>
      <c r="M18" s="2" t="s">
        <v>827</v>
      </c>
    </row>
    <row r="19" customFormat="false" ht="44" hidden="false" customHeight="false" outlineLevel="0" collapsed="false">
      <c r="A19" s="5" t="s">
        <v>828</v>
      </c>
      <c r="B19" s="5" t="s">
        <v>319</v>
      </c>
      <c r="C19" s="18" t="n">
        <v>85</v>
      </c>
      <c r="D19" s="18" t="n">
        <v>79</v>
      </c>
      <c r="E19" s="18" t="s">
        <v>709</v>
      </c>
      <c r="F19" s="18" t="n">
        <v>76</v>
      </c>
      <c r="G19" s="2" t="s">
        <v>829</v>
      </c>
      <c r="H19" s="2" t="s">
        <v>830</v>
      </c>
      <c r="I19" s="3" t="s">
        <v>831</v>
      </c>
      <c r="J19" s="2" t="s">
        <v>832</v>
      </c>
      <c r="K19" s="2" t="s">
        <v>833</v>
      </c>
      <c r="L19" s="2" t="s">
        <v>834</v>
      </c>
      <c r="M19" s="3" t="s">
        <v>835</v>
      </c>
    </row>
    <row r="20" customFormat="false" ht="29.85" hidden="false" customHeight="false" outlineLevel="0" collapsed="false">
      <c r="A20" s="5" t="s">
        <v>836</v>
      </c>
      <c r="B20" s="5" t="s">
        <v>319</v>
      </c>
      <c r="C20" s="18" t="n">
        <v>86</v>
      </c>
      <c r="D20" s="18" t="n">
        <v>80</v>
      </c>
      <c r="E20" s="18" t="n">
        <v>73</v>
      </c>
      <c r="F20" s="18" t="n">
        <v>77</v>
      </c>
      <c r="G20" s="2" t="s">
        <v>837</v>
      </c>
      <c r="H20" s="2" t="s">
        <v>838</v>
      </c>
      <c r="I20" s="3" t="s">
        <v>839</v>
      </c>
      <c r="J20" s="2" t="s">
        <v>840</v>
      </c>
      <c r="K20" s="3" t="s">
        <v>841</v>
      </c>
      <c r="L20" s="2" t="s">
        <v>842</v>
      </c>
      <c r="M20" s="2" t="s">
        <v>843</v>
      </c>
    </row>
    <row r="21" customFormat="false" ht="29.85" hidden="false" customHeight="false" outlineLevel="0" collapsed="false">
      <c r="A21" s="5" t="s">
        <v>844</v>
      </c>
      <c r="B21" s="5" t="s">
        <v>319</v>
      </c>
      <c r="C21" s="18" t="n">
        <v>87</v>
      </c>
      <c r="D21" s="18" t="n">
        <v>81</v>
      </c>
      <c r="E21" s="18" t="n">
        <v>74</v>
      </c>
      <c r="F21" s="18" t="n">
        <v>78</v>
      </c>
      <c r="G21" s="2" t="s">
        <v>845</v>
      </c>
      <c r="H21" s="2" t="s">
        <v>846</v>
      </c>
      <c r="I21" s="3" t="s">
        <v>847</v>
      </c>
      <c r="J21" s="2" t="s">
        <v>848</v>
      </c>
      <c r="K21" s="2" t="s">
        <v>849</v>
      </c>
      <c r="L21" s="2" t="s">
        <v>850</v>
      </c>
      <c r="M21" s="2" t="s">
        <v>851</v>
      </c>
    </row>
    <row r="22" customFormat="false" ht="29.85" hidden="false" customHeight="false" outlineLevel="0" collapsed="false">
      <c r="A22" s="5" t="s">
        <v>852</v>
      </c>
      <c r="B22" s="5" t="s">
        <v>319</v>
      </c>
      <c r="C22" s="18" t="n">
        <v>88</v>
      </c>
      <c r="D22" s="18" t="n">
        <v>82</v>
      </c>
      <c r="E22" s="18" t="n">
        <v>75</v>
      </c>
      <c r="F22" s="18" t="n">
        <v>79</v>
      </c>
      <c r="G22" s="2" t="s">
        <v>853</v>
      </c>
      <c r="H22" s="2" t="s">
        <v>854</v>
      </c>
      <c r="I22" s="3" t="s">
        <v>855</v>
      </c>
      <c r="J22" s="2" t="s">
        <v>856</v>
      </c>
      <c r="K22" s="2" t="s">
        <v>857</v>
      </c>
      <c r="L22" s="2" t="s">
        <v>858</v>
      </c>
      <c r="M22" s="2" t="s">
        <v>859</v>
      </c>
    </row>
    <row r="23" customFormat="false" ht="29.85" hidden="false" customHeight="false" outlineLevel="0" collapsed="false">
      <c r="A23" s="5" t="s">
        <v>860</v>
      </c>
      <c r="B23" s="5" t="s">
        <v>319</v>
      </c>
      <c r="C23" s="18" t="n">
        <v>89</v>
      </c>
      <c r="D23" s="18" t="s">
        <v>709</v>
      </c>
      <c r="E23" s="18" t="s">
        <v>709</v>
      </c>
      <c r="F23" s="18" t="s">
        <v>709</v>
      </c>
      <c r="G23" s="2" t="s">
        <v>861</v>
      </c>
      <c r="H23" s="2" t="s">
        <v>862</v>
      </c>
      <c r="I23" s="3" t="s">
        <v>863</v>
      </c>
      <c r="J23" s="2" t="s">
        <v>864</v>
      </c>
      <c r="K23" s="2" t="s">
        <v>865</v>
      </c>
      <c r="L23" s="2" t="s">
        <v>866</v>
      </c>
      <c r="M23" s="2" t="s">
        <v>867</v>
      </c>
    </row>
    <row r="25" customFormat="false" ht="49.5" hidden="false" customHeight="true" outlineLevel="0" collapsed="false">
      <c r="G25" s="19" t="s">
        <v>868</v>
      </c>
      <c r="H25" s="19"/>
      <c r="I25" s="19"/>
      <c r="J25" s="19"/>
      <c r="K25" s="19"/>
      <c r="L25" s="19"/>
      <c r="M25" s="19"/>
    </row>
  </sheetData>
  <mergeCells count="1">
    <mergeCell ref="G25:M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54.59"/>
    <col collapsed="false" customWidth="true" hidden="false" outlineLevel="0" max="7" min="4" style="0" width="14.56"/>
  </cols>
  <sheetData>
    <row r="1" customFormat="false" ht="15" hidden="false" customHeight="false" outlineLevel="0" collapsed="false">
      <c r="A1" s="4" t="s">
        <v>23</v>
      </c>
      <c r="B1" s="4" t="s">
        <v>869</v>
      </c>
      <c r="C1" s="4" t="s">
        <v>870</v>
      </c>
      <c r="D1" s="4" t="s">
        <v>681</v>
      </c>
      <c r="E1" s="4" t="s">
        <v>682</v>
      </c>
      <c r="F1" s="4" t="s">
        <v>683</v>
      </c>
      <c r="G1" s="4" t="s">
        <v>684</v>
      </c>
    </row>
    <row r="2" customFormat="false" ht="23.85" hidden="false" customHeight="false" outlineLevel="0" collapsed="false">
      <c r="A2" s="5" t="s">
        <v>871</v>
      </c>
      <c r="B2" s="2" t="s">
        <v>872</v>
      </c>
      <c r="C2" s="2" t="s">
        <v>873</v>
      </c>
      <c r="D2" s="5" t="s">
        <v>874</v>
      </c>
      <c r="E2" s="5" t="s">
        <v>875</v>
      </c>
      <c r="F2" s="5" t="s">
        <v>876</v>
      </c>
      <c r="G2" s="5" t="s">
        <v>877</v>
      </c>
    </row>
    <row r="3" customFormat="false" ht="15" hidden="false" customHeight="false" outlineLevel="0" collapsed="false">
      <c r="A3" s="5" t="s">
        <v>878</v>
      </c>
      <c r="B3" s="2" t="s">
        <v>879</v>
      </c>
      <c r="C3" s="2" t="s">
        <v>880</v>
      </c>
      <c r="D3" s="5" t="s">
        <v>881</v>
      </c>
      <c r="E3" s="5" t="s">
        <v>882</v>
      </c>
      <c r="F3" s="5" t="s">
        <v>883</v>
      </c>
      <c r="G3" s="5" t="s">
        <v>884</v>
      </c>
    </row>
    <row r="4" customFormat="false" ht="23.85" hidden="false" customHeight="false" outlineLevel="0" collapsed="false">
      <c r="A4" s="5" t="s">
        <v>885</v>
      </c>
      <c r="B4" s="2" t="s">
        <v>886</v>
      </c>
      <c r="C4" s="2" t="s">
        <v>887</v>
      </c>
      <c r="D4" s="5" t="s">
        <v>888</v>
      </c>
      <c r="E4" s="5" t="s">
        <v>889</v>
      </c>
      <c r="F4" s="5" t="s">
        <v>890</v>
      </c>
      <c r="G4" s="5" t="s">
        <v>891</v>
      </c>
    </row>
    <row r="5" customFormat="false" ht="23.85" hidden="false" customHeight="false" outlineLevel="0" collapsed="false">
      <c r="A5" s="5" t="s">
        <v>892</v>
      </c>
      <c r="B5" s="2" t="s">
        <v>893</v>
      </c>
      <c r="C5" s="2" t="s">
        <v>894</v>
      </c>
      <c r="D5" s="5" t="s">
        <v>895</v>
      </c>
      <c r="E5" s="5" t="s">
        <v>896</v>
      </c>
      <c r="F5" s="5" t="s">
        <v>897</v>
      </c>
      <c r="G5" s="5" t="s">
        <v>898</v>
      </c>
    </row>
    <row r="6" customFormat="false" ht="15" hidden="false" customHeight="false" outlineLevel="0" collapsed="false">
      <c r="A6" s="5" t="s">
        <v>899</v>
      </c>
      <c r="B6" s="2" t="s">
        <v>900</v>
      </c>
      <c r="C6" s="2" t="s">
        <v>901</v>
      </c>
      <c r="D6" s="5" t="s">
        <v>902</v>
      </c>
      <c r="E6" s="5" t="s">
        <v>903</v>
      </c>
      <c r="F6" s="5" t="s">
        <v>904</v>
      </c>
      <c r="G6" s="5" t="s">
        <v>905</v>
      </c>
    </row>
    <row r="7" customFormat="false" ht="15" hidden="false" customHeight="false" outlineLevel="0" collapsed="false">
      <c r="A7" s="5" t="s">
        <v>906</v>
      </c>
      <c r="B7" s="2" t="s">
        <v>907</v>
      </c>
      <c r="C7" s="2" t="s">
        <v>908</v>
      </c>
      <c r="D7" s="5" t="s">
        <v>909</v>
      </c>
      <c r="E7" s="5" t="s">
        <v>910</v>
      </c>
      <c r="F7" s="5" t="s">
        <v>911</v>
      </c>
      <c r="G7" s="5" t="s">
        <v>912</v>
      </c>
    </row>
    <row r="8" customFormat="false" ht="35.05" hidden="false" customHeight="false" outlineLevel="0" collapsed="false">
      <c r="A8" s="5" t="s">
        <v>913</v>
      </c>
      <c r="B8" s="2" t="s">
        <v>914</v>
      </c>
      <c r="C8" s="2" t="s">
        <v>915</v>
      </c>
      <c r="D8" s="5" t="s">
        <v>916</v>
      </c>
      <c r="E8" s="5" t="s">
        <v>917</v>
      </c>
      <c r="F8" s="5" t="s">
        <v>918</v>
      </c>
      <c r="G8" s="5" t="s">
        <v>919</v>
      </c>
    </row>
    <row r="9" customFormat="false" ht="23.85" hidden="false" customHeight="false" outlineLevel="0" collapsed="false">
      <c r="A9" s="5" t="s">
        <v>920</v>
      </c>
      <c r="B9" s="2" t="s">
        <v>921</v>
      </c>
      <c r="C9" s="2" t="s">
        <v>922</v>
      </c>
      <c r="D9" s="5" t="s">
        <v>923</v>
      </c>
      <c r="E9" s="5" t="s">
        <v>924</v>
      </c>
      <c r="F9" s="5" t="s">
        <v>925</v>
      </c>
      <c r="G9" s="5" t="s">
        <v>926</v>
      </c>
    </row>
    <row r="10" customFormat="false" ht="23.85" hidden="false" customHeight="false" outlineLevel="0" collapsed="false">
      <c r="A10" s="5" t="s">
        <v>927</v>
      </c>
      <c r="B10" s="2" t="s">
        <v>928</v>
      </c>
      <c r="C10" s="2" t="s">
        <v>929</v>
      </c>
      <c r="D10" s="5" t="s">
        <v>930</v>
      </c>
      <c r="E10" s="5" t="s">
        <v>931</v>
      </c>
      <c r="F10" s="5" t="s">
        <v>932</v>
      </c>
      <c r="G10" s="5" t="s">
        <v>933</v>
      </c>
    </row>
    <row r="11" customFormat="false" ht="23.85" hidden="false" customHeight="false" outlineLevel="0" collapsed="false">
      <c r="A11" s="5" t="s">
        <v>934</v>
      </c>
      <c r="B11" s="2" t="s">
        <v>935</v>
      </c>
      <c r="C11" s="2" t="s">
        <v>936</v>
      </c>
      <c r="D11" s="5" t="s">
        <v>937</v>
      </c>
      <c r="E11" s="5" t="s">
        <v>938</v>
      </c>
      <c r="F11" s="5" t="s">
        <v>939</v>
      </c>
      <c r="G11" s="5" t="s">
        <v>940</v>
      </c>
    </row>
    <row r="12" customFormat="false" ht="23.85" hidden="false" customHeight="false" outlineLevel="0" collapsed="false">
      <c r="A12" s="5" t="s">
        <v>941</v>
      </c>
      <c r="B12" s="2" t="s">
        <v>942</v>
      </c>
      <c r="C12" s="2" t="s">
        <v>943</v>
      </c>
      <c r="D12" s="5" t="s">
        <v>944</v>
      </c>
      <c r="E12" s="5" t="s">
        <v>945</v>
      </c>
      <c r="F12" s="5" t="s">
        <v>946</v>
      </c>
      <c r="G12" s="5" t="s">
        <v>947</v>
      </c>
    </row>
    <row r="13" customFormat="false" ht="15" hidden="false" customHeight="false" outlineLevel="0" collapsed="false">
      <c r="A13" s="5" t="s">
        <v>948</v>
      </c>
      <c r="B13" s="2" t="s">
        <v>949</v>
      </c>
      <c r="C13" s="2" t="s">
        <v>950</v>
      </c>
      <c r="D13" s="5" t="s">
        <v>951</v>
      </c>
      <c r="E13" s="5" t="s">
        <v>952</v>
      </c>
      <c r="F13" s="5" t="s">
        <v>953</v>
      </c>
      <c r="G13" s="5" t="s">
        <v>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9.1"/>
    <col collapsed="false" customWidth="true" hidden="false" outlineLevel="0" max="3" min="3" style="0" width="7.28"/>
    <col collapsed="false" customWidth="true" hidden="false" outlineLevel="0" max="7" min="4" style="0" width="11.83"/>
  </cols>
  <sheetData>
    <row r="1" customFormat="false" ht="15" hidden="false" customHeight="false" outlineLevel="0" collapsed="false">
      <c r="A1" s="4" t="s">
        <v>955</v>
      </c>
      <c r="B1" s="4" t="s">
        <v>52</v>
      </c>
      <c r="C1" s="4" t="s">
        <v>24</v>
      </c>
      <c r="D1" s="4" t="s">
        <v>956</v>
      </c>
      <c r="E1" s="4" t="s">
        <v>957</v>
      </c>
      <c r="F1" s="4" t="s">
        <v>958</v>
      </c>
      <c r="G1" s="4" t="s">
        <v>959</v>
      </c>
    </row>
    <row r="2" customFormat="false" ht="15" hidden="false" customHeight="false" outlineLevel="0" collapsed="false">
      <c r="A2" s="2" t="s">
        <v>61</v>
      </c>
      <c r="B2" s="18" t="s">
        <v>61</v>
      </c>
      <c r="C2" s="18"/>
      <c r="D2" s="18" t="n">
        <f aca="false">SUMIFS(01_통합반_영상!$K$2:$K$96,01_통합반_영상!$B$2:$B$96,$A2,01_통합반_영상!$C$2:$C$96,$B2)</f>
        <v>175</v>
      </c>
      <c r="E2" s="18" t="n">
        <f aca="false">SUMIFS(02_통합반_오프라인!$J$2:$J$89,02_통합반_오프라인!$B$2:$B$89,$A2,02_통합반_오프라인!$C$2:$C$89,$B2)</f>
        <v>190</v>
      </c>
      <c r="F2" s="18" t="n">
        <f aca="false">SUMIFS(03_실전반_영상!$K$2:$K$82,03_실전반_영상!$B$2:$B$82,$A2,03_실전반_영상!$C$2:$C$82,$B2)</f>
        <v>150</v>
      </c>
      <c r="G2" s="18" t="n">
        <f aca="false">SUMIFS(04_실전반_오프라인!$J$2:$J$86,04_실전반_오프라인!$B$2:$B$86,$A2,04_실전반_오프라인!$C$2:$C$86,$B2)</f>
        <v>170</v>
      </c>
    </row>
    <row r="3" customFormat="false" ht="15" hidden="false" customHeight="false" outlineLevel="0" collapsed="false">
      <c r="A3" s="1" t="s">
        <v>61</v>
      </c>
      <c r="B3" s="20" t="s">
        <v>960</v>
      </c>
      <c r="C3" s="1"/>
      <c r="D3" s="20" t="n">
        <f aca="false">D2</f>
        <v>175</v>
      </c>
      <c r="E3" s="20" t="n">
        <f aca="false">E2</f>
        <v>190</v>
      </c>
      <c r="F3" s="20" t="n">
        <f aca="false">F2</f>
        <v>150</v>
      </c>
      <c r="G3" s="20" t="n">
        <f aca="false">G2</f>
        <v>170</v>
      </c>
    </row>
    <row r="4" customFormat="false" ht="15" hidden="false" customHeight="false" outlineLevel="0" collapsed="false">
      <c r="A4" s="2" t="s">
        <v>85</v>
      </c>
      <c r="B4" s="18" t="s">
        <v>86</v>
      </c>
      <c r="C4" s="18"/>
      <c r="D4" s="18" t="n">
        <f aca="false">SUMIFS(01_통합반_영상!$K$2:$K$96,01_통합반_영상!$B$2:$B$96,$A4,01_통합반_영상!$C$2:$C$96,$B4)</f>
        <v>300</v>
      </c>
      <c r="E4" s="18" t="n">
        <f aca="false">SUMIFS(02_통합반_오프라인!$J$2:$J$89,02_통합반_오프라인!$B$2:$B$89,$A4,02_통합반_오프라인!$C$2:$C$89,$B4)</f>
        <v>285</v>
      </c>
      <c r="F4" s="18" t="n">
        <f aca="false">SUMIFS(03_실전반_영상!$K$2:$K$82,03_실전반_영상!$B$2:$B$82,$A4,03_실전반_영상!$C$2:$C$82,$B4)</f>
        <v>155</v>
      </c>
      <c r="G4" s="18" t="n">
        <f aca="false">SUMIFS(04_실전반_오프라인!$J$2:$J$86,04_실전반_오프라인!$B$2:$B$86,$A4,04_실전반_오프라인!$C$2:$C$86,$B4)</f>
        <v>210</v>
      </c>
    </row>
    <row r="5" customFormat="false" ht="15" hidden="false" customHeight="false" outlineLevel="0" collapsed="false">
      <c r="A5" s="2" t="s">
        <v>85</v>
      </c>
      <c r="B5" s="18" t="s">
        <v>10</v>
      </c>
      <c r="C5" s="18"/>
      <c r="D5" s="18" t="n">
        <f aca="false">SUMIFS(01_통합반_영상!$K$2:$K$96,01_통합반_영상!$B$2:$B$96,$A5,01_통합반_영상!$C$2:$C$96,$B5)</f>
        <v>400</v>
      </c>
      <c r="E5" s="18" t="n">
        <f aca="false">SUMIFS(02_통합반_오프라인!$J$2:$J$89,02_통합반_오프라인!$B$2:$B$89,$A5,02_통합반_오프라인!$C$2:$C$89,$B5)</f>
        <v>405</v>
      </c>
      <c r="F5" s="18" t="n">
        <f aca="false">SUMIFS(03_실전반_영상!$K$2:$K$82,03_실전반_영상!$B$2:$B$82,$A5,03_실전반_영상!$C$2:$C$82,$B5)</f>
        <v>365</v>
      </c>
      <c r="G5" s="18" t="n">
        <f aca="false">SUMIFS(04_실전반_오프라인!$J$2:$J$86,04_실전반_오프라인!$B$2:$B$86,$A5,04_실전반_오프라인!$C$2:$C$86,$B5)</f>
        <v>400</v>
      </c>
    </row>
    <row r="6" customFormat="false" ht="15" hidden="false" customHeight="false" outlineLevel="0" collapsed="false">
      <c r="A6" s="21" t="s">
        <v>85</v>
      </c>
      <c r="B6" s="22" t="s">
        <v>10</v>
      </c>
      <c r="C6" s="23" t="s">
        <v>32</v>
      </c>
      <c r="D6" s="22" t="n">
        <f aca="false">SUMIFS(01_통합반_영상!$K$2:$K$96,01_통합반_영상!$B$2:$B$96,$A6,01_통합반_영상!$C$2:$C$96,$B6,01_통합반_영상!$D$2:$D$96,$C6)</f>
        <v>160</v>
      </c>
      <c r="E6" s="22" t="n">
        <f aca="false">SUMIFS(02_통합반_오프라인!$J$2:$J$89,02_통합반_오프라인!$B$2:$B$89,$A6,02_통합반_오프라인!$C$2:$C$89,$B6,02_통합반_오프라인!$D$2:$D$89,$C6)</f>
        <v>165</v>
      </c>
      <c r="F6" s="22" t="n">
        <f aca="false">SUMIFS(03_실전반_영상!$K$2:$K$82,03_실전반_영상!$B$2:$B$82,$A6,03_실전반_영상!$C$2:$C$82,$B6,03_실전반_영상!$D$2:$D$82,$C6)</f>
        <v>145</v>
      </c>
      <c r="G6" s="22" t="n">
        <f aca="false">SUMIFS(04_실전반_오프라인!$J$2:$J$86,04_실전반_오프라인!$B$2:$B$86,$A6,04_실전반_오프라인!$C$2:$C$86,$B6,04_실전반_오프라인!$D$2:$D$86,$C6)</f>
        <v>160</v>
      </c>
    </row>
    <row r="7" customFormat="false" ht="15" hidden="false" customHeight="false" outlineLevel="0" collapsed="false">
      <c r="A7" s="21" t="s">
        <v>85</v>
      </c>
      <c r="B7" s="22" t="s">
        <v>10</v>
      </c>
      <c r="C7" s="23" t="s">
        <v>149</v>
      </c>
      <c r="D7" s="22" t="n">
        <f aca="false">SUMIFS(01_통합반_영상!$K$2:$K$96,01_통합반_영상!$B$2:$B$96,$A7,01_통합반_영상!$C$2:$C$96,$B7,01_통합반_영상!$D$2:$D$96,$C7)</f>
        <v>120</v>
      </c>
      <c r="E7" s="22" t="n">
        <f aca="false">SUMIFS(02_통합반_오프라인!$J$2:$J$89,02_통합반_오프라인!$B$2:$B$89,$A7,02_통합반_오프라인!$C$2:$C$89,$B7,02_통합반_오프라인!$D$2:$D$89,$C7)</f>
        <v>120</v>
      </c>
      <c r="F7" s="22" t="n">
        <f aca="false">SUMIFS(03_실전반_영상!$K$2:$K$82,03_실전반_영상!$B$2:$B$82,$A7,03_실전반_영상!$C$2:$C$82,$B7,03_실전반_영상!$D$2:$D$82,$C7)</f>
        <v>110</v>
      </c>
      <c r="G7" s="22" t="n">
        <f aca="false">SUMIFS(04_실전반_오프라인!$J$2:$J$86,04_실전반_오프라인!$B$2:$B$86,$A7,04_실전반_오프라인!$C$2:$C$86,$B7,04_실전반_오프라인!$D$2:$D$86,$C7)</f>
        <v>120</v>
      </c>
    </row>
    <row r="8" customFormat="false" ht="15" hidden="false" customHeight="false" outlineLevel="0" collapsed="false">
      <c r="A8" s="21" t="s">
        <v>85</v>
      </c>
      <c r="B8" s="22" t="s">
        <v>10</v>
      </c>
      <c r="C8" s="23" t="s">
        <v>166</v>
      </c>
      <c r="D8" s="22" t="n">
        <f aca="false">SUMIFS(01_통합반_영상!$K$2:$K$96,01_통합반_영상!$B$2:$B$96,$A8,01_통합반_영상!$C$2:$C$96,$B8,01_통합반_영상!$D$2:$D$96,$C8)</f>
        <v>120</v>
      </c>
      <c r="E8" s="22" t="n">
        <f aca="false">SUMIFS(02_통합반_오프라인!$J$2:$J$89,02_통합반_오프라인!$B$2:$B$89,$A8,02_통합반_오프라인!$C$2:$C$89,$B8,02_통합반_오프라인!$D$2:$D$89,$C8)</f>
        <v>120</v>
      </c>
      <c r="F8" s="22" t="n">
        <f aca="false">SUMIFS(03_실전반_영상!$K$2:$K$82,03_실전반_영상!$B$2:$B$82,$A8,03_실전반_영상!$C$2:$C$82,$B8,03_실전반_영상!$D$2:$D$82,$C8)</f>
        <v>110</v>
      </c>
      <c r="G8" s="22" t="n">
        <f aca="false">SUMIFS(04_실전반_오프라인!$J$2:$J$86,04_실전반_오프라인!$B$2:$B$86,$A8,04_실전반_오프라인!$C$2:$C$86,$B8,04_실전반_오프라인!$D$2:$D$86,$C8)</f>
        <v>120</v>
      </c>
    </row>
    <row r="9" customFormat="false" ht="15" hidden="false" customHeight="false" outlineLevel="0" collapsed="false">
      <c r="A9" s="2" t="s">
        <v>85</v>
      </c>
      <c r="B9" s="18" t="s">
        <v>12</v>
      </c>
      <c r="C9" s="18"/>
      <c r="D9" s="18" t="n">
        <f aca="false">SUMIFS(01_통합반_영상!$K$2:$K$96,01_통합반_영상!$B$2:$B$96,$A9,01_통합반_영상!$C$2:$C$96,$B9)</f>
        <v>275</v>
      </c>
      <c r="E9" s="18" t="n">
        <f aca="false">SUMIFS(02_통합반_오프라인!$J$2:$J$89,02_통합반_오프라인!$B$2:$B$89,$A9,02_통합반_오프라인!$C$2:$C$89,$B9)</f>
        <v>235</v>
      </c>
      <c r="F9" s="18" t="n">
        <f aca="false">SUMIFS(03_실전반_영상!$K$2:$K$82,03_실전반_영상!$B$2:$B$82,$A9,03_실전반_영상!$C$2:$C$82,$B9)</f>
        <v>170</v>
      </c>
      <c r="G9" s="18" t="n">
        <f aca="false">SUMIFS(04_실전반_오프라인!$J$2:$J$86,04_실전반_오프라인!$B$2:$B$86,$A9,04_실전반_오프라인!$C$2:$C$86,$B9)</f>
        <v>225</v>
      </c>
    </row>
    <row r="10" customFormat="false" ht="15" hidden="false" customHeight="false" outlineLevel="0" collapsed="false">
      <c r="A10" s="1" t="s">
        <v>85</v>
      </c>
      <c r="B10" s="20" t="s">
        <v>960</v>
      </c>
      <c r="C10" s="1"/>
      <c r="D10" s="20" t="n">
        <f aca="false">D4+D5+D9</f>
        <v>975</v>
      </c>
      <c r="E10" s="20" t="n">
        <f aca="false">E4+E5+E9</f>
        <v>925</v>
      </c>
      <c r="F10" s="20" t="n">
        <f aca="false">F4+F5+F9</f>
        <v>690</v>
      </c>
      <c r="G10" s="20" t="n">
        <f aca="false">G4+G5+G9</f>
        <v>835</v>
      </c>
    </row>
    <row r="11" customFormat="false" ht="15" hidden="false" customHeight="false" outlineLevel="0" collapsed="false">
      <c r="A11" s="2" t="s">
        <v>220</v>
      </c>
      <c r="B11" s="18" t="s">
        <v>86</v>
      </c>
      <c r="C11" s="18"/>
      <c r="D11" s="18" t="n">
        <f aca="false">SUMIFS(01_통합반_영상!$K$2:$K$96,01_통합반_영상!$B$2:$B$96,$A11,01_통합반_영상!$C$2:$C$96,$B11)</f>
        <v>210</v>
      </c>
      <c r="E11" s="18" t="n">
        <f aca="false">SUMIFS(02_통합반_오프라인!$J$2:$J$89,02_통합반_오프라인!$B$2:$B$89,$A11,02_통합반_오프라인!$C$2:$C$89,$B11)</f>
        <v>215</v>
      </c>
      <c r="F11" s="18" t="n">
        <f aca="false">SUMIFS(03_실전반_영상!$K$2:$K$82,03_실전반_영상!$B$2:$B$82,$A11,03_실전반_영상!$C$2:$C$82,$B11)</f>
        <v>140</v>
      </c>
      <c r="G11" s="18" t="n">
        <f aca="false">SUMIFS(04_실전반_오프라인!$J$2:$J$86,04_실전반_오프라인!$B$2:$B$86,$A11,04_실전반_오프라인!$C$2:$C$86,$B11)</f>
        <v>170</v>
      </c>
    </row>
    <row r="12" customFormat="false" ht="15" hidden="false" customHeight="false" outlineLevel="0" collapsed="false">
      <c r="A12" s="2" t="s">
        <v>220</v>
      </c>
      <c r="B12" s="18" t="s">
        <v>10</v>
      </c>
      <c r="C12" s="18"/>
      <c r="D12" s="18" t="n">
        <f aca="false">SUMIFS(01_통합반_영상!$K$2:$K$96,01_통합반_영상!$B$2:$B$96,$A12,01_통합반_영상!$C$2:$C$96,$B12)</f>
        <v>350</v>
      </c>
      <c r="E12" s="18" t="n">
        <f aca="false">SUMIFS(02_통합반_오프라인!$J$2:$J$89,02_통합반_오프라인!$B$2:$B$89,$A12,02_통합반_오프라인!$C$2:$C$89,$B12)</f>
        <v>355</v>
      </c>
      <c r="F12" s="18" t="n">
        <f aca="false">SUMIFS(03_실전반_영상!$K$2:$K$82,03_실전반_영상!$B$2:$B$82,$A12,03_실전반_영상!$C$2:$C$82,$B12)</f>
        <v>315</v>
      </c>
      <c r="G12" s="18" t="n">
        <f aca="false">SUMIFS(04_실전반_오프라인!$J$2:$J$86,04_실전반_오프라인!$B$2:$B$86,$A12,04_실전반_오프라인!$C$2:$C$86,$B12)</f>
        <v>345</v>
      </c>
    </row>
    <row r="13" customFormat="false" ht="15" hidden="false" customHeight="false" outlineLevel="0" collapsed="false">
      <c r="A13" s="21" t="s">
        <v>220</v>
      </c>
      <c r="B13" s="22" t="s">
        <v>10</v>
      </c>
      <c r="C13" s="23" t="s">
        <v>32</v>
      </c>
      <c r="D13" s="22" t="n">
        <f aca="false">SUMIFS(01_통합반_영상!$K$2:$K$96,01_통합반_영상!$B$2:$B$96,$A13,01_통합반_영상!$C$2:$C$96,$B13,01_통합반_영상!$D$2:$D$96,$C13)</f>
        <v>140</v>
      </c>
      <c r="E13" s="22" t="n">
        <f aca="false">SUMIFS(02_통합반_오프라인!$J$2:$J$89,02_통합반_오프라인!$B$2:$B$89,$A13,02_통합반_오프라인!$C$2:$C$89,$B13,02_통합반_오프라인!$D$2:$D$89,$C13)</f>
        <v>145</v>
      </c>
      <c r="F13" s="22" t="n">
        <f aca="false">SUMIFS(03_실전반_영상!$K$2:$K$82,03_실전반_영상!$B$2:$B$82,$A13,03_실전반_영상!$C$2:$C$82,$B13,03_실전반_영상!$D$2:$D$82,$C13)</f>
        <v>125</v>
      </c>
      <c r="G13" s="22" t="n">
        <f aca="false">SUMIFS(04_실전반_오프라인!$J$2:$J$86,04_실전반_오프라인!$B$2:$B$86,$A13,04_실전반_오프라인!$C$2:$C$86,$B13,04_실전반_오프라인!$D$2:$D$86,$C13)</f>
        <v>135</v>
      </c>
    </row>
    <row r="14" customFormat="false" ht="15" hidden="false" customHeight="false" outlineLevel="0" collapsed="false">
      <c r="A14" s="21" t="s">
        <v>220</v>
      </c>
      <c r="B14" s="22" t="s">
        <v>10</v>
      </c>
      <c r="C14" s="23" t="s">
        <v>149</v>
      </c>
      <c r="D14" s="22" t="n">
        <f aca="false">SUMIFS(01_통합반_영상!$K$2:$K$96,01_통합반_영상!$B$2:$B$96,$A14,01_통합반_영상!$C$2:$C$96,$B14,01_통합반_영상!$D$2:$D$96,$C14)</f>
        <v>105</v>
      </c>
      <c r="E14" s="22" t="n">
        <f aca="false">SUMIFS(02_통합반_오프라인!$J$2:$J$89,02_통합반_오프라인!$B$2:$B$89,$A14,02_통합반_오프라인!$C$2:$C$89,$B14,02_통합반_오프라인!$D$2:$D$89,$C14)</f>
        <v>105</v>
      </c>
      <c r="F14" s="22" t="n">
        <f aca="false">SUMIFS(03_실전반_영상!$K$2:$K$82,03_실전반_영상!$B$2:$B$82,$A14,03_실전반_영상!$C$2:$C$82,$B14,03_실전반_영상!$D$2:$D$82,$C14)</f>
        <v>95</v>
      </c>
      <c r="G14" s="22" t="n">
        <f aca="false">SUMIFS(04_실전반_오프라인!$J$2:$J$86,04_실전반_오프라인!$B$2:$B$86,$A14,04_실전반_오프라인!$C$2:$C$86,$B14,04_실전반_오프라인!$D$2:$D$86,$C14)</f>
        <v>105</v>
      </c>
    </row>
    <row r="15" customFormat="false" ht="15" hidden="false" customHeight="false" outlineLevel="0" collapsed="false">
      <c r="A15" s="21" t="s">
        <v>220</v>
      </c>
      <c r="B15" s="22" t="s">
        <v>10</v>
      </c>
      <c r="C15" s="23" t="s">
        <v>166</v>
      </c>
      <c r="D15" s="22" t="n">
        <f aca="false">SUMIFS(01_통합반_영상!$K$2:$K$96,01_통합반_영상!$B$2:$B$96,$A15,01_통합반_영상!$C$2:$C$96,$B15,01_통합반_영상!$D$2:$D$96,$C15)</f>
        <v>105</v>
      </c>
      <c r="E15" s="22" t="n">
        <f aca="false">SUMIFS(02_통합반_오프라인!$J$2:$J$89,02_통합반_오프라인!$B$2:$B$89,$A15,02_통합반_오프라인!$C$2:$C$89,$B15,02_통합반_오프라인!$D$2:$D$89,$C15)</f>
        <v>105</v>
      </c>
      <c r="F15" s="22" t="n">
        <f aca="false">SUMIFS(03_실전반_영상!$K$2:$K$82,03_실전반_영상!$B$2:$B$82,$A15,03_실전반_영상!$C$2:$C$82,$B15,03_실전반_영상!$D$2:$D$82,$C15)</f>
        <v>95</v>
      </c>
      <c r="G15" s="22" t="n">
        <f aca="false">SUMIFS(04_실전반_오프라인!$J$2:$J$86,04_실전반_오프라인!$B$2:$B$86,$A15,04_실전반_오프라인!$C$2:$C$86,$B15,04_실전반_오프라인!$D$2:$D$86,$C15)</f>
        <v>105</v>
      </c>
    </row>
    <row r="16" customFormat="false" ht="15" hidden="false" customHeight="false" outlineLevel="0" collapsed="false">
      <c r="A16" s="2" t="s">
        <v>220</v>
      </c>
      <c r="B16" s="18" t="s">
        <v>12</v>
      </c>
      <c r="C16" s="18"/>
      <c r="D16" s="18" t="n">
        <f aca="false">SUMIFS(01_통합반_영상!$K$2:$K$96,01_통합반_영상!$B$2:$B$96,$A16,01_통합반_영상!$C$2:$C$96,$B16)</f>
        <v>280</v>
      </c>
      <c r="E16" s="18" t="n">
        <f aca="false">SUMIFS(02_통합반_오프라인!$J$2:$J$89,02_통합반_오프라인!$B$2:$B$89,$A16,02_통합반_오프라인!$C$2:$C$89,$B16)</f>
        <v>200</v>
      </c>
      <c r="F16" s="18" t="n">
        <f aca="false">SUMIFS(03_실전반_영상!$K$2:$K$82,03_실전반_영상!$B$2:$B$82,$A16,03_실전반_영상!$C$2:$C$82,$B16)</f>
        <v>150</v>
      </c>
      <c r="G16" s="18" t="n">
        <f aca="false">SUMIFS(04_실전반_오프라인!$J$2:$J$86,04_실전반_오프라인!$B$2:$B$86,$A16,04_실전반_오프라인!$C$2:$C$86,$B16)</f>
        <v>185</v>
      </c>
    </row>
    <row r="17" customFormat="false" ht="15" hidden="false" customHeight="false" outlineLevel="0" collapsed="false">
      <c r="A17" s="1" t="s">
        <v>220</v>
      </c>
      <c r="B17" s="20" t="s">
        <v>960</v>
      </c>
      <c r="C17" s="1"/>
      <c r="D17" s="20" t="n">
        <f aca="false">D11+D12+D16</f>
        <v>840</v>
      </c>
      <c r="E17" s="20" t="n">
        <f aca="false">E11+E12+E16</f>
        <v>770</v>
      </c>
      <c r="F17" s="20" t="n">
        <f aca="false">F11+F12+F16</f>
        <v>605</v>
      </c>
      <c r="G17" s="20" t="n">
        <f aca="false">G11+G12+G16</f>
        <v>700</v>
      </c>
    </row>
    <row r="18" customFormat="false" ht="15" hidden="false" customHeight="false" outlineLevel="0" collapsed="false">
      <c r="A18" s="3" t="s">
        <v>319</v>
      </c>
      <c r="B18" s="18" t="s">
        <v>86</v>
      </c>
      <c r="C18" s="18"/>
      <c r="D18" s="18" t="n">
        <f aca="false">SUMIFS(01_통합반_영상!$K$2:$K$96,01_통합반_영상!$B$2:$B$96,$A18,01_통합반_영상!$C$2:$C$96,$B18)</f>
        <v>140</v>
      </c>
      <c r="E18" s="18" t="n">
        <f aca="false">SUMIFS(02_통합반_오프라인!$J$2:$J$89,02_통합반_오프라인!$B$2:$B$89,$A18,02_통합반_오프라인!$C$2:$C$89,$B18)</f>
        <v>145</v>
      </c>
      <c r="F18" s="18" t="n">
        <f aca="false">SUMIFS(03_실전반_영상!$K$2:$K$82,03_실전반_영상!$B$2:$B$82,$A18,03_실전반_영상!$C$2:$C$82,$B18)</f>
        <v>110</v>
      </c>
      <c r="G18" s="18" t="n">
        <f aca="false">SUMIFS(04_실전반_오프라인!$J$2:$J$86,04_실전반_오프라인!$B$2:$B$86,$A18,04_실전반_오프라인!$C$2:$C$86,$B18)</f>
        <v>125</v>
      </c>
    </row>
    <row r="19" customFormat="false" ht="15" hidden="false" customHeight="false" outlineLevel="0" collapsed="false">
      <c r="A19" s="3" t="s">
        <v>319</v>
      </c>
      <c r="B19" s="18" t="s">
        <v>10</v>
      </c>
      <c r="C19" s="18"/>
      <c r="D19" s="18" t="n">
        <f aca="false">SUMIFS(01_통합반_영상!$K$2:$K$96,01_통합반_영상!$B$2:$B$96,$A19,01_통합반_영상!$C$2:$C$96,$B19)</f>
        <v>300</v>
      </c>
      <c r="E19" s="18" t="n">
        <f aca="false">SUMIFS(02_통합반_오프라인!$J$2:$J$89,02_통합반_오프라인!$B$2:$B$89,$A19,02_통합반_오프라인!$C$2:$C$89,$B19)</f>
        <v>305</v>
      </c>
      <c r="F19" s="18" t="n">
        <f aca="false">SUMIFS(03_실전반_영상!$K$2:$K$82,03_실전반_영상!$B$2:$B$82,$A19,03_실전반_영상!$C$2:$C$82,$B19)</f>
        <v>250</v>
      </c>
      <c r="G19" s="18" t="n">
        <f aca="false">SUMIFS(04_실전반_오프라인!$J$2:$J$86,04_실전반_오프라인!$B$2:$B$86,$A19,04_실전반_오프라인!$C$2:$C$86,$B19)</f>
        <v>285</v>
      </c>
    </row>
    <row r="20" customFormat="false" ht="15" hidden="false" customHeight="false" outlineLevel="0" collapsed="false">
      <c r="A20" s="24" t="s">
        <v>319</v>
      </c>
      <c r="B20" s="22" t="s">
        <v>10</v>
      </c>
      <c r="C20" s="23" t="s">
        <v>32</v>
      </c>
      <c r="D20" s="22" t="n">
        <f aca="false">SUMIFS(01_통합반_영상!$K$2:$K$96,01_통합반_영상!$B$2:$B$96,$A20,01_통합반_영상!$C$2:$C$96,$B20,01_통합반_영상!$D$2:$D$96,$C20)</f>
        <v>120</v>
      </c>
      <c r="E20" s="22" t="n">
        <f aca="false">SUMIFS(02_통합반_오프라인!$J$2:$J$89,02_통합반_오프라인!$B$2:$B$89,$A20,02_통합반_오프라인!$C$2:$C$89,$B20,02_통합반_오프라인!$D$2:$D$89,$C20)</f>
        <v>125</v>
      </c>
      <c r="F20" s="22" t="n">
        <f aca="false">SUMIFS(03_실전반_영상!$K$2:$K$82,03_실전반_영상!$B$2:$B$82,$A20,03_실전반_영상!$C$2:$C$82,$B20,03_실전반_영상!$D$2:$D$82,$C20)</f>
        <v>100</v>
      </c>
      <c r="G20" s="22" t="n">
        <f aca="false">SUMIFS(04_실전반_오프라인!$J$2:$J$86,04_실전반_오프라인!$B$2:$B$86,$A20,04_실전반_오프라인!$C$2:$C$86,$B20,04_실전반_오프라인!$D$2:$D$86,$C20)</f>
        <v>115</v>
      </c>
    </row>
    <row r="21" customFormat="false" ht="15" hidden="false" customHeight="false" outlineLevel="0" collapsed="false">
      <c r="A21" s="24" t="s">
        <v>319</v>
      </c>
      <c r="B21" s="22" t="s">
        <v>10</v>
      </c>
      <c r="C21" s="23" t="s">
        <v>149</v>
      </c>
      <c r="D21" s="22" t="n">
        <f aca="false">SUMIFS(01_통합반_영상!$K$2:$K$96,01_통합반_영상!$B$2:$B$96,$A21,01_통합반_영상!$C$2:$C$96,$B21,01_통합반_영상!$D$2:$D$96,$C21)</f>
        <v>90</v>
      </c>
      <c r="E21" s="22" t="n">
        <f aca="false">SUMIFS(02_통합반_오프라인!$J$2:$J$89,02_통합반_오프라인!$B$2:$B$89,$A21,02_통합반_오프라인!$C$2:$C$89,$B21,02_통합반_오프라인!$D$2:$D$89,$C21)</f>
        <v>90</v>
      </c>
      <c r="F21" s="22" t="n">
        <f aca="false">SUMIFS(03_실전반_영상!$K$2:$K$82,03_실전반_영상!$B$2:$B$82,$A21,03_실전반_영상!$C$2:$C$82,$B21,03_실전반_영상!$D$2:$D$82,$C21)</f>
        <v>75</v>
      </c>
      <c r="G21" s="22" t="n">
        <f aca="false">SUMIFS(04_실전반_오프라인!$J$2:$J$86,04_실전반_오프라인!$B$2:$B$86,$A21,04_실전반_오프라인!$C$2:$C$86,$B21,04_실전반_오프라인!$D$2:$D$86,$C21)</f>
        <v>85</v>
      </c>
    </row>
    <row r="22" customFormat="false" ht="15" hidden="false" customHeight="false" outlineLevel="0" collapsed="false">
      <c r="A22" s="24" t="s">
        <v>319</v>
      </c>
      <c r="B22" s="22" t="s">
        <v>10</v>
      </c>
      <c r="C22" s="23" t="s">
        <v>166</v>
      </c>
      <c r="D22" s="22" t="n">
        <f aca="false">SUMIFS(01_통합반_영상!$K$2:$K$96,01_통합반_영상!$B$2:$B$96,$A22,01_통합반_영상!$C$2:$C$96,$B22,01_통합반_영상!$D$2:$D$96,$C22)</f>
        <v>90</v>
      </c>
      <c r="E22" s="22" t="n">
        <f aca="false">SUMIFS(02_통합반_오프라인!$J$2:$J$89,02_통합반_오프라인!$B$2:$B$89,$A22,02_통합반_오프라인!$C$2:$C$89,$B22,02_통합반_오프라인!$D$2:$D$89,$C22)</f>
        <v>90</v>
      </c>
      <c r="F22" s="22" t="n">
        <f aca="false">SUMIFS(03_실전반_영상!$K$2:$K$82,03_실전반_영상!$B$2:$B$82,$A22,03_실전반_영상!$C$2:$C$82,$B22,03_실전반_영상!$D$2:$D$82,$C22)</f>
        <v>75</v>
      </c>
      <c r="G22" s="22" t="n">
        <f aca="false">SUMIFS(04_실전반_오프라인!$J$2:$J$86,04_실전반_오프라인!$B$2:$B$86,$A22,04_실전반_오프라인!$C$2:$C$86,$B22,04_실전반_오프라인!$D$2:$D$86,$C22)</f>
        <v>85</v>
      </c>
    </row>
    <row r="23" customFormat="false" ht="15" hidden="false" customHeight="false" outlineLevel="0" collapsed="false">
      <c r="A23" s="3" t="s">
        <v>319</v>
      </c>
      <c r="B23" s="18" t="s">
        <v>12</v>
      </c>
      <c r="C23" s="18"/>
      <c r="D23" s="18" t="n">
        <f aca="false">SUMIFS(01_통합반_영상!$K$2:$K$96,01_통합반_영상!$B$2:$B$96,$A23,01_통합반_영상!$C$2:$C$96,$B23)</f>
        <v>170</v>
      </c>
      <c r="E23" s="18" t="n">
        <f aca="false">SUMIFS(02_통합반_오프라인!$J$2:$J$89,02_통합반_오프라인!$B$2:$B$89,$A23,02_통합반_오프라인!$C$2:$C$89,$B23)</f>
        <v>145</v>
      </c>
      <c r="F23" s="18" t="n">
        <f aca="false">SUMIFS(03_실전반_영상!$K$2:$K$82,03_실전반_영상!$B$2:$B$82,$A23,03_실전반_영상!$C$2:$C$82,$B23)</f>
        <v>85</v>
      </c>
      <c r="G23" s="18" t="n">
        <f aca="false">SUMIFS(04_실전반_오프라인!$J$2:$J$86,04_실전반_오프라인!$B$2:$B$86,$A23,04_실전반_오프라인!$C$2:$C$86,$B23)</f>
        <v>135</v>
      </c>
    </row>
    <row r="24" customFormat="false" ht="15" hidden="false" customHeight="false" outlineLevel="0" collapsed="false">
      <c r="A24" s="25" t="s">
        <v>319</v>
      </c>
      <c r="B24" s="20" t="s">
        <v>960</v>
      </c>
      <c r="C24" s="1"/>
      <c r="D24" s="20" t="n">
        <f aca="false">D18+D19+D23</f>
        <v>610</v>
      </c>
      <c r="E24" s="20" t="n">
        <f aca="false">E18+E19+E23</f>
        <v>595</v>
      </c>
      <c r="F24" s="20" t="n">
        <f aca="false">F18+F19+F23</f>
        <v>445</v>
      </c>
      <c r="G24" s="20" t="n">
        <f aca="false">G18+G19+G23</f>
        <v>545</v>
      </c>
    </row>
    <row r="25" customFormat="false" ht="15" hidden="false" customHeight="false" outlineLevel="0" collapsed="false">
      <c r="A25" s="2" t="s">
        <v>388</v>
      </c>
      <c r="B25" s="18" t="s">
        <v>388</v>
      </c>
      <c r="C25" s="18"/>
      <c r="D25" s="18" t="n">
        <f aca="false">SUMIFS(01_통합반_영상!$K$2:$K$96,01_통합반_영상!$B$2:$B$96,$A25,01_통합반_영상!$C$2:$C$96,$B25)</f>
        <v>40</v>
      </c>
      <c r="E25" s="18" t="n">
        <f aca="false">SUMIFS(02_통합반_오프라인!$J$2:$J$89,02_통합반_오프라인!$B$2:$B$89,$A25,02_통합반_오프라인!$C$2:$C$89,$B25)</f>
        <v>40</v>
      </c>
      <c r="F25" s="18" t="n">
        <f aca="false">SUMIFS(03_실전반_영상!$K$2:$K$82,03_실전반_영상!$B$2:$B$82,$A25,03_실전반_영상!$C$2:$C$82,$B25)</f>
        <v>30</v>
      </c>
      <c r="G25" s="18" t="n">
        <f aca="false">SUMIFS(04_실전반_오프라인!$J$2:$J$86,04_실전반_오프라인!$B$2:$B$86,$A25,04_실전반_오프라인!$C$2:$C$86,$B25)</f>
        <v>30</v>
      </c>
    </row>
    <row r="26" customFormat="false" ht="15" hidden="false" customHeight="false" outlineLevel="0" collapsed="false">
      <c r="A26" s="1" t="s">
        <v>388</v>
      </c>
      <c r="B26" s="20" t="s">
        <v>960</v>
      </c>
      <c r="C26" s="1"/>
      <c r="D26" s="20" t="n">
        <f aca="false">D25</f>
        <v>40</v>
      </c>
      <c r="E26" s="20" t="n">
        <f aca="false">E25</f>
        <v>40</v>
      </c>
      <c r="F26" s="20" t="n">
        <f aca="false">F25</f>
        <v>30</v>
      </c>
      <c r="G26" s="20" t="n">
        <f aca="false">G25</f>
        <v>30</v>
      </c>
    </row>
    <row r="27" customFormat="false" ht="15" hidden="false" customHeight="false" outlineLevel="0" collapsed="false">
      <c r="A27" s="1" t="s">
        <v>961</v>
      </c>
      <c r="D27" s="20" t="n">
        <f aca="false">D3+D10+D17+D24+D26</f>
        <v>2640</v>
      </c>
      <c r="E27" s="20" t="n">
        <f aca="false">E3+E10+E17+E24+E26</f>
        <v>2520</v>
      </c>
      <c r="F27" s="20" t="n">
        <f aca="false">F3+F10+F17+F24+F26</f>
        <v>1920</v>
      </c>
      <c r="G27" s="20" t="n">
        <f aca="false">G3+G10+G17+G24+G26</f>
        <v>2280</v>
      </c>
    </row>
    <row r="28" customFormat="false" ht="15" hidden="false" customHeight="false" outlineLevel="0" collapsed="false">
      <c r="A28" s="1" t="s">
        <v>962</v>
      </c>
      <c r="D28" s="7" t="n">
        <v>2640</v>
      </c>
      <c r="E28" s="7" t="n">
        <v>2520</v>
      </c>
      <c r="F28" s="7" t="n">
        <v>1920</v>
      </c>
      <c r="G28" s="7" t="n">
        <v>2280</v>
      </c>
    </row>
    <row r="29" customFormat="false" ht="29.85" hidden="false" customHeight="false" outlineLevel="0" collapsed="false">
      <c r="A29" s="1" t="s">
        <v>963</v>
      </c>
      <c r="D29" s="20" t="n">
        <f aca="false">D27-D28</f>
        <v>0</v>
      </c>
      <c r="E29" s="20" t="n">
        <f aca="false">E27-E28</f>
        <v>0</v>
      </c>
      <c r="F29" s="20" t="n">
        <f aca="false">F27-F28</f>
        <v>0</v>
      </c>
      <c r="G29" s="20" t="n">
        <f aca="false">G27-G28</f>
        <v>0</v>
      </c>
    </row>
    <row r="30" customFormat="false" ht="29.85" hidden="false" customHeight="false" outlineLevel="0" collapsed="false">
      <c r="A30" s="1" t="s">
        <v>964</v>
      </c>
      <c r="D30" s="18" t="str">
        <f aca="false">IF(D27=01_통합반_영상!$K$97,"같음","다름")</f>
        <v>같음</v>
      </c>
      <c r="E30" s="18" t="str">
        <f aca="false">IF(E27=02_통합반_오프라인!$J$90,"같음","다름")</f>
        <v>같음</v>
      </c>
      <c r="F30" s="18" t="str">
        <f aca="false">IF(F27=03_실전반_영상!$K$83,"같음","다름")</f>
        <v>같음</v>
      </c>
      <c r="G30" s="18" t="str">
        <f aca="false">IF(G27=04_실전반_오프라인!$J$87,"같음","다름")</f>
        <v>같음</v>
      </c>
    </row>
    <row r="31" customFormat="false" ht="15" hidden="false" customHeight="false" outlineLevel="0" collapsed="false">
      <c r="A31" s="1" t="s">
        <v>395</v>
      </c>
      <c r="D31" s="18" t="n">
        <f aca="false">ROUND(D27/60,1)</f>
        <v>44</v>
      </c>
      <c r="E31" s="18" t="n">
        <f aca="false">ROUND(E27/60,1)</f>
        <v>42</v>
      </c>
      <c r="F31" s="18" t="n">
        <f aca="false">ROUND(F27/60,1)</f>
        <v>32</v>
      </c>
      <c r="G31" s="18" t="n">
        <f aca="false">ROUND(G27/60,1)</f>
        <v>38</v>
      </c>
    </row>
    <row r="33" customFormat="false" ht="15" hidden="false" customHeight="true" outlineLevel="0" collapsed="false">
      <c r="A33" s="1" t="s">
        <v>965</v>
      </c>
      <c r="B33" s="1"/>
      <c r="C33" s="1"/>
      <c r="D33" s="1"/>
      <c r="E33" s="1"/>
      <c r="F33" s="1"/>
      <c r="G33" s="1"/>
    </row>
    <row r="34" customFormat="false" ht="15" hidden="false" customHeight="false" outlineLevel="0" collapsed="false">
      <c r="A34" s="2" t="s">
        <v>85</v>
      </c>
      <c r="D34" s="26" t="n">
        <f aca="false">D10/(D10+D17+D24)</f>
        <v>0.402061855670103</v>
      </c>
      <c r="E34" s="26" t="n">
        <f aca="false">E10/(E10+E17+E24)</f>
        <v>0.403930131004367</v>
      </c>
      <c r="F34" s="26" t="n">
        <f aca="false">F10/(F10+F17+F24)</f>
        <v>0.396551724137931</v>
      </c>
      <c r="G34" s="26" t="n">
        <f aca="false">G10/(G10+G17+G24)</f>
        <v>0.401442307692308</v>
      </c>
    </row>
    <row r="35" customFormat="false" ht="15" hidden="false" customHeight="false" outlineLevel="0" collapsed="false">
      <c r="A35" s="2" t="s">
        <v>220</v>
      </c>
      <c r="D35" s="26" t="n">
        <f aca="false">D17/(D10+D17+D24)</f>
        <v>0.34639175257732</v>
      </c>
      <c r="E35" s="26" t="n">
        <f aca="false">E17/(E10+E17+E24)</f>
        <v>0.336244541484716</v>
      </c>
      <c r="F35" s="26" t="n">
        <f aca="false">F17/(F10+F17+F24)</f>
        <v>0.347701149425287</v>
      </c>
      <c r="G35" s="26" t="n">
        <f aca="false">G17/(G10+G17+G24)</f>
        <v>0.336538461538462</v>
      </c>
    </row>
    <row r="36" customFormat="false" ht="15" hidden="false" customHeight="false" outlineLevel="0" collapsed="false">
      <c r="A36" s="3" t="s">
        <v>319</v>
      </c>
      <c r="D36" s="26" t="n">
        <f aca="false">D24/(D10+D17+D24)</f>
        <v>0.251546391752577</v>
      </c>
      <c r="E36" s="26" t="n">
        <f aca="false">E24/(E10+E17+E24)</f>
        <v>0.259825327510917</v>
      </c>
      <c r="F36" s="26" t="n">
        <f aca="false">F24/(F10+F17+F24)</f>
        <v>0.255747126436782</v>
      </c>
      <c r="G36" s="26" t="n">
        <f aca="false">G24/(G10+G17+G24)</f>
        <v>0.262019230769231</v>
      </c>
    </row>
    <row r="38" customFormat="false" ht="15" hidden="false" customHeight="false" outlineLevel="0" collapsed="false">
      <c r="A38" s="1" t="s">
        <v>966</v>
      </c>
    </row>
    <row r="39" customFormat="false" ht="15" hidden="false" customHeight="true" outlineLevel="0" collapsed="false">
      <c r="A39" s="3" t="s">
        <v>967</v>
      </c>
      <c r="B39" s="3"/>
      <c r="C39" s="3"/>
      <c r="D39" s="7" t="n">
        <v>60</v>
      </c>
      <c r="E39" s="7" t="n">
        <v>60</v>
      </c>
      <c r="F39" s="7" t="n">
        <v>60</v>
      </c>
      <c r="G39" s="7" t="n">
        <v>60</v>
      </c>
    </row>
    <row r="40" customFormat="false" ht="15" hidden="false" customHeight="true" outlineLevel="0" collapsed="false">
      <c r="A40" s="2" t="s">
        <v>968</v>
      </c>
      <c r="B40" s="2"/>
      <c r="C40" s="2"/>
      <c r="D40" s="7" t="n">
        <v>40</v>
      </c>
      <c r="E40" s="7" t="n">
        <v>40</v>
      </c>
      <c r="F40" s="7" t="n">
        <v>30</v>
      </c>
      <c r="G40" s="7" t="n">
        <v>30</v>
      </c>
    </row>
    <row r="42" customFormat="false" ht="30" hidden="false" customHeight="true" outlineLevel="0" collapsed="false">
      <c r="A42" s="2" t="s">
        <v>969</v>
      </c>
      <c r="B42" s="2"/>
      <c r="C42" s="2"/>
      <c r="D42" s="2"/>
      <c r="E42" s="2"/>
      <c r="F42" s="2"/>
      <c r="G42" s="2"/>
    </row>
  </sheetData>
  <mergeCells count="4">
    <mergeCell ref="A33:G33"/>
    <mergeCell ref="A39:C39"/>
    <mergeCell ref="A40:C40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8.19"/>
    <col collapsed="false" customWidth="true" hidden="false" outlineLevel="0" max="2" min="2" style="0" width="90.98"/>
    <col collapsed="false" customWidth="true" hidden="false" outlineLevel="0" max="3" min="3" style="0" width="36.39"/>
  </cols>
  <sheetData>
    <row r="1" customFormat="false" ht="15" hidden="false" customHeight="false" outlineLevel="0" collapsed="false">
      <c r="A1" s="4" t="s">
        <v>970</v>
      </c>
      <c r="B1" s="4" t="s">
        <v>971</v>
      </c>
      <c r="C1" s="4" t="s">
        <v>972</v>
      </c>
    </row>
    <row r="2" customFormat="false" ht="15" hidden="false" customHeight="false" outlineLevel="0" collapsed="false">
      <c r="A2" s="5" t="s">
        <v>973</v>
      </c>
      <c r="B2" s="2" t="s">
        <v>974</v>
      </c>
      <c r="C2" s="3" t="s">
        <v>975</v>
      </c>
    </row>
    <row r="3" customFormat="false" ht="23.85" hidden="false" customHeight="false" outlineLevel="0" collapsed="false">
      <c r="A3" s="5" t="s">
        <v>976</v>
      </c>
      <c r="B3" s="2" t="s">
        <v>977</v>
      </c>
      <c r="C3" s="3" t="s">
        <v>978</v>
      </c>
    </row>
    <row r="4" customFormat="false" ht="15" hidden="false" customHeight="false" outlineLevel="0" collapsed="false">
      <c r="A4" s="5" t="s">
        <v>979</v>
      </c>
      <c r="B4" s="2" t="s">
        <v>980</v>
      </c>
      <c r="C4" s="3" t="s">
        <v>981</v>
      </c>
    </row>
    <row r="5" customFormat="false" ht="15" hidden="false" customHeight="false" outlineLevel="0" collapsed="false">
      <c r="A5" s="5" t="s">
        <v>982</v>
      </c>
      <c r="B5" s="2" t="s">
        <v>983</v>
      </c>
      <c r="C5" s="3" t="s">
        <v>975</v>
      </c>
    </row>
    <row r="6" customFormat="false" ht="15" hidden="false" customHeight="false" outlineLevel="0" collapsed="false">
      <c r="A6" s="5" t="s">
        <v>984</v>
      </c>
      <c r="B6" s="3" t="s">
        <v>985</v>
      </c>
      <c r="C6" s="3" t="s">
        <v>986</v>
      </c>
    </row>
    <row r="7" customFormat="false" ht="23.85" hidden="false" customHeight="false" outlineLevel="0" collapsed="false">
      <c r="A7" s="5" t="s">
        <v>987</v>
      </c>
      <c r="B7" s="2" t="s">
        <v>988</v>
      </c>
      <c r="C7" s="3" t="s">
        <v>989</v>
      </c>
    </row>
    <row r="8" customFormat="false" ht="15" hidden="false" customHeight="false" outlineLevel="0" collapsed="false">
      <c r="A8" s="5" t="s">
        <v>990</v>
      </c>
      <c r="B8" s="2" t="s">
        <v>991</v>
      </c>
      <c r="C8" s="3" t="s">
        <v>992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2026-10-09T07:35:47Z</dcterms:created>
  <dc:creator>openpyxl</dc:creator>
  <dc:description/>
  <dc:language>ko-KR</dc:language>
  <cp:lastModifiedBy/>
  <dcterms:modified xsi:type="dcterms:W3CDTF">2026-10-09T07:35:47Z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