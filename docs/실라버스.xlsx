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과정개요" sheetId="1" state="visible" r:id="rId3"/>
    <sheet name="01_통합반_영상" sheetId="2" state="visible" r:id="rId4"/>
    <sheet name="02_통합반_오프라인" sheetId="3" state="visible" r:id="rId5"/>
    <sheet name="03_실전반_영상" sheetId="4" state="visible" r:id="rId6"/>
    <sheet name="04_실전반_오프라인" sheetId="5" state="visible" r:id="rId7"/>
    <sheet name="05_랩업" sheetId="6" state="visible" r:id="rId8"/>
    <sheet name="06_실습전개순서" sheetId="7" state="visible" r:id="rId9"/>
    <sheet name="07_시간 근거" sheetId="8" state="visible" r:id="rId10"/>
    <sheet name="08_막별 합계" sheetId="9" state="visible" r:id="rId11"/>
    <sheet name="09_근거 출처" sheetId="10" state="visible" r:id="rId12"/>
  </sheets>
  <definedNames>
    <definedName function="false" hidden="true" localSheetId="1" name="_xlnm._FilterDatabase" vbProcedure="false">01_통합반_영상!$A$1:$M$108</definedName>
    <definedName function="false" hidden="true" localSheetId="2" name="_xlnm._FilterDatabase" vbProcedure="false">02_통합반_오프라인!$A$1:$L$108</definedName>
    <definedName function="false" hidden="true" localSheetId="3" name="_xlnm._FilterDatabase" vbProcedure="false">03_실전반_영상!$A$1:$M$105</definedName>
    <definedName function="false" hidden="true" localSheetId="4" name="_xlnm._FilterDatabase" vbProcedure="false">04_실전반_오프라인!$A$1:$L$105</definedName>
    <definedName function="false" hidden="true" localSheetId="7" name="_xlnm._FilterDatabase" vbProcedure="false">'07_시간 근거'!$A$1:$G$552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<sst xmlns="http://schemas.openxmlformats.org/spreadsheetml/2006/main" count="6740" uniqueCount="1406">
  <si>
    <t xml:space="preserve">과정명</t>
  </si>
  <si>
    <r>
      <rPr>
        <sz val="10"/>
        <rFont val="Noto Sans CJK KR"/>
        <family val="2"/>
      </rPr>
      <t xml:space="preserve">온톨로지와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에이전트로 만드는 제조 설비 업무 — 지식으로 판단하고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사람이 한 번 승인하고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시스템이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확인한다</t>
    </r>
  </si>
  <si>
    <t xml:space="preserve">대상</t>
  </si>
  <si>
    <r>
      <rPr>
        <sz val="10"/>
        <rFont val="Noto Sans CJK KR"/>
        <family val="2"/>
      </rPr>
      <t xml:space="preserve">통합반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실전반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코딩도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언어 모델</t>
    </r>
    <r>
      <rPr>
        <sz val="10"/>
        <rFont val="Arial"/>
        <family val="0"/>
        <charset val="1"/>
      </rPr>
      <t xml:space="preserve">(LLM)"</t>
    </r>
    <r>
      <rPr>
        <sz val="10"/>
        <rFont val="Noto Sans CJK KR"/>
        <family val="2"/>
      </rPr>
      <t xml:space="preserve">이라는 말도 처음인 사람 기준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처음부터 끝까지 강사와 함께 한다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혼자 하는 단계 없음</t>
    </r>
    <r>
      <rPr>
        <sz val="10"/>
        <rFont val="Arial"/>
        <family val="0"/>
        <charset val="1"/>
      </rPr>
      <t xml:space="preserve">). AI</t>
    </r>
    <r>
      <rPr>
        <sz val="10"/>
        <rFont val="Noto Sans CJK KR"/>
        <family val="2"/>
      </rPr>
      <t xml:space="preserve">는 수업에서 준 키로 실제로 쓴다</t>
    </r>
    <r>
      <rPr>
        <sz val="10"/>
        <rFont val="Arial"/>
        <family val="0"/>
        <charset val="1"/>
      </rPr>
      <t xml:space="preserve">.</t>
    </r>
  </si>
  <si>
    <t xml:space="preserve">시수</t>
  </si>
  <si>
    <t xml:space="preserve">구성</t>
  </si>
  <si>
    <r>
      <rPr>
        <sz val="10"/>
        <rFont val="Noto Sans CJK KR"/>
        <family val="2"/>
      </rPr>
      <t xml:space="preserve">시작 → 온톨로지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가장 큼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에이전트 → </t>
    </r>
    <r>
      <rPr>
        <sz val="10"/>
        <rFont val="Arial"/>
        <family val="0"/>
        <charset val="1"/>
      </rPr>
      <t xml:space="preserve">BPMN → </t>
    </r>
    <r>
      <rPr>
        <sz val="10"/>
        <rFont val="Noto Sans CJK KR"/>
        <family val="2"/>
      </rPr>
      <t xml:space="preserve">마무리</t>
    </r>
    <r>
      <rPr>
        <sz val="10"/>
        <rFont val="Arial"/>
        <family val="0"/>
        <charset val="1"/>
      </rPr>
      <t xml:space="preserve">(ProcessGPT </t>
    </r>
    <r>
      <rPr>
        <sz val="10"/>
        <rFont val="Noto Sans CJK KR"/>
        <family val="2"/>
      </rPr>
      <t xml:space="preserve">소개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강사 시연만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학생은 쓰지 않음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막 하나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이론 → 포털 → 랩업 한 번씩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섞지 않는다</t>
    </r>
    <r>
      <rPr>
        <sz val="10"/>
        <rFont val="Arial"/>
        <family val="0"/>
        <charset val="1"/>
      </rPr>
      <t xml:space="preserve">.</t>
    </r>
  </si>
  <si>
    <t xml:space="preserve">이론</t>
  </si>
  <si>
    <r>
      <rPr>
        <sz val="10"/>
        <rFont val="Noto Sans CJK KR"/>
        <family val="2"/>
      </rPr>
      <t xml:space="preserve">포털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랩업을 위한 준비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비유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생활 이야기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작은 퀴즈로 재미있게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개념을 차곡차곡 쌓는다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행마다 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앞에서 쌓은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준비하는 뒤 행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외부 도구는 </t>
    </r>
    <r>
      <rPr>
        <sz val="10"/>
        <rFont val="Arial"/>
        <family val="0"/>
        <charset val="1"/>
      </rPr>
      <t xml:space="preserve">arrows.app(</t>
    </r>
    <r>
      <rPr>
        <sz val="10"/>
        <rFont val="Noto Sans CJK KR"/>
        <family val="2"/>
      </rPr>
      <t xml:space="preserve">지식 그리기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</t>
    </r>
    <r>
      <rPr>
        <sz val="10"/>
        <rFont val="Arial"/>
        <family val="0"/>
        <charset val="1"/>
      </rPr>
      <t xml:space="preserve">bpmn.io(</t>
    </r>
    <r>
      <rPr>
        <sz val="10"/>
        <rFont val="Noto Sans CJK KR"/>
        <family val="2"/>
      </rPr>
      <t xml:space="preserve">흐름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규칙표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정말 도움이 되는 곳에서만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그 밖의 해 보기는 종이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포스트잇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.</t>
    </r>
  </si>
  <si>
    <t xml:space="preserve">포털</t>
  </si>
  <si>
    <r>
      <rPr>
        <sz val="10"/>
        <rFont val="Noto Sans CJK KR"/>
        <family val="2"/>
      </rPr>
      <t xml:space="preserve">강사를 따라 한 단계씩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단계마다 개념을 다시 설명한다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처음에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지금까지 배운 것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으로 이론 개념을 포털 단계에 짝짓고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사건별로 막의 모든 단계를 끝까지 간다</t>
    </r>
    <r>
      <rPr>
        <sz val="10"/>
        <rFont val="Arial"/>
        <family val="0"/>
        <charset val="1"/>
      </rPr>
      <t xml:space="preserve">: A </t>
    </r>
    <r>
      <rPr>
        <sz val="10"/>
        <rFont val="Noto Sans CJK KR"/>
        <family val="2"/>
      </rPr>
      <t xml:space="preserve">전부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천천히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자세히</t>
    </r>
    <r>
      <rPr>
        <sz val="10"/>
        <rFont val="Arial"/>
        <family val="0"/>
        <charset val="1"/>
      </rPr>
      <t xml:space="preserve">) → B </t>
    </r>
    <r>
      <rPr>
        <sz val="10"/>
        <rFont val="Noto Sans CJK KR"/>
        <family val="2"/>
      </rPr>
      <t xml:space="preserve">전부 → </t>
    </r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전부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같은 순서로 빠르게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점만 짚기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셋 나란히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앞 사건의 문서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흐름으로 돌아가지 않는다</t>
    </r>
    <r>
      <rPr>
        <sz val="10"/>
        <rFont val="Arial"/>
        <family val="0"/>
        <charset val="1"/>
      </rPr>
      <t xml:space="preserve">.</t>
    </r>
  </si>
  <si>
    <t xml:space="preserve">랩업</t>
  </si>
  <si>
    <r>
      <rPr>
        <sz val="10"/>
        <rFont val="Noto Sans CJK KR"/>
        <family val="2"/>
      </rPr>
      <t xml:space="preserve">포털에서 쓴 같은 기능을 같은 순서로 </t>
    </r>
    <r>
      <rPr>
        <sz val="10"/>
        <rFont val="Arial"/>
        <family val="0"/>
        <charset val="1"/>
      </rPr>
      <t xml:space="preserve">VS Code</t>
    </r>
    <r>
      <rPr>
        <sz val="10"/>
        <rFont val="Noto Sans CJK KR"/>
        <family val="2"/>
      </rPr>
      <t xml:space="preserve">의 조수에게 말로 시켜 만든다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틀린 지시 → 출발본으로 되돌려 고치기를 넣고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끝은 포털과 같은 결과인지 맞춰 본다</t>
    </r>
    <r>
      <rPr>
        <sz val="10"/>
        <rFont val="Arial"/>
        <family val="0"/>
        <charset val="1"/>
      </rPr>
      <t xml:space="preserve">.</t>
    </r>
  </si>
  <si>
    <t xml:space="preserve">세 사건</t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</si>
  <si>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긴급 대응</t>
    </r>
    <r>
      <rPr>
        <sz val="10"/>
        <rFont val="Arial"/>
        <family val="0"/>
        <charset val="1"/>
      </rPr>
      <t xml:space="preserve">: HYD-01 </t>
    </r>
    <r>
      <rPr>
        <sz val="10"/>
        <rFont val="Noto Sans CJK KR"/>
        <family val="2"/>
      </rPr>
      <t xml:space="preserve">쿨러 과열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센서 경보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운전원 승인 → 냉각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→ 재관측 → 결과 보고</t>
    </r>
    <r>
      <rPr>
        <sz val="10"/>
        <rFont val="Arial"/>
        <family val="0"/>
        <charset val="1"/>
      </rPr>
      <t xml:space="preserve">. B </t>
    </r>
    <r>
      <rPr>
        <sz val="10"/>
        <rFont val="Noto Sans CJK KR"/>
        <family val="2"/>
      </rPr>
      <t xml:space="preserve">정기 정비</t>
    </r>
    <r>
      <rPr>
        <sz val="10"/>
        <rFont val="Arial"/>
        <family val="0"/>
        <charset val="1"/>
      </rPr>
      <t xml:space="preserve">: HYD-02 </t>
    </r>
    <r>
      <rPr>
        <sz val="10"/>
        <rFont val="Noto Sans CJK KR"/>
        <family val="2"/>
      </rPr>
      <t xml:space="preserve">운전시간 </t>
    </r>
    <r>
      <rPr>
        <sz val="10"/>
        <rFont val="Arial"/>
        <family val="0"/>
        <charset val="1"/>
      </rPr>
      <t xml:space="preserve">2,000 h </t>
    </r>
    <r>
      <rPr>
        <sz val="10"/>
        <rFont val="Noto Sans CJK KR"/>
        <family val="2"/>
      </rPr>
      <t xml:space="preserve">도래 → 일정 제안 → 설비보전팀장 승인 → 정비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생산팀 공지 → 예정된 정비 시간에 정비 → 시운전 확인 → 결과 보고</t>
    </r>
    <r>
      <rPr>
        <sz val="10"/>
        <rFont val="Arial"/>
        <family val="0"/>
        <charset val="1"/>
      </rPr>
      <t xml:space="preserve">. C </t>
    </r>
    <r>
      <rPr>
        <sz val="10"/>
        <rFont val="Noto Sans CJK KR"/>
        <family val="2"/>
      </rPr>
      <t xml:space="preserve">예비품 구매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씰 키트 재고 기준 이탈 → 발주안 → 구매 담당 승인 → 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메일 → 입고 확인 → 결과 보고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모두 에이전트가 추천안 하나를 제안하고 담당자가 한 번 승인한다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지는 안은 회사 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규칙의 실제 이유로 진다</t>
    </r>
    <r>
      <rPr>
        <sz val="10"/>
        <rFont val="Arial"/>
        <family val="0"/>
        <charset val="1"/>
      </rPr>
      <t xml:space="preserve">.</t>
    </r>
  </si>
  <si>
    <t xml:space="preserve">막을 잇는 줄</t>
  </si>
  <si>
    <r>
      <rPr>
        <sz val="10"/>
        <rFont val="Noto Sans CJK KR"/>
        <family val="2"/>
      </rPr>
      <t xml:space="preserve">지식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온톨로지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에이전트가 그 지식과 지금 값을 쓴다 → 추천안 제안 → 한 번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시스템 실행 → 자동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</t>
    </r>
    <r>
      <rPr>
        <sz val="10"/>
        <rFont val="Arial"/>
        <family val="0"/>
        <charset val="1"/>
      </rPr>
      <t xml:space="preserve">(BPMN). </t>
    </r>
    <r>
      <rPr>
        <sz val="10"/>
        <rFont val="Noto Sans CJK KR"/>
        <family val="2"/>
      </rPr>
      <t xml:space="preserve">막의 끝 결과를 다음 막이 열어 쓴다</t>
    </r>
    <r>
      <rPr>
        <sz val="10"/>
        <rFont val="Arial"/>
        <family val="0"/>
        <charset val="1"/>
      </rPr>
      <t xml:space="preserve">.</t>
    </r>
  </si>
  <si>
    <t xml:space="preserve">시간</t>
  </si>
  <si>
    <r>
      <rPr>
        <sz val="10"/>
        <rFont val="Noto Sans CJK KR"/>
        <family val="2"/>
      </rPr>
      <t xml:space="preserve">시간은 내용이 정한다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한 행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가르칠 내용 하나</t>
    </r>
    <r>
      <rPr>
        <sz val="10"/>
        <rFont val="Arial"/>
        <family val="0"/>
        <charset val="1"/>
      </rPr>
      <t xml:space="preserve">, 50</t>
    </r>
    <r>
      <rPr>
        <sz val="10"/>
        <rFont val="Noto Sans CJK KR"/>
        <family val="2"/>
      </rPr>
      <t xml:space="preserve">분에 맞추려고 덧붙이거나 묶지 않았다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영상은 학생을 기다리지 않고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지점을 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오프라인은 </t>
    </r>
    <r>
      <rPr>
        <sz val="10"/>
        <rFont val="Arial"/>
        <family val="0"/>
        <charset val="1"/>
      </rPr>
      <t xml:space="preserve">20~30</t>
    </r>
    <r>
      <rPr>
        <sz val="10"/>
        <rFont val="Noto Sans CJK KR"/>
        <family val="2"/>
      </rPr>
      <t xml:space="preserve">명이 함께 따라 하는 기다림과 막힌 학생 돕기를 넣었다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실전반은 같은 이야기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같은 순서를 더 짧게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빠진 행은 비고와 </t>
    </r>
    <r>
      <rPr>
        <sz val="10"/>
        <rFont val="Arial"/>
        <family val="0"/>
        <charset val="1"/>
      </rPr>
      <t xml:space="preserve">md</t>
    </r>
    <r>
      <rPr>
        <sz val="10"/>
        <rFont val="Noto Sans CJK KR"/>
        <family val="2"/>
      </rPr>
      <t xml:space="preserve">에 이유를 적었다</t>
    </r>
    <r>
      <rPr>
        <sz val="10"/>
        <rFont val="Arial"/>
        <family val="0"/>
        <charset val="1"/>
      </rPr>
      <t xml:space="preserve">.</t>
    </r>
  </si>
  <si>
    <t xml:space="preserve">색 구분</t>
  </si>
  <si>
    <r>
      <rPr>
        <sz val="10"/>
        <rFont val="Noto Sans CJK KR"/>
        <family val="2"/>
      </rPr>
      <t xml:space="preserve">파란 줄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파트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막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제목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 앞 칸 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회색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시작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마무리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하늘색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이론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연두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노랑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파란 글씨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고칠 수 있는 입력값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검정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수식</t>
    </r>
  </si>
  <si>
    <t xml:space="preserve">파트</t>
  </si>
  <si>
    <t xml:space="preserve">파트 제목</t>
  </si>
  <si>
    <t xml:space="preserve">끝나면 할 수 있는 것</t>
  </si>
  <si>
    <t xml:space="preserve">포털 순서</t>
  </si>
  <si>
    <t xml:space="preserve">쓰는 사건</t>
  </si>
  <si>
    <r>
      <rPr>
        <b val="true"/>
        <sz val="10"/>
        <color rgb="FFFFFFFF"/>
        <rFont val="Noto Sans CJK KR"/>
        <family val="2"/>
      </rPr>
      <t xml:space="preserve">통합 영상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</si>
  <si>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통합 오프라인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</si>
  <si>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실전 영상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</si>
  <si>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실전 오프라인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</si>
  <si>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시작 — 공장의 값이 업무가 되기까지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우리가 끝까지 만들 것을 먼저 본다</t>
    </r>
  </si>
  <si>
    <r>
      <rPr>
        <sz val="10"/>
        <rFont val="Noto Sans CJK KR"/>
        <family val="2"/>
      </rPr>
      <t xml:space="preserve">세 사건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긴급 대응 </t>
    </r>
    <r>
      <rPr>
        <sz val="10"/>
        <rFont val="Arial"/>
        <family val="0"/>
        <charset val="1"/>
      </rPr>
      <t xml:space="preserve">· B </t>
    </r>
    <r>
      <rPr>
        <sz val="10"/>
        <rFont val="Noto Sans CJK KR"/>
        <family val="2"/>
      </rPr>
      <t xml:space="preserve">정기 정비 </t>
    </r>
    <r>
      <rPr>
        <sz val="10"/>
        <rFont val="Arial"/>
        <family val="0"/>
        <charset val="1"/>
      </rPr>
      <t xml:space="preserve">· C </t>
    </r>
    <r>
      <rPr>
        <sz val="10"/>
        <rFont val="Noto Sans CJK KR"/>
        <family val="2"/>
      </rPr>
      <t xml:space="preserve">예비품 구매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누가 알려 주고 누가 승인하는지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말하고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경보 한 건이 결과 보고로 닫히는 전체 모습을 본다</t>
    </r>
    <r>
      <rPr>
        <sz val="10"/>
        <rFont val="Arial"/>
        <family val="0"/>
        <charset val="1"/>
      </rPr>
      <t xml:space="preserve">.</t>
    </r>
  </si>
  <si>
    <t xml:space="preserve">고정 구간</t>
  </si>
  <si>
    <t xml:space="preserve">A</t>
  </si>
  <si>
    <r>
      <rPr>
        <sz val="10"/>
        <rFont val="Noto Sans CJK KR"/>
        <family val="2"/>
      </rPr>
      <t xml:space="preserve">온톨로지 — 문서를 공장의 지식 지도로 만들면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근거를 들고 답한다</t>
    </r>
  </si>
  <si>
    <r>
      <rPr>
        <sz val="10"/>
        <rFont val="Noto Sans CJK KR"/>
        <family val="2"/>
      </rPr>
      <t xml:space="preserve">세 사건의 문서를 하나씩 넣어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올리기 → 구간 → 추출 제안 → 검토 → 등록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같은 틀에 서로 다른 지식을 만들고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그 지식에 물어 근거 붙은 답을 얻고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지금 값의 자리와 회사 목표에 잇는다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같은 단계를 말로 시켜 만들어 본다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</si>
  <si>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A(</t>
    </r>
    <r>
      <rPr>
        <sz val="10"/>
        <rFont val="Noto Sans CJK KR"/>
        <family val="2"/>
      </rPr>
      <t xml:space="preserve">틀 읽기 → 문서 적재 → 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꼭 답할 질문 → 자리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) → B </t>
    </r>
    <r>
      <rPr>
        <sz val="10"/>
        <rFont val="Noto Sans CJK KR"/>
        <family val="2"/>
      </rPr>
      <t xml:space="preserve">같은 순서 → </t>
    </r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같은 순서 → 셋 나란히</t>
    </r>
  </si>
  <si>
    <t xml:space="preserve">A · B · C</t>
  </si>
  <si>
    <r>
      <rPr>
        <sz val="10"/>
        <rFont val="Noto Sans CJK KR"/>
        <family val="2"/>
      </rPr>
      <t xml:space="preserve">에이전트 —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일꾼이 지식 지도와 지금 값을 근거로 추천안 하나를 제안한다</t>
    </r>
  </si>
  <si>
    <r>
      <rPr>
        <sz val="10"/>
        <rFont val="Noto Sans CJK KR"/>
        <family val="2"/>
      </rPr>
      <t xml:space="preserve">세 일꾼을 만들어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지식 지도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도구 서버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지식과 지금 값으로 답하게 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규칙과 손익으로 추천안 하나를 제안받고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정답표로 채점한다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같은 단계를 작은 일꾼으로 만들어 본다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</si>
  <si>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A(</t>
    </r>
    <r>
      <rPr>
        <sz val="10"/>
        <rFont val="Noto Sans CJK KR"/>
        <family val="2"/>
      </rPr>
      <t xml:space="preserve">일꾼 만들기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질문 → 제안 카드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값 바꿔 보기 → 채점</t>
    </r>
    <r>
      <rPr>
        <sz val="10"/>
        <rFont val="Arial"/>
        <family val="0"/>
        <charset val="1"/>
      </rPr>
      <t xml:space="preserve">) → B → C → </t>
    </r>
    <r>
      <rPr>
        <sz val="10"/>
        <rFont val="Noto Sans CJK KR"/>
        <family val="2"/>
      </rPr>
      <t xml:space="preserve">셋 나란히</t>
    </r>
  </si>
  <si>
    <r>
      <rPr>
        <sz val="10"/>
        <rFont val="Arial"/>
        <family val="0"/>
        <charset val="1"/>
      </rPr>
      <t xml:space="preserve">BPMN — </t>
    </r>
    <r>
      <rPr>
        <sz val="10"/>
        <rFont val="Noto Sans CJK KR"/>
        <family val="2"/>
      </rPr>
      <t xml:space="preserve">제안이 한 번 승인되고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실행되고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자동 확인되어야 일이 닫힌다</t>
    </r>
  </si>
  <si>
    <r>
      <rPr>
        <sz val="10"/>
        <rFont val="Noto Sans CJK KR"/>
        <family val="2"/>
      </rPr>
      <t xml:space="preserve">세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일 </t>
    </r>
    <r>
      <rPr>
        <sz val="10"/>
        <rFont val="Arial"/>
        <family val="0"/>
        <charset val="1"/>
      </rPr>
      <t xml:space="preserve">5~6)</t>
    </r>
    <r>
      <rPr>
        <sz val="10"/>
        <rFont val="Noto Sans CJK KR"/>
        <family val="2"/>
      </rPr>
      <t xml:space="preserve">을 그려 올리고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사건을 일으켜 제안 → 한 번 승인 → 실행 → 자동 확인 → 결과 보고로 끝까지 닫고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미달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지연 가지도 밟는다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자동 호출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한 줄 잇기를 만들어 본다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</si>
  <si>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A(</t>
    </r>
    <r>
      <rPr>
        <sz val="10"/>
        <rFont val="Noto Sans CJK KR"/>
        <family val="2"/>
      </rPr>
      <t xml:space="preserve">흐름 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올리기 → 한 건 끝까지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미달 가지</t>
    </r>
    <r>
      <rPr>
        <sz val="10"/>
        <rFont val="Arial"/>
        <family val="0"/>
        <charset val="1"/>
      </rPr>
      <t xml:space="preserve">) → B → C → </t>
    </r>
    <r>
      <rPr>
        <sz val="10"/>
        <rFont val="Noto Sans CJK KR"/>
        <family val="2"/>
      </rPr>
      <t xml:space="preserve">지표 나란히</t>
    </r>
  </si>
  <si>
    <t xml:space="preserve">마무리 — 내가 만든 것이 실제 제품에서는 어디에 있나</t>
  </si>
  <si>
    <r>
      <rPr>
        <sz val="10"/>
        <rFont val="Noto Sans CJK KR"/>
        <family val="2"/>
      </rPr>
      <t xml:space="preserve">내가 만든 지식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흐름이 제품 </t>
    </r>
    <r>
      <rPr>
        <sz val="10"/>
        <rFont val="Arial"/>
        <family val="0"/>
        <charset val="1"/>
      </rPr>
      <t xml:space="preserve">ProcessGPT</t>
    </r>
    <r>
      <rPr>
        <sz val="10"/>
        <rFont val="Noto Sans CJK KR"/>
        <family val="2"/>
      </rPr>
      <t xml:space="preserve">의 어디에 있는지 강사 시연으로 본다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학생 실습 없음</t>
    </r>
    <r>
      <rPr>
        <sz val="10"/>
        <rFont val="Arial"/>
        <family val="0"/>
        <charset val="1"/>
      </rPr>
      <t xml:space="preserve">).</t>
    </r>
  </si>
  <si>
    <t xml:space="preserve">강사 시연</t>
  </si>
  <si>
    <r>
      <rPr>
        <b val="true"/>
        <sz val="10"/>
        <rFont val="Noto Sans CJK KR"/>
        <family val="2"/>
      </rPr>
      <t xml:space="preserve">합계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분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</si>
  <si>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합계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시간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</si>
  <si>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고정 합계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분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</si>
  <si>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차이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분</t>
    </r>
    <r>
      <rPr>
        <b val="true"/>
        <sz val="10"/>
        <rFont val="Arial"/>
        <family val="0"/>
        <charset val="1"/>
      </rPr>
      <t xml:space="preserve">)</t>
    </r>
  </si>
  <si>
    <t xml:space="preserve">시트</t>
  </si>
  <si>
    <r>
      <rPr>
        <sz val="10"/>
        <rFont val="Arial"/>
        <family val="0"/>
        <charset val="1"/>
      </rPr>
      <t xml:space="preserve">01 · 03 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행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영상 한 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개념 설명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시연</t>
    </r>
    <r>
      <rPr>
        <sz val="10"/>
        <rFont val="Arial"/>
        <family val="0"/>
        <charset val="1"/>
      </rPr>
      <t xml:space="preserve">·</t>
    </r>
    <r>
      <rPr>
        <sz val="10"/>
        <rFont val="Noto Sans CJK KR"/>
        <family val="2"/>
      </rPr>
      <t xml:space="preserve">랩업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)) · 02 · 04 </t>
    </r>
    <r>
      <rPr>
        <sz val="10"/>
        <rFont val="Noto Sans CJK KR"/>
        <family val="2"/>
      </rPr>
      <t xml:space="preserve">오프라인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행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학생이 직접 하는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완료 기준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하는 곳</t>
    </r>
    <r>
      <rPr>
        <sz val="10"/>
        <rFont val="Arial"/>
        <family val="0"/>
        <charset val="1"/>
      </rPr>
      <t xml:space="preserve">) · 05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· 06 </t>
    </r>
    <r>
      <rPr>
        <sz val="10"/>
        <rFont val="Noto Sans CJK KR"/>
        <family val="2"/>
      </rPr>
      <t xml:space="preserve">실습 전개 순서 </t>
    </r>
    <r>
      <rPr>
        <sz val="10"/>
        <rFont val="Arial"/>
        <family val="0"/>
        <charset val="1"/>
      </rPr>
      <t xml:space="preserve">· 07 </t>
    </r>
    <r>
      <rPr>
        <sz val="10"/>
        <rFont val="Noto Sans CJK KR"/>
        <family val="2"/>
      </rPr>
      <t xml:space="preserve">시간 근거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부품</t>
    </r>
    <r>
      <rPr>
        <sz val="10"/>
        <rFont val="Arial"/>
        <family val="0"/>
        <charset val="1"/>
      </rPr>
      <t xml:space="preserve">) · 08 </t>
    </r>
    <r>
      <rPr>
        <sz val="10"/>
        <rFont val="Noto Sans CJK KR"/>
        <family val="2"/>
      </rPr>
      <t xml:space="preserve">막별 합계 </t>
    </r>
    <r>
      <rPr>
        <sz val="10"/>
        <rFont val="Arial"/>
        <family val="0"/>
        <charset val="1"/>
      </rPr>
      <t xml:space="preserve">· 09 </t>
    </r>
    <r>
      <rPr>
        <sz val="10"/>
        <rFont val="Noto Sans CJK KR"/>
        <family val="2"/>
      </rPr>
      <t xml:space="preserve">근거 출처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상세 설명은 </t>
    </r>
    <r>
      <rPr>
        <sz val="10"/>
        <rFont val="Arial"/>
        <family val="0"/>
        <charset val="1"/>
      </rPr>
      <t xml:space="preserve">docs/</t>
    </r>
    <r>
      <rPr>
        <sz val="10"/>
        <rFont val="Noto Sans CJK KR"/>
        <family val="2"/>
      </rPr>
      <t xml:space="preserve">실라버스</t>
    </r>
    <r>
      <rPr>
        <sz val="10"/>
        <rFont val="Arial"/>
        <family val="0"/>
        <charset val="1"/>
      </rPr>
      <t xml:space="preserve">.md</t>
    </r>
  </si>
  <si>
    <t xml:space="preserve">No</t>
  </si>
  <si>
    <t xml:space="preserve">구간</t>
  </si>
  <si>
    <t xml:space="preserve">사건</t>
  </si>
  <si>
    <r>
      <rPr>
        <b val="true"/>
        <sz val="10"/>
        <color rgb="FFFFFFFF"/>
        <rFont val="Noto Sans CJK KR"/>
        <family val="2"/>
      </rPr>
      <t xml:space="preserve">행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</si>
  <si>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영상 내용</t>
  </si>
  <si>
    <r>
      <rPr>
        <b val="true"/>
        <sz val="10"/>
        <color rgb="FFFFFFFF"/>
        <rFont val="Noto Sans CJK KR"/>
        <family val="2"/>
      </rPr>
      <t xml:space="preserve">개념 설명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훅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Noto Sans CJK KR"/>
        <family val="2"/>
      </rPr>
      <t xml:space="preserve">앞에서 쌓은 것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Noto Sans CJK KR"/>
        <family val="2"/>
      </rPr>
      <t xml:space="preserve">무엇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Noto Sans CJK KR"/>
        <family val="2"/>
      </rPr>
      <t xml:space="preserve">왜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Noto Sans CJK KR"/>
        <family val="2"/>
      </rPr>
      <t xml:space="preserve">어떻게 → 준비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</si>
  <si>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핵심 기술</t>
  </si>
  <si>
    <t xml:space="preserve">진행 방식</t>
  </si>
  <si>
    <r>
      <rPr>
        <b val="true"/>
        <sz val="10"/>
        <color rgb="FFFFFFFF"/>
        <rFont val="Noto Sans CJK KR"/>
        <family val="2"/>
      </rPr>
      <t xml:space="preserve">개념 설명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</si>
  <si>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시연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Noto Sans CJK KR"/>
        <family val="2"/>
      </rPr>
      <t xml:space="preserve">랩업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</si>
  <si>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시간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</si>
  <si>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비고</t>
  </si>
  <si>
    <t xml:space="preserve">시작</t>
  </si>
  <si>
    <t xml:space="preserve">S1</t>
  </si>
  <si>
    <t xml:space="preserve">배운 것을 다음에 꺼내 쓰려면 남겨야 한다 — 지식 자산화</t>
  </si>
  <si>
    <r>
      <rPr>
        <sz val="10"/>
        <rFont val="Noto Sans CJK KR"/>
        <family val="2"/>
      </rPr>
      <t xml:space="preserve">왜 노트로 남기나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집집마다 다른 요리 노트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남긴 것이 다음 사람의 출발점이 되는 사례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S1b · </t>
    </r>
    <r>
      <rPr>
        <sz val="10"/>
        <rFont val="Noto Sans CJK KR"/>
        <family val="2"/>
      </rPr>
      <t xml:space="preserve">막마다 트랙 되짚기</t>
    </r>
  </si>
  <si>
    <t xml:space="preserve">지식 자산화</t>
  </si>
  <si>
    <t xml:space="preserve">개념 설명</t>
  </si>
  <si>
    <t xml:space="preserve">S1b</t>
  </si>
  <si>
    <r>
      <rPr>
        <sz val="10"/>
        <rFont val="Noto Sans CJK KR"/>
        <family val="2"/>
      </rPr>
      <t xml:space="preserve">과정 노트를 내 </t>
    </r>
    <r>
      <rPr>
        <sz val="10"/>
        <rFont val="Arial"/>
        <family val="0"/>
        <charset val="1"/>
      </rPr>
      <t xml:space="preserve">Notion</t>
    </r>
    <r>
      <rPr>
        <sz val="10"/>
        <rFont val="Noto Sans CJK KR"/>
        <family val="2"/>
      </rPr>
      <t xml:space="preserve">에 만들고 첫 줄을 쓴다</t>
    </r>
  </si>
  <si>
    <r>
      <rPr>
        <sz val="10"/>
        <rFont val="Arial"/>
        <family val="0"/>
        <charset val="1"/>
      </rPr>
      <t xml:space="preserve">Notion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로그인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화면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과정 노트 틀 복제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개념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막힌 곳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해결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첫 줄 쓰기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막마다 노트 쓰는 법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막 끝 트랙 되짚기에서 씀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</si>
  <si>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Notion, </t>
    </r>
    <r>
      <rPr>
        <sz val="10"/>
        <rFont val="Noto Sans CJK KR"/>
        <family val="2"/>
      </rPr>
      <t xml:space="preserve">지식 자산화</t>
    </r>
  </si>
  <si>
    <r>
      <rPr>
        <sz val="10"/>
        <rFont val="Noto Sans CJK KR"/>
        <family val="2"/>
      </rPr>
      <t xml:space="preserve">도구 시연</t>
    </r>
    <r>
      <rPr>
        <sz val="10"/>
        <rFont val="Arial"/>
        <family val="0"/>
        <charset val="1"/>
      </rPr>
      <t xml:space="preserve">(Notion) · </t>
    </r>
    <r>
      <rPr>
        <sz val="10"/>
        <rFont val="Noto Sans CJK KR"/>
        <family val="2"/>
      </rPr>
      <t xml:space="preserve">멈추고 해 보기</t>
    </r>
  </si>
  <si>
    <t xml:space="preserve">S2</t>
  </si>
  <si>
    <r>
      <rPr>
        <sz val="10"/>
        <rFont val="Noto Sans CJK KR"/>
        <family val="2"/>
      </rPr>
      <t xml:space="preserve">앞 수업에서 본 센서 값의 길을 다시 걷는다 — </t>
    </r>
    <r>
      <rPr>
        <sz val="10"/>
        <rFont val="Arial"/>
        <family val="0"/>
        <charset val="1"/>
      </rPr>
      <t xml:space="preserve">SCADA </t>
    </r>
    <r>
      <rPr>
        <sz val="10"/>
        <rFont val="Noto Sans CJK KR"/>
        <family val="2"/>
      </rPr>
      <t xml:space="preserve">되짚기</t>
    </r>
  </si>
  <si>
    <r>
      <rPr>
        <sz val="10"/>
        <rFont val="Noto Sans CJK KR"/>
        <family val="2"/>
      </rPr>
      <t xml:space="preserve">앞 과정 지도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설비 → </t>
    </r>
    <r>
      <rPr>
        <sz val="10"/>
        <rFont val="Arial"/>
        <family val="0"/>
        <charset val="1"/>
      </rPr>
      <t xml:space="preserve">PLC → </t>
    </r>
    <r>
      <rPr>
        <sz val="10"/>
        <rFont val="Noto Sans CJK KR"/>
        <family val="2"/>
      </rPr>
      <t xml:space="preserve">메시지 통로 → 시계열 </t>
    </r>
    <r>
      <rPr>
        <sz val="10"/>
        <rFont val="Arial"/>
        <family val="0"/>
        <charset val="1"/>
      </rPr>
      <t xml:space="preserve">DB → SCADA </t>
    </r>
    <r>
      <rPr>
        <sz val="10"/>
        <rFont val="Noto Sans CJK KR"/>
        <family val="2"/>
      </rPr>
      <t xml:space="preserve">화면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앞 수업 </t>
    </r>
    <r>
      <rPr>
        <sz val="10"/>
        <rFont val="Arial"/>
        <family val="0"/>
        <charset val="1"/>
      </rPr>
      <t xml:space="preserve">SCADA </t>
    </r>
    <r>
      <rPr>
        <sz val="10"/>
        <rFont val="Noto Sans CJK KR"/>
        <family val="2"/>
      </rPr>
      <t xml:space="preserve">화면</t>
    </r>
    <r>
      <rPr>
        <sz val="10"/>
        <rFont val="Arial"/>
        <family val="0"/>
        <charset val="1"/>
      </rPr>
      <t xml:space="preserve">(FUXA)</t>
    </r>
    <r>
      <rPr>
        <sz val="10"/>
        <rFont val="Noto Sans CJK KR"/>
        <family val="2"/>
      </rPr>
      <t xml:space="preserve">과 포털 실시간 모니터링에서 같은 값 찾기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우리 공장 센서 넷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TS1 · </t>
    </r>
    <r>
      <rPr>
        <sz val="10"/>
        <rFont val="Noto Sans CJK KR"/>
        <family val="2"/>
      </rPr>
      <t xml:space="preserve">압력 </t>
    </r>
    <r>
      <rPr>
        <sz val="10"/>
        <rFont val="Arial"/>
        <family val="0"/>
        <charset val="1"/>
      </rPr>
      <t xml:space="preserve">PS1 · </t>
    </r>
    <r>
      <rPr>
        <sz val="10"/>
        <rFont val="Noto Sans CJK KR"/>
        <family val="2"/>
      </rPr>
      <t xml:space="preserve">유량 </t>
    </r>
    <r>
      <rPr>
        <sz val="10"/>
        <rFont val="Arial"/>
        <family val="0"/>
        <charset val="1"/>
      </rPr>
      <t xml:space="preserve">FS1 · </t>
    </r>
    <r>
      <rPr>
        <sz val="10"/>
        <rFont val="Noto Sans CJK KR"/>
        <family val="2"/>
      </rPr>
      <t xml:space="preserve">냉각 효율 </t>
    </r>
    <r>
      <rPr>
        <sz val="10"/>
        <rFont val="Arial"/>
        <family val="0"/>
        <charset val="1"/>
      </rPr>
      <t xml:space="preserve">CE)</t>
    </r>
    <r>
      <rPr>
        <sz val="10"/>
        <rFont val="Noto Sans CJK KR"/>
        <family val="2"/>
      </rPr>
      <t xml:space="preserve">과 운전시간 계수기</t>
    </r>
  </si>
  <si>
    <r>
      <rPr>
        <sz val="10"/>
        <rFont val="Arial"/>
        <family val="0"/>
        <charset val="1"/>
      </rPr>
      <t xml:space="preserve">IIoT · SCADA, </t>
    </r>
    <r>
      <rPr>
        <sz val="10"/>
        <rFont val="Noto Sans CJK KR"/>
        <family val="2"/>
      </rPr>
      <t xml:space="preserve">시계열 값</t>
    </r>
  </si>
  <si>
    <r>
      <rPr>
        <sz val="10"/>
        <rFont val="Noto Sans CJK KR"/>
        <family val="2"/>
      </rPr>
      <t xml:space="preserve">개념 설명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화면 시연</t>
    </r>
  </si>
  <si>
    <t xml:space="preserve">S3</t>
  </si>
  <si>
    <r>
      <rPr>
        <sz val="10"/>
        <rFont val="Noto Sans CJK KR"/>
        <family val="2"/>
      </rPr>
      <t xml:space="preserve">센서 값 위에 지식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업무가 층층이 올라간다 — 이 포털의 구조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</si>
  <si>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건물 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데이터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지식 </t>
    </r>
    <r>
      <rPr>
        <sz val="10"/>
        <rFont val="Arial"/>
        <family val="0"/>
        <charset val="1"/>
      </rPr>
      <t xml:space="preserve">/ AI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업무 흐름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화면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층마다 이번 과정의 어느 막인가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층 사이에 오가는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</si>
  <si>
    <t xml:space="preserve">포털 구조</t>
  </si>
  <si>
    <t xml:space="preserve">S4</t>
  </si>
  <si>
    <t xml:space="preserve">값 하나가 태어나 업무 한 건이 되기까지 따라간다 — 데이터 리니지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</si>
  <si>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택배 송장 추적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출생 → 변환 → 저장 → 소비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TS1 </t>
    </r>
    <r>
      <rPr>
        <sz val="10"/>
        <rFont val="Noto Sans CJK KR"/>
        <family val="2"/>
      </rPr>
      <t xml:space="preserve">하나가 경보 → 처리 건 → 작업지시 기록이 되는 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종이에 그리기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실패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분기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늦게 오면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끊기면</t>
    </r>
    <r>
      <rPr>
        <sz val="10"/>
        <rFont val="Arial"/>
        <family val="0"/>
        <charset val="1"/>
      </rPr>
      <t xml:space="preserve">?)</t>
    </r>
  </si>
  <si>
    <t xml:space="preserve">데이터 리니지</t>
  </si>
  <si>
    <r>
      <rPr>
        <sz val="10"/>
        <rFont val="Noto Sans CJK KR"/>
        <family val="2"/>
      </rPr>
      <t xml:space="preserve">개념 설명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종이 시연</t>
    </r>
  </si>
  <si>
    <t xml:space="preserve">S5</t>
  </si>
  <si>
    <r>
      <rPr>
        <sz val="10"/>
        <rFont val="Noto Sans CJK KR"/>
        <family val="2"/>
      </rPr>
      <t xml:space="preserve">경보 한 건이 제안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확인까지 닫히는 것을 먼저 끝까지 본다 — 우리가 만들 것</t>
    </r>
  </si>
  <si>
    <r>
      <rPr>
        <sz val="10"/>
        <rFont val="Noto Sans CJK KR"/>
        <family val="2"/>
      </rPr>
      <t xml:space="preserve">세 사건 한 줄 이야기 —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긴급 대응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센서가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지금 이상하다</t>
    </r>
    <r>
      <rPr>
        <sz val="10"/>
        <rFont val="Arial"/>
        <family val="0"/>
        <charset val="1"/>
      </rPr>
      <t xml:space="preserve">": HYD-01 </t>
    </r>
    <r>
      <rPr>
        <sz val="10"/>
        <rFont val="Noto Sans CJK KR"/>
        <family val="2"/>
      </rPr>
      <t xml:space="preserve">쿨러 과열</t>
    </r>
    <r>
      <rPr>
        <sz val="10"/>
        <rFont val="Arial"/>
        <family val="0"/>
        <charset val="1"/>
      </rPr>
      <t xml:space="preserve">) · B </t>
    </r>
    <r>
      <rPr>
        <sz val="10"/>
        <rFont val="Noto Sans CJK KR"/>
        <family val="2"/>
      </rPr>
      <t xml:space="preserve">정기 정비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운전시간 계수기가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때가 됐다</t>
    </r>
    <r>
      <rPr>
        <sz val="10"/>
        <rFont val="Arial"/>
        <family val="0"/>
        <charset val="1"/>
      </rPr>
      <t xml:space="preserve">": HYD-02 2,000 h) · C </t>
    </r>
    <r>
      <rPr>
        <sz val="10"/>
        <rFont val="Noto Sans CJK KR"/>
        <family val="2"/>
      </rPr>
      <t xml:space="preserve">예비품 구매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창고 재고가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곧 모자란다</t>
    </r>
    <r>
      <rPr>
        <sz val="10"/>
        <rFont val="Arial"/>
        <family val="0"/>
        <charset val="1"/>
      </rPr>
      <t xml:space="preserve">": </t>
    </r>
    <r>
      <rPr>
        <sz val="10"/>
        <rFont val="Noto Sans CJK KR"/>
        <family val="2"/>
      </rPr>
      <t xml:space="preserve">씰 키트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셋 다 같은 뼈대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에이전트가 근거를 모아 추천안 하나를 제안 → 담당자가 한 번 승인 → 시스템 실행 → 시스템이 자동 확인 → 결과 보고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최종 목표 시연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끝까지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강사 화면</t>
    </r>
    <r>
      <rPr>
        <sz val="10"/>
        <rFont val="Arial"/>
        <family val="0"/>
        <charset val="1"/>
      </rPr>
      <t xml:space="preserve">) · "</t>
    </r>
    <r>
      <rPr>
        <sz val="10"/>
        <rFont val="Noto Sans CJK KR"/>
        <family val="2"/>
      </rPr>
      <t xml:space="preserve">이것을 막마다 하나씩 만든다</t>
    </r>
    <r>
      <rPr>
        <sz val="10"/>
        <rFont val="Arial"/>
        <family val="0"/>
        <charset val="1"/>
      </rPr>
      <t xml:space="preserve">"</t>
    </r>
  </si>
  <si>
    <r>
      <rPr>
        <sz val="10"/>
        <rFont val="Noto Sans CJK KR"/>
        <family val="2"/>
      </rPr>
      <t xml:space="preserve">처리 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프로세스 인스턴스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사람 승인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</si>
  <si>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RAISE · W4 · REOBS · CASE</t>
    </r>
  </si>
  <si>
    <t xml:space="preserve">S6</t>
  </si>
  <si>
    <r>
      <rPr>
        <sz val="10"/>
        <rFont val="Noto Sans CJK KR"/>
        <family val="2"/>
      </rPr>
      <t xml:space="preserve">내 </t>
    </r>
    <r>
      <rPr>
        <sz val="10"/>
        <rFont val="Arial"/>
        <family val="0"/>
        <charset val="1"/>
      </rPr>
      <t xml:space="preserve">PC</t>
    </r>
    <r>
      <rPr>
        <sz val="10"/>
        <rFont val="Noto Sans CJK KR"/>
        <family val="2"/>
      </rPr>
      <t xml:space="preserve">에서 포털 메뉴를 직접 열어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무엇을 해도 기준으로 되돌릴 수 있음을 안다</t>
    </r>
  </si>
  <si>
    <r>
      <rPr>
        <sz val="10"/>
        <rFont val="Noto Sans CJK KR"/>
        <family val="2"/>
      </rPr>
      <t xml:space="preserve">포털 메뉴 둘러보기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학생 </t>
    </r>
    <r>
      <rPr>
        <sz val="10"/>
        <rFont val="Arial"/>
        <family val="0"/>
        <charset val="1"/>
      </rPr>
      <t xml:space="preserve">PC</t>
    </r>
    <r>
      <rPr>
        <sz val="10"/>
        <rFont val="Noto Sans CJK KR"/>
        <family val="2"/>
      </rPr>
      <t xml:space="preserve">에서 함께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기준으로 되돌리기를 직접 해 보기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이후 모든 포털 행의 안전장치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</si>
  <si>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기준으로 되돌리기</t>
    </r>
  </si>
  <si>
    <r>
      <rPr>
        <sz val="10"/>
        <rFont val="Noto Sans CJK KR"/>
        <family val="2"/>
      </rPr>
      <t xml:space="preserve">포털 따라 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멈추고 해 보기</t>
    </r>
  </si>
  <si>
    <t xml:space="preserve">온톨로지</t>
  </si>
  <si>
    <t xml:space="preserve">OT1</t>
  </si>
  <si>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는 책을 많이 읽었지만 우리 공장은 모른다 — 언어 모델이 무엇이고 왜 그럴듯하게 틀리나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</si>
  <si>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퀴즈</t>
    </r>
    <r>
      <rPr>
        <sz val="10"/>
        <rFont val="Arial"/>
        <family val="0"/>
        <charset val="1"/>
      </rPr>
      <t xml:space="preserve">: AI</t>
    </r>
    <r>
      <rPr>
        <sz val="10"/>
        <rFont val="Noto Sans CJK KR"/>
        <family val="2"/>
      </rPr>
      <t xml:space="preserve">에게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우리 </t>
    </r>
    <r>
      <rPr>
        <sz val="10"/>
        <rFont val="Arial"/>
        <family val="0"/>
        <charset val="1"/>
      </rPr>
      <t xml:space="preserve">HYD-01 </t>
    </r>
    <r>
      <rPr>
        <sz val="10"/>
        <rFont val="Noto Sans CJK KR"/>
        <family val="2"/>
      </rPr>
      <t xml:space="preserve">쿨러 유온이 왜 올라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라고 물으면</t>
    </r>
    <r>
      <rPr>
        <sz val="10"/>
        <rFont val="Arial"/>
        <family val="0"/>
        <charset val="1"/>
      </rPr>
      <t xml:space="preserve">? — </t>
    </r>
    <r>
      <rPr>
        <sz val="10"/>
        <rFont val="Noto Sans CJK KR"/>
        <family val="2"/>
      </rPr>
      <t xml:space="preserve">아주 자신 있게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그럴듯하게 틀린다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시작에서 본 경보 한 건</t>
    </r>
    <r>
      <rPr>
        <sz val="10"/>
        <rFont val="Arial"/>
        <family val="0"/>
        <charset val="1"/>
      </rPr>
      <t xml:space="preserve">(S5) / </t>
    </r>
    <r>
      <rPr>
        <sz val="10"/>
        <rFont val="Noto Sans CJK KR"/>
        <family val="2"/>
      </rPr>
      <t xml:space="preserve">막 여는 이야기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사건이 이 막에서 얻을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 → 지식</t>
    </r>
    <r>
      <rPr>
        <sz val="10"/>
        <rFont val="Arial"/>
        <family val="0"/>
        <charset val="1"/>
      </rPr>
      <t xml:space="preserve">) · "</t>
    </r>
    <r>
      <rPr>
        <sz val="10"/>
        <rFont val="Noto Sans CJK KR"/>
        <family val="2"/>
      </rPr>
      <t xml:space="preserve">언어 모델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이라는 말 처음 소개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책 수백만 권을 읽은 신입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다음 말 맞히기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배운 것 밖은 모름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그럴듯한 틀린 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환각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사례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공장에서 틀리면 생기는 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OP3 </t>
    </r>
    <r>
      <rPr>
        <sz val="10"/>
        <rFont val="Noto Sans CJK KR"/>
        <family val="2"/>
      </rPr>
      <t xml:space="preserve">적재 전 보류 </t>
    </r>
    <r>
      <rPr>
        <sz val="10"/>
        <rFont val="Arial"/>
        <family val="0"/>
        <charset val="1"/>
      </rPr>
      <t xml:space="preserve">· OL1</t>
    </r>
  </si>
  <si>
    <r>
      <rPr>
        <sz val="10"/>
        <rFont val="Noto Sans CJK KR"/>
        <family val="2"/>
      </rPr>
      <t xml:space="preserve">언어 모델</t>
    </r>
    <r>
      <rPr>
        <sz val="10"/>
        <rFont val="Arial"/>
        <family val="0"/>
        <charset val="1"/>
      </rPr>
      <t xml:space="preserve">(LLM), </t>
    </r>
    <r>
      <rPr>
        <sz val="10"/>
        <rFont val="Noto Sans CJK KR"/>
        <family val="2"/>
      </rPr>
      <t xml:space="preserve">환각</t>
    </r>
  </si>
  <si>
    <t xml:space="preserve">OT2</t>
  </si>
  <si>
    <r>
      <rPr>
        <sz val="10"/>
        <rFont val="Noto Sans CJK KR"/>
        <family val="2"/>
      </rPr>
      <t xml:space="preserve">문서를 찾아 붙여 주는 것만으로는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무엇이 무엇에 닿나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에 답하기 어렵다 — 찾아서 답하기와 그 한계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</si>
  <si>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그럼 매뉴얼을 펼쳐 주면 되지</t>
    </r>
    <r>
      <rPr>
        <sz val="10"/>
        <rFont val="Arial"/>
        <family val="0"/>
        <charset val="1"/>
      </rPr>
      <t xml:space="preserve">?" — </t>
    </r>
    <r>
      <rPr>
        <sz val="10"/>
        <rFont val="Noto Sans CJK KR"/>
        <family val="2"/>
      </rPr>
      <t xml:space="preserve">도서관 사서도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씰 키트가 모자라면 누가 곤란해지나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에는 쩔쩔맨다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언어 모델은 배운 것만 안다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도서관 사서가 관련 쪽을 찾아 펼쳐 준다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찾아 붙여 답하는 순서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질문 → 관련 구절 찾기 → 붙여서 답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잘하는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한 문서 안의 사실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약한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여러 문서에 흩어진 연결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원인 → 조치 → 이익 사슬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그래서 이 과정은 지식 지도를 중심에 두고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문서 찾기는 보조로만 쓴다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OT3 · OL8(</t>
    </r>
    <r>
      <rPr>
        <sz val="10"/>
        <rFont val="Noto Sans CJK KR"/>
        <family val="2"/>
      </rPr>
      <t xml:space="preserve">문서만 찾은 답과 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</si>
  <si>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찾아서 답하기</t>
    </r>
    <r>
      <rPr>
        <sz val="10"/>
        <rFont val="Arial"/>
        <family val="0"/>
        <charset val="1"/>
      </rPr>
      <t xml:space="preserve">(RAG, </t>
    </r>
    <r>
      <rPr>
        <sz val="10"/>
        <rFont val="Noto Sans CJK KR"/>
        <family val="2"/>
      </rPr>
      <t xml:space="preserve">보조</t>
    </r>
    <r>
      <rPr>
        <sz val="10"/>
        <rFont val="Arial"/>
        <family val="0"/>
        <charset val="1"/>
      </rPr>
      <t xml:space="preserve">)</t>
    </r>
  </si>
  <si>
    <t xml:space="preserve">OT3</t>
  </si>
  <si>
    <r>
      <rPr>
        <sz val="10"/>
        <rFont val="Noto Sans CJK KR"/>
        <family val="2"/>
      </rPr>
      <t xml:space="preserve">사물과 관계를 이은 지도는 문서가 못 하는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연결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에 답한다 — 지식 그래프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온톨로지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</si>
  <si>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지하철 노선도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강남에서 시청까지 몇 번 갈아타나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는 책이 아니라 노선도가 한눈에 답한다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찾아 붙이기는 연결에 약하다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지하철 노선도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역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사물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선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무엇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문서 검색과 지도 비교 예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씰 키트가 모자라면 어느 설비의 어느 정비가 늦나</t>
    </r>
    <r>
      <rPr>
        <sz val="10"/>
        <rFont val="Arial"/>
        <family val="0"/>
        <charset val="1"/>
      </rPr>
      <t xml:space="preserve">") · </t>
    </r>
    <r>
      <rPr>
        <sz val="10"/>
        <rFont val="Noto Sans CJK KR"/>
        <family val="2"/>
      </rPr>
      <t xml:space="preserve">공장에 쓰면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OP2 · OP4~OP10 · OL3</t>
    </r>
  </si>
  <si>
    <r>
      <rPr>
        <sz val="10"/>
        <rFont val="Noto Sans CJK KR"/>
        <family val="2"/>
      </rPr>
      <t xml:space="preserve">지식 그래프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온톨로지</t>
    </r>
  </si>
  <si>
    <t xml:space="preserve">OT4</t>
  </si>
  <si>
    <r>
      <rPr>
        <sz val="10"/>
        <rFont val="Noto Sans CJK KR"/>
        <family val="2"/>
      </rPr>
      <t xml:space="preserve">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스키마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내용을 나눠 적으면 누구나 같은 모양으로 지식을 쌓는다 — 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</si>
  <si>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주소록 양식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친구 </t>
    </r>
    <r>
      <rPr>
        <sz val="10"/>
        <rFont val="Arial"/>
        <family val="0"/>
        <charset val="1"/>
      </rPr>
      <t xml:space="preserve">100</t>
    </r>
    <r>
      <rPr>
        <sz val="10"/>
        <rFont val="Noto Sans CJK KR"/>
        <family val="2"/>
      </rPr>
      <t xml:space="preserve">명을 적어도 양식은 한 장 — 양식이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적힌 이름이 내용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노선도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사물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역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관계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선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주소록 양식과 적힌 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틀과 내용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속성으로 둘까 관계로 둘까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메뉴 가격은 속성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손님이 시킨 메뉴는 관계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그리기는 다음 행</t>
    </r>
    <r>
      <rPr>
        <sz val="10"/>
        <rFont val="Arial"/>
        <family val="0"/>
        <charset val="1"/>
      </rPr>
      <t xml:space="preserve">)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OT5 · OP2 </t>
    </r>
    <r>
      <rPr>
        <sz val="10"/>
        <rFont val="Noto Sans CJK KR"/>
        <family val="2"/>
      </rPr>
      <t xml:space="preserve">틀 읽기 </t>
    </r>
    <r>
      <rPr>
        <sz val="10"/>
        <rFont val="Arial"/>
        <family val="0"/>
        <charset val="1"/>
      </rPr>
      <t xml:space="preserve">· OL3</t>
    </r>
  </si>
  <si>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스키마</t>
    </r>
  </si>
  <si>
    <t xml:space="preserve">OT5</t>
  </si>
  <si>
    <r>
      <rPr>
        <sz val="10"/>
        <rFont val="Noto Sans CJK KR"/>
        <family val="2"/>
      </rPr>
      <t xml:space="preserve">동네 카페의 손님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주문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메뉴를 직접 그려 틀을 눈으로 확인한다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</si>
  <si>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내가 단골 카페 주인이 되어 </t>
    </r>
    <r>
      <rPr>
        <sz val="10"/>
        <rFont val="Arial"/>
        <family val="0"/>
        <charset val="1"/>
      </rPr>
      <t xml:space="preserve">5</t>
    </r>
    <r>
      <rPr>
        <sz val="10"/>
        <rFont val="Noto Sans CJK KR"/>
        <family val="2"/>
      </rPr>
      <t xml:space="preserve">분 만에 첫 지식 그래프를 그린다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/ arrows.app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내보내기로 저장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카페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손님 – 주문 – 메뉴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관계도 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짝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이 그림은 </t>
    </r>
    <r>
      <rPr>
        <sz val="10"/>
        <rFont val="Arial"/>
        <family val="0"/>
        <charset val="1"/>
      </rPr>
      <t xml:space="preserve">OT10 · OT11 · OL2</t>
    </r>
    <r>
      <rPr>
        <sz val="10"/>
        <rFont val="Noto Sans CJK KR"/>
        <family val="2"/>
      </rPr>
      <t xml:space="preserve">에서 다시 쓴다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OT10 · OT11 · OL2</t>
    </r>
  </si>
  <si>
    <r>
      <rPr>
        <sz val="10"/>
        <rFont val="Arial"/>
        <family val="0"/>
        <charset val="1"/>
      </rPr>
      <t xml:space="preserve">arrows.app, 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</t>
    </r>
  </si>
  <si>
    <r>
      <rPr>
        <sz val="10"/>
        <rFont val="Noto Sans CJK KR"/>
        <family val="2"/>
      </rPr>
      <t xml:space="preserve">도구 시연</t>
    </r>
    <r>
      <rPr>
        <sz val="10"/>
        <rFont val="Arial"/>
        <family val="0"/>
        <charset val="1"/>
      </rPr>
      <t xml:space="preserve">(arrows.app) · </t>
    </r>
    <r>
      <rPr>
        <sz val="10"/>
        <rFont val="Noto Sans CJK KR"/>
        <family val="2"/>
      </rPr>
      <t xml:space="preserve">멈추고 해 보기</t>
    </r>
  </si>
  <si>
    <t xml:space="preserve">OT6</t>
  </si>
  <si>
    <r>
      <rPr>
        <sz val="10"/>
        <rFont val="Noto Sans CJK KR"/>
        <family val="2"/>
      </rPr>
      <t xml:space="preserve">병원이 진료하듯 고장을 다룬다 —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</si>
  <si>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병원 진료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증상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독감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고장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바이러스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약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자전거 브레이크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끽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카드 맞추기 놀이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틀을 그릴 수 있다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병원 진료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문진 → 검사 → 진단 → 경과 예측 → 처방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관측 → 상태 → 진단 → 예측 → 권고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카드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자전거 브레이크 소리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)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OP2 · OP3 </t>
    </r>
    <r>
      <rPr>
        <sz val="10"/>
        <rFont val="Noto Sans CJK KR"/>
        <family val="2"/>
      </rPr>
      <t xml:space="preserve">검토 </t>
    </r>
    <r>
      <rPr>
        <sz val="10"/>
        <rFont val="Arial"/>
        <family val="0"/>
        <charset val="1"/>
      </rPr>
      <t xml:space="preserve">· OL3</t>
    </r>
  </si>
  <si>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</si>
  <si>
    <t xml:space="preserve">OT7</t>
  </si>
  <si>
    <r>
      <rPr>
        <sz val="10"/>
        <rFont val="Noto Sans CJK KR"/>
        <family val="2"/>
      </rPr>
      <t xml:space="preserve">고치는 정비와 막는 정비 — 고장에 이어지는 조치는 세 갈래다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</si>
  <si>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질문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고장도 안 났는데 정기 점검은 왜 하지</t>
    </r>
    <r>
      <rPr>
        <sz val="10"/>
        <rFont val="Arial"/>
        <family val="0"/>
        <charset val="1"/>
      </rPr>
      <t xml:space="preserve">?" — </t>
    </r>
    <r>
      <rPr>
        <sz val="10"/>
        <rFont val="Noto Sans CJK KR"/>
        <family val="2"/>
      </rPr>
      <t xml:space="preserve">감기에 해열제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치료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 접종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고장은 갑자기 오지 않는다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미리 알아채는 간격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이상이 보인 때부터 멈출 때까지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감기 — 해열제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즉시 완화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원인 치료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근본 조치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예방 접종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세 사건이 어디에 닿나</t>
    </r>
    <r>
      <rPr>
        <sz val="10"/>
        <rFont val="Arial"/>
        <family val="0"/>
        <charset val="1"/>
      </rPr>
      <t xml:space="preserve">: A = </t>
    </r>
    <r>
      <rPr>
        <sz val="10"/>
        <rFont val="Noto Sans CJK KR"/>
        <family val="2"/>
      </rPr>
      <t xml:space="preserve">즉시 완화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부하</t>
    </r>
    <r>
      <rPr>
        <sz val="10"/>
        <rFont val="Arial"/>
        <family val="0"/>
        <charset val="1"/>
      </rPr>
      <t xml:space="preserve">) + </t>
    </r>
    <r>
      <rPr>
        <sz val="10"/>
        <rFont val="Noto Sans CJK KR"/>
        <family val="2"/>
      </rPr>
      <t xml:space="preserve">근본 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핀 세척</t>
    </r>
    <r>
      <rPr>
        <sz val="10"/>
        <rFont val="Arial"/>
        <family val="0"/>
        <charset val="1"/>
      </rPr>
      <t xml:space="preserve">), B = 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(2,000 h </t>
    </r>
    <r>
      <rPr>
        <sz val="10"/>
        <rFont val="Noto Sans CJK KR"/>
        <family val="2"/>
      </rPr>
      <t xml:space="preserve">정기 정비</t>
    </r>
    <r>
      <rPr>
        <sz val="10"/>
        <rFont val="Arial"/>
        <family val="0"/>
        <charset val="1"/>
      </rPr>
      <t xml:space="preserve">), C = </t>
    </r>
    <r>
      <rPr>
        <sz val="10"/>
        <rFont val="Noto Sans CJK KR"/>
        <family val="2"/>
      </rPr>
      <t xml:space="preserve">예방 정비에 쓸 부품을 미리 사 두기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OP3 · OP6(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) · OL3 · OP7</t>
    </r>
  </si>
  <si>
    <r>
      <rPr>
        <sz val="10"/>
        <rFont val="Noto Sans CJK KR"/>
        <family val="2"/>
      </rPr>
      <t xml:space="preserve">고장 유형과 조치 관계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</t>
    </r>
    <r>
      <rPr>
        <sz val="10"/>
        <rFont val="Arial"/>
        <family val="0"/>
        <charset val="1"/>
      </rPr>
      <t xml:space="preserve">)</t>
    </r>
  </si>
  <si>
    <t xml:space="preserve">OT8</t>
  </si>
  <si>
    <r>
      <rPr>
        <sz val="10"/>
        <rFont val="Noto Sans CJK KR"/>
        <family val="2"/>
      </rPr>
      <t xml:space="preserve">순서를 적은 것과 판단을 적은 것을 나눈다 — 절차</t>
    </r>
    <r>
      <rPr>
        <sz val="10"/>
        <rFont val="Arial"/>
        <family val="0"/>
        <charset val="1"/>
      </rPr>
      <t xml:space="preserve">(SOP)</t>
    </r>
    <r>
      <rPr>
        <sz val="10"/>
        <rFont val="Noto Sans CJK KR"/>
        <family val="2"/>
      </rPr>
      <t xml:space="preserve">와 판단 규칙표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</si>
  <si>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라면 레시피와 카페 할인 규칙 — 둘 다 글인데 왜 다르게 적을까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조치에는 절차가 붙는다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순서</t>
    </r>
    <r>
      <rPr>
        <sz val="10"/>
        <rFont val="Arial"/>
        <family val="0"/>
        <charset val="1"/>
      </rPr>
      <t xml:space="preserve">) vs </t>
    </r>
    <r>
      <rPr>
        <sz val="10"/>
        <rFont val="Noto Sans CJK KR"/>
        <family val="2"/>
      </rPr>
      <t xml:space="preserve">식당 할인 규칙표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조건 → 결정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절차의 모양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규칙표의 모양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 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할인 규칙 세 줄을 표로 써 보기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OP3~OP9 </t>
    </r>
    <r>
      <rPr>
        <sz val="10"/>
        <rFont val="Noto Sans CJK KR"/>
        <family val="2"/>
      </rPr>
      <t xml:space="preserve">검토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에이전트 막 포털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</si>
  <si>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절차</t>
    </r>
    <r>
      <rPr>
        <sz val="10"/>
        <rFont val="Arial"/>
        <family val="0"/>
        <charset val="1"/>
      </rPr>
      <t xml:space="preserve">(SOP), </t>
    </r>
    <r>
      <rPr>
        <sz val="10"/>
        <rFont val="Noto Sans CJK KR"/>
        <family val="2"/>
      </rPr>
      <t xml:space="preserve">판단 규칙표</t>
    </r>
  </si>
  <si>
    <t xml:space="preserve">OT9</t>
  </si>
  <si>
    <r>
      <rPr>
        <sz val="10"/>
        <rFont val="Noto Sans CJK KR"/>
        <family val="2"/>
      </rPr>
      <t xml:space="preserve">긴 문서가 지식이 되는 길 — 나누고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뽑고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틀에 맞추고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근거를 남기고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사람이 확인한다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</si>
  <si>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두꺼운 요리책에서 레시피 카드 뽑기</t>
    </r>
    <r>
      <rPr>
        <sz val="10"/>
        <rFont val="Arial"/>
        <family val="0"/>
        <charset val="1"/>
      </rPr>
      <t xml:space="preserve">. "AI</t>
    </r>
    <r>
      <rPr>
        <sz val="10"/>
        <rFont val="Noto Sans CJK KR"/>
        <family val="2"/>
      </rPr>
      <t xml:space="preserve">가 뽑은 표에 틀린 줄이 하나 숨어 있다 — 찾아보세요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요리책에서 레시피 카드를 뽑아 정리함에 꽂기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다섯 단계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나누나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한 번에 읽는 양에 한계 — 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한 번에 외울 수 있는 쪽수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 형광펜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커피머신 설명서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) · AI</t>
    </r>
    <r>
      <rPr>
        <sz val="10"/>
        <rFont val="Noto Sans CJK KR"/>
        <family val="2"/>
      </rPr>
      <t xml:space="preserve">가 뽑은 표를 원문과 대조하는 법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왜 사람이 확인하나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OP3~OP9 · OL5~OL7</t>
    </r>
  </si>
  <si>
    <r>
      <rPr>
        <sz val="10"/>
        <rFont val="Noto Sans CJK KR"/>
        <family val="2"/>
      </rPr>
      <t xml:space="preserve">문서 → 지식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인제스천</t>
    </r>
    <r>
      <rPr>
        <sz val="10"/>
        <rFont val="Arial"/>
        <family val="0"/>
        <charset val="1"/>
      </rPr>
      <t xml:space="preserve">): </t>
    </r>
    <r>
      <rPr>
        <sz val="10"/>
        <rFont val="Noto Sans CJK KR"/>
        <family val="2"/>
      </rPr>
      <t xml:space="preserve">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스키마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사람 검토</t>
    </r>
  </si>
  <si>
    <t xml:space="preserve">OT10</t>
  </si>
  <si>
    <t xml:space="preserve">지도를 손가락으로 따라가듯 질문한다 — 지식 지도에 묻기</t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</si>
  <si>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길찾기 앱처럼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카페 그림에서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철수가 시킨 메뉴의 가격은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을 손가락으로 따라간다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문서가 지식 지도가 되는 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다섯 단계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방금 등록한 지식을 이제 꺼내 쓴다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길찾기 앱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출발 → 환승 → 도착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질문의 모양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그림으로 묻기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손님 –주문→ 메뉴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카페 관계도</t>
    </r>
    <r>
      <rPr>
        <sz val="10"/>
        <rFont val="Arial"/>
        <family val="0"/>
        <charset val="1"/>
      </rPr>
      <t xml:space="preserve">(OT5)</t>
    </r>
    <r>
      <rPr>
        <sz val="10"/>
        <rFont val="Noto Sans CJK KR"/>
        <family val="2"/>
      </rPr>
      <t xml:space="preserve">로 질문 따라가기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두 번째 사용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표로 찾을 때와 비교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지나간 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OP4~OP10 · OL8</t>
    </r>
  </si>
  <si>
    <r>
      <rPr>
        <sz val="10"/>
        <rFont val="Noto Sans CJK KR"/>
        <family val="2"/>
      </rPr>
      <t xml:space="preserve">그래프 질의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경로 질의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근거</t>
    </r>
  </si>
  <si>
    <r>
      <rPr>
        <sz val="10"/>
        <rFont val="Noto Sans CJK KR"/>
        <family val="2"/>
      </rPr>
      <t xml:space="preserve">개념 설명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도구 시연</t>
    </r>
    <r>
      <rPr>
        <sz val="10"/>
        <rFont val="Arial"/>
        <family val="0"/>
        <charset val="1"/>
      </rPr>
      <t xml:space="preserve">(arrows.app)</t>
    </r>
  </si>
  <si>
    <t xml:space="preserve">OT11</t>
  </si>
  <si>
    <t xml:space="preserve">지식이 맞는지는 꼭 답할 질문으로 안다 — 시험 문제를 먼저 정해 두기</t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</si>
  <si>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시험 문제를 먼저 내 두는 선생님 — 관계 하나를 지우면 정답이 사라지는 마술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지도에 물어 답한다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시험 문제를 먼저 정해 두기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꼭 답할 질문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적재 전 보류 사유가 곧 질문이 된다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내 카페 관계도에서 관계 하나 지우면 답이 바뀌나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OP4~OP10 · OL9</t>
    </r>
  </si>
  <si>
    <r>
      <rPr>
        <sz val="10"/>
        <rFont val="Noto Sans CJK KR"/>
        <family val="2"/>
      </rPr>
      <t xml:space="preserve">꼭 답할 질문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골든 질문</t>
    </r>
    <r>
      <rPr>
        <sz val="10"/>
        <rFont val="Arial"/>
        <family val="0"/>
        <charset val="1"/>
      </rPr>
      <t xml:space="preserve">)</t>
    </r>
  </si>
  <si>
    <t xml:space="preserve">OT12</t>
  </si>
  <si>
    <r>
      <rPr>
        <sz val="10"/>
        <rFont val="Noto Sans CJK KR"/>
        <family val="2"/>
      </rPr>
      <t xml:space="preserve">값은 지식에 넣지 않고 자리만 적는다 — 지금 값은 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</si>
  <si>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택배 배송 상태를 노트에 적어 두면 내일도 맞을까</t>
    </r>
    <r>
      <rPr>
        <sz val="10"/>
        <rFont val="Arial"/>
        <family val="0"/>
        <charset val="1"/>
      </rPr>
      <t xml:space="preserve">?" — </t>
    </r>
    <r>
      <rPr>
        <sz val="10"/>
        <rFont val="Noto Sans CJK KR"/>
        <family val="2"/>
      </rPr>
      <t xml:space="preserve">도서관 색인 카드는 책이 아니라 위치를 적는다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지도는 연결을 담는다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답이 지나간 길의 조치를 실제로 하려면 지금 값이 필요하다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도서관 색인 카드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책이 아니라 위치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내 주문 배송 상태는 어느 표 어느 칸</t>
    </r>
    <r>
      <rPr>
        <sz val="10"/>
        <rFont val="Arial"/>
        <family val="0"/>
        <charset val="1"/>
      </rPr>
      <t xml:space="preserve">")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주문표에서 칸 찾기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OP5~OP11 · OL10 · </t>
    </r>
    <r>
      <rPr>
        <sz val="10"/>
        <rFont val="Noto Sans CJK KR"/>
        <family val="2"/>
      </rPr>
      <t xml:space="preserve">에이전트 막</t>
    </r>
  </si>
  <si>
    <r>
      <rPr>
        <sz val="10"/>
        <rFont val="Noto Sans CJK KR"/>
        <family val="2"/>
      </rPr>
      <t xml:space="preserve">값의 자리 연결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데이터 소스 링크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표 구조</t>
    </r>
  </si>
  <si>
    <t xml:space="preserve">OT13</t>
  </si>
  <si>
    <r>
      <rPr>
        <sz val="10"/>
        <rFont val="Noto Sans CJK KR"/>
        <family val="2"/>
      </rPr>
      <t xml:space="preserve">회사가 무엇을 중요하게 보는지 네 관점과 화살표로 그린다 — 전략맵</t>
    </r>
    <r>
      <rPr>
        <sz val="10"/>
        <rFont val="Arial"/>
        <family val="0"/>
        <charset val="1"/>
      </rPr>
      <t xml:space="preserve">(BSC)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</si>
  <si>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건강검진 네 영역 — 몸무게만 보면 놓치는 것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조치에서 결과로 가는 화살표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건강검진 네 영역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내부 프로세스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학습과 성장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원인 → 결과 화살표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동네 카페 전략맵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전략맵 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영상은 읽기까지</t>
    </r>
    <r>
      <rPr>
        <sz val="10"/>
        <rFont val="Arial"/>
        <family val="0"/>
        <charset val="1"/>
      </rPr>
      <t xml:space="preserve">)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OT14 · OP5~OP11 · OL11</t>
    </r>
  </si>
  <si>
    <r>
      <rPr>
        <sz val="10"/>
        <rFont val="Noto Sans CJK KR"/>
        <family val="2"/>
      </rPr>
      <t xml:space="preserve">전략맵</t>
    </r>
    <r>
      <rPr>
        <sz val="10"/>
        <rFont val="Arial"/>
        <family val="0"/>
        <charset val="1"/>
      </rPr>
      <t xml:space="preserve">(BSC), </t>
    </r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(KPI)</t>
    </r>
  </si>
  <si>
    <t xml:space="preserve">OT14</t>
  </si>
  <si>
    <t xml:space="preserve">좋은 지표끼리도 서로 부딪힌다 — 상충을 찾고 세 사건의 지표에서 미리 본다</t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</si>
  <si>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사장님의 고민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빨리 내면 맛이 떨어지고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싼 원두를 쓰면 불만이 는다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관점과 화살표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상충 찾기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빨리 내기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맛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싼 원두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불만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세 사건 지표 미리보기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전력비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팬 수명 </t>
    </r>
    <r>
      <rPr>
        <sz val="10"/>
        <rFont val="Arial"/>
        <family val="0"/>
        <charset val="1"/>
      </rPr>
      <t xml:space="preserve">/ B </t>
    </r>
    <r>
      <rPr>
        <sz val="10"/>
        <rFont val="Noto Sans CJK KR"/>
        <family val="2"/>
      </rPr>
      <t xml:space="preserve">정비 기한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계획 정비 비율 ↔ 생산 손실 </t>
    </r>
    <r>
      <rPr>
        <sz val="10"/>
        <rFont val="Arial"/>
        <family val="0"/>
        <charset val="1"/>
      </rPr>
      <t xml:space="preserve">/ C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 ↔ </t>
    </r>
    <r>
      <rPr>
        <sz val="10"/>
        <rFont val="Noto Sans CJK KR"/>
        <family val="2"/>
      </rPr>
      <t xml:space="preserve">총 구매비 ↔ 공급사 품질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상충이 에이전트 제안의 재료가 된다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OP5~OP11 · </t>
    </r>
    <r>
      <rPr>
        <sz val="10"/>
        <rFont val="Noto Sans CJK KR"/>
        <family val="2"/>
      </rPr>
      <t xml:space="preserve">에이전트 막 포털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)</t>
    </r>
  </si>
  <si>
    <t xml:space="preserve">상충 관계</t>
  </si>
  <si>
    <t xml:space="preserve">되짚기</t>
  </si>
  <si>
    <t xml:space="preserve">OP1</t>
  </si>
  <si>
    <t xml:space="preserve">지금까지 배운 것 — 이론의 개념을 포털에서 할 단계에 하나씩 짝짓는다</t>
  </si>
  <si>
    <r>
      <rPr>
        <sz val="10"/>
        <rFont val="Noto Sans CJK KR"/>
        <family val="2"/>
      </rPr>
      <t xml:space="preserve">한 장 그림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언어 모델의 한계 → 적재 전 보류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→ 틀 읽기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다섯 단계 → 올리기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지도에 묻기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꼭 답할 질문 → 질문과 근거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전략맵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상충 → 업무 데이터 연결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회사 목표 층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 순서 예고</t>
    </r>
    <r>
      <rPr>
        <sz val="10"/>
        <rFont val="Arial"/>
        <family val="0"/>
        <charset val="1"/>
      </rPr>
      <t xml:space="preserve">: A</t>
    </r>
    <r>
      <rPr>
        <sz val="10"/>
        <rFont val="Noto Sans CJK KR"/>
        <family val="2"/>
      </rPr>
      <t xml:space="preserve">를 이 단계 전부로 끝까지 → </t>
    </r>
    <r>
      <rPr>
        <sz val="10"/>
        <rFont val="Arial"/>
        <family val="0"/>
        <charset val="1"/>
      </rPr>
      <t xml:space="preserve">B → C</t>
    </r>
  </si>
  <si>
    <r>
      <rPr>
        <sz val="10"/>
        <rFont val="Noto Sans CJK KR"/>
        <family val="2"/>
      </rPr>
      <t xml:space="preserve">되짚기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이론 → 포털 단계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</si>
  <si>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개념 설명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되짚기</t>
    </r>
    <r>
      <rPr>
        <sz val="10"/>
        <rFont val="Arial"/>
        <family val="0"/>
        <charset val="1"/>
      </rPr>
      <t xml:space="preserve">)</t>
    </r>
  </si>
  <si>
    <t xml:space="preserve">OP2</t>
  </si>
  <si>
    <r>
      <rPr>
        <sz val="10"/>
        <rFont val="Noto Sans CJK KR"/>
        <family val="2"/>
      </rPr>
      <t xml:space="preserve">지식 관리 화면에서 지식의 틀을 읽고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쿨러 과열</t>
    </r>
    <r>
      <rPr>
        <sz val="10"/>
        <rFont val="Arial"/>
        <family val="0"/>
        <charset val="1"/>
      </rPr>
      <t xml:space="preserve">(A)</t>
    </r>
    <r>
      <rPr>
        <sz val="10"/>
        <rFont val="Noto Sans CJK KR"/>
        <family val="2"/>
      </rPr>
      <t xml:space="preserve">이 지도의 어디서 시작하는지 찾는다 </t>
    </r>
    <r>
      <rPr>
        <sz val="10"/>
        <rFont val="Arial"/>
        <family val="0"/>
        <charset val="1"/>
      </rPr>
      <t xml:space="preserve">(A)</t>
    </r>
  </si>
  <si>
    <r>
      <rPr>
        <sz val="10"/>
        <rFont val="Noto Sans CJK KR"/>
        <family val="2"/>
      </rPr>
      <t xml:space="preserve">화면 안내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지식 지도 조작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클래스 구성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수업용 구조판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설비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센서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에서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출발 노드 찾기</t>
    </r>
    <r>
      <rPr>
        <sz val="10"/>
        <rFont val="Arial"/>
        <family val="0"/>
        <charset val="1"/>
      </rPr>
      <t xml:space="preserve">(HYD-01 · </t>
    </r>
    <r>
      <rPr>
        <sz val="10"/>
        <rFont val="Noto Sans CJK KR"/>
        <family val="2"/>
      </rPr>
      <t xml:space="preserve">쿨러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TS1) · </t>
    </r>
    <r>
      <rPr>
        <sz val="10"/>
        <rFont val="Noto Sans CJK KR"/>
        <family val="2"/>
      </rPr>
      <t xml:space="preserve">아직 비어 있는 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세 갈래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확인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(OT4) · </t>
    </r>
    <r>
      <rPr>
        <sz val="10"/>
        <rFont val="Noto Sans CJK KR"/>
        <family val="2"/>
      </rPr>
      <t xml:space="preserve">세 갈래 조치</t>
    </r>
    <r>
      <rPr>
        <sz val="10"/>
        <rFont val="Arial"/>
        <family val="0"/>
        <charset val="1"/>
      </rPr>
      <t xml:space="preserve">(OT7)</t>
    </r>
  </si>
  <si>
    <r>
      <rPr>
        <sz val="10"/>
        <rFont val="Noto Sans CJK KR"/>
        <family val="2"/>
      </rPr>
      <t xml:space="preserve">지식 지도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스키마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클래스 구성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</si>
  <si>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</si>
  <si>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t xml:space="preserve">OP3</t>
  </si>
  <si>
    <r>
      <rPr>
        <sz val="10"/>
        <rFont val="Noto Sans CJK KR"/>
        <family val="2"/>
      </rPr>
      <t xml:space="preserve">쿨러 문서를 넣기 전에는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근거 없음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으로 멈추던 경보가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넣은 뒤에는 원인과 조치를 갖는다 </t>
    </r>
    <r>
      <rPr>
        <sz val="10"/>
        <rFont val="Arial"/>
        <family val="0"/>
        <charset val="1"/>
      </rPr>
      <t xml:space="preserve">(A, </t>
    </r>
    <r>
      <rPr>
        <sz val="10"/>
        <rFont val="Noto Sans CJK KR"/>
        <family val="2"/>
      </rPr>
      <t xml:space="preserve">처음이라 천천히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</si>
  <si>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적재 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쿨러 열화 주입 → 일꾼이 근거 없음으로 보류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보류 사유 읽기</t>
    </r>
    <r>
      <rPr>
        <sz val="10"/>
        <rFont val="Arial"/>
        <family val="0"/>
        <charset val="1"/>
      </rPr>
      <t xml:space="preserve">) · A </t>
    </r>
    <r>
      <rPr>
        <sz val="10"/>
        <rFont val="Noto Sans CJK KR"/>
        <family val="2"/>
      </rPr>
      <t xml:space="preserve">문서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쿨러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팬 매뉴얼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판정 기준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즉시 완화 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함께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올리기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구간 나누기 결과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추출 제안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자동 표시 항목만 원문 대조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새 노드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→ 즉시 완화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근본 조치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근거 없으면 멈춤</t>
    </r>
    <r>
      <rPr>
        <sz val="10"/>
        <rFont val="Arial"/>
        <family val="0"/>
        <charset val="1"/>
      </rPr>
      <t xml:space="preserve">(OT1) · </t>
    </r>
    <r>
      <rPr>
        <sz val="10"/>
        <rFont val="Noto Sans CJK KR"/>
        <family val="2"/>
      </rPr>
      <t xml:space="preserve">틀의 칸</t>
    </r>
    <r>
      <rPr>
        <sz val="10"/>
        <rFont val="Arial"/>
        <family val="0"/>
        <charset val="1"/>
      </rPr>
      <t xml:space="preserve">(OT4) · </t>
    </r>
    <r>
      <rPr>
        <sz val="10"/>
        <rFont val="Noto Sans CJK KR"/>
        <family val="2"/>
      </rPr>
      <t xml:space="preserve">다섯 단계</t>
    </r>
    <r>
      <rPr>
        <sz val="10"/>
        <rFont val="Arial"/>
        <family val="0"/>
        <charset val="1"/>
      </rPr>
      <t xml:space="preserve">(OT9) · </t>
    </r>
    <r>
      <rPr>
        <sz val="10"/>
        <rFont val="Noto Sans CJK KR"/>
        <family val="2"/>
      </rPr>
      <t xml:space="preserve">절차와 금지</t>
    </r>
    <r>
      <rPr>
        <sz val="10"/>
        <rFont val="Arial"/>
        <family val="0"/>
        <charset val="1"/>
      </rPr>
      <t xml:space="preserve">(OT8) · </t>
    </r>
    <r>
      <rPr>
        <sz val="10"/>
        <rFont val="Noto Sans CJK KR"/>
        <family val="2"/>
      </rPr>
      <t xml:space="preserve">사람 확인</t>
    </r>
  </si>
  <si>
    <r>
      <rPr>
        <sz val="10"/>
        <rFont val="Noto Sans CJK KR"/>
        <family val="2"/>
      </rPr>
      <t xml:space="preserve">문서 적재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인제스천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추출 제안 검토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 관계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</si>
  <si>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HOLD · RAISE · EXT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</si>
  <si>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t xml:space="preserve">OP4</t>
  </si>
  <si>
    <r>
      <rPr>
        <sz val="10"/>
        <rFont val="Noto Sans CJK KR"/>
        <family val="2"/>
      </rPr>
      <t xml:space="preserve">쿨러 과열 지식의 길을 끝까지 따라가고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꼭 답할 질문 세 개에 근거를 들고 답하는지 확인한다 </t>
    </r>
    <r>
      <rPr>
        <sz val="10"/>
        <rFont val="Arial"/>
        <family val="0"/>
        <charset val="1"/>
      </rPr>
      <t xml:space="preserve">(A, </t>
    </r>
    <r>
      <rPr>
        <sz val="10"/>
        <rFont val="Noto Sans CJK KR"/>
        <family val="2"/>
      </rPr>
      <t xml:space="preserve">천천히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</si>
  <si>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경보 → 증상 → 원인 → 증거 → 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 → 명령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(OP3</t>
    </r>
    <r>
      <rPr>
        <sz val="10"/>
        <rFont val="Noto Sans CJK KR"/>
        <family val="2"/>
      </rPr>
      <t xml:space="preserve">에서 적은 보류 사유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넣기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답 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답과 근거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원문 구절 읽기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진료 순서</t>
    </r>
    <r>
      <rPr>
        <sz val="10"/>
        <rFont val="Arial"/>
        <family val="0"/>
        <charset val="1"/>
      </rPr>
      <t xml:space="preserve">(OT6) · </t>
    </r>
    <r>
      <rPr>
        <sz val="10"/>
        <rFont val="Noto Sans CJK KR"/>
        <family val="2"/>
      </rPr>
      <t xml:space="preserve">지도에 묻기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</t>
    </r>
    <r>
      <rPr>
        <sz val="10"/>
        <rFont val="Arial"/>
        <family val="0"/>
        <charset val="1"/>
      </rPr>
      <t xml:space="preserve">(OT10) · </t>
    </r>
    <r>
      <rPr>
        <sz val="10"/>
        <rFont val="Noto Sans CJK KR"/>
        <family val="2"/>
      </rPr>
      <t xml:space="preserve">꼭 답할 질문</t>
    </r>
    <r>
      <rPr>
        <sz val="10"/>
        <rFont val="Arial"/>
        <family val="0"/>
        <charset val="1"/>
      </rPr>
      <t xml:space="preserve">(OT11)</t>
    </r>
  </si>
  <si>
    <r>
      <rPr>
        <sz val="10"/>
        <rFont val="Noto Sans CJK KR"/>
        <family val="2"/>
      </rPr>
      <t xml:space="preserve">경로 질의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꼭 답할 질문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근거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원문 구절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</si>
  <si>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</si>
  <si>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t xml:space="preserve">OP5</t>
  </si>
  <si>
    <r>
      <rPr>
        <sz val="10"/>
        <rFont val="Noto Sans CJK KR"/>
        <family val="2"/>
      </rPr>
      <t xml:space="preserve">쿨러 조치에 지금 값의 자리를 잇고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그 조치가 회사 이익의 어디에 닿고 무엇과 부딪히는지 찾는다 </t>
    </r>
    <r>
      <rPr>
        <sz val="10"/>
        <rFont val="Arial"/>
        <family val="0"/>
        <charset val="1"/>
      </rPr>
      <t xml:space="preserve">(A, </t>
    </r>
    <r>
      <rPr>
        <sz val="10"/>
        <rFont val="Noto Sans CJK KR"/>
        <family val="2"/>
      </rPr>
      <t xml:space="preserve">천천히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</si>
  <si>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업무 데이터 연결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유온 시계열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 납기의 자리 잇기 → 조회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지식에는 값 없음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회사 목표 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즉시 완화 → 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전력비 → 영업이익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팬 수명과 부딪힘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 안내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값은 자리만</t>
    </r>
    <r>
      <rPr>
        <sz val="10"/>
        <rFont val="Arial"/>
        <family val="0"/>
        <charset val="1"/>
      </rPr>
      <t xml:space="preserve">(OT12) · </t>
    </r>
    <r>
      <rPr>
        <sz val="10"/>
        <rFont val="Noto Sans CJK KR"/>
        <family val="2"/>
      </rPr>
      <t xml:space="preserve">전략맵 화살표</t>
    </r>
    <r>
      <rPr>
        <sz val="10"/>
        <rFont val="Arial"/>
        <family val="0"/>
        <charset val="1"/>
      </rPr>
      <t xml:space="preserve">(OT13) 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(OT14)</t>
    </r>
  </si>
  <si>
    <r>
      <rPr>
        <sz val="10"/>
        <rFont val="Noto Sans CJK KR"/>
        <family val="2"/>
      </rPr>
      <t xml:space="preserve">업무 데이터 연결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회사 목표 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지표 사슬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)</t>
    </r>
  </si>
  <si>
    <t xml:space="preserve">B</t>
  </si>
  <si>
    <t xml:space="preserve">OP6</t>
  </si>
  <si>
    <r>
      <rPr>
        <sz val="10"/>
        <rFont val="Noto Sans CJK KR"/>
        <family val="2"/>
      </rPr>
      <t xml:space="preserve">정기 점검표를 넣으면 고치는 정비와 다른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막는 정비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가 지식에 생긴다 </t>
    </r>
    <r>
      <rPr>
        <sz val="10"/>
        <rFont val="Arial"/>
        <family val="0"/>
        <charset val="1"/>
      </rPr>
      <t xml:space="preserve">(B,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</si>
  <si>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(A</t>
    </r>
    <r>
      <rPr>
        <sz val="10"/>
        <rFont val="Noto Sans CJK KR"/>
        <family val="2"/>
      </rPr>
      <t xml:space="preserve">와 같은 순서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빠르게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적재 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운전시간 </t>
    </r>
    <r>
      <rPr>
        <sz val="10"/>
        <rFont val="Arial"/>
        <family val="0"/>
        <charset val="1"/>
      </rPr>
      <t xml:space="preserve">+300 h → </t>
    </r>
    <r>
      <rPr>
        <sz val="10"/>
        <rFont val="Noto Sans CJK KR"/>
        <family val="2"/>
      </rPr>
      <t xml:space="preserve">정비 도래 보류 </t>
    </r>
    <r>
      <rPr>
        <sz val="10"/>
        <rFont val="Arial"/>
        <family val="0"/>
        <charset val="1"/>
      </rPr>
      <t xml:space="preserve">· B </t>
    </r>
    <r>
      <rPr>
        <sz val="10"/>
        <rFont val="Noto Sans CJK KR"/>
        <family val="2"/>
      </rPr>
      <t xml:space="preserve">문서</t>
    </r>
    <r>
      <rPr>
        <sz val="10"/>
        <rFont val="Arial"/>
        <family val="0"/>
        <charset val="1"/>
      </rPr>
      <t xml:space="preserve">(OEM </t>
    </r>
    <r>
      <rPr>
        <sz val="10"/>
        <rFont val="Noto Sans CJK KR"/>
        <family val="2"/>
      </rPr>
      <t xml:space="preserve">정기 점검표</t>
    </r>
    <r>
      <rPr>
        <sz val="10"/>
        <rFont val="Arial"/>
        <family val="0"/>
        <charset val="1"/>
      </rPr>
      <t xml:space="preserve">: 2,000 · 4,000 · 8,000 h </t>
    </r>
    <r>
      <rPr>
        <sz val="10"/>
        <rFont val="Noto Sans CJK KR"/>
        <family val="2"/>
      </rPr>
      <t xml:space="preserve">패키지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 </t>
    </r>
    <r>
      <rPr>
        <sz val="10"/>
        <rFont val="Arial"/>
        <family val="0"/>
        <charset val="1"/>
      </rPr>
      <t xml:space="preserve">±10 % = 2,000 h </t>
    </r>
    <r>
      <rPr>
        <sz val="10"/>
        <rFont val="Noto Sans CJK KR"/>
        <family val="2"/>
      </rPr>
      <t xml:space="preserve">앞뒤 </t>
    </r>
    <r>
      <rPr>
        <sz val="10"/>
        <rFont val="Arial"/>
        <family val="0"/>
        <charset val="1"/>
      </rPr>
      <t xml:space="preserve">200 h </t>
    </r>
    <r>
      <rPr>
        <sz val="10"/>
        <rFont val="Noto Sans CJK KR"/>
        <family val="2"/>
      </rPr>
      <t xml:space="preserve">안이면 된다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잔압 해제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정비 전에 배관에 남은 압력 빼기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시운전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정비 뒤 시험 운전 기준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올리기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잔압 해제 전 작업 금지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새 관계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"(</t>
    </r>
    <r>
      <rPr>
        <sz val="10"/>
        <rFont val="Noto Sans CJK KR"/>
        <family val="2"/>
      </rPr>
      <t xml:space="preserve">고장 유형 → 정비 절차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고치는 정비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막는 정비</t>
    </r>
    <r>
      <rPr>
        <sz val="10"/>
        <rFont val="Arial"/>
        <family val="0"/>
        <charset val="1"/>
      </rPr>
      <t xml:space="preserve">(OT7) 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(OT8)</t>
    </r>
  </si>
  <si>
    <r>
      <rPr>
        <sz val="10"/>
        <rFont val="Noto Sans CJK KR"/>
        <family val="2"/>
      </rPr>
      <t xml:space="preserve">문서 적재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예방 조치 관계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</si>
  <si>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HOLD · EXT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</si>
  <si>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t xml:space="preserve">OP7</t>
  </si>
  <si>
    <r>
      <rPr>
        <sz val="10"/>
        <rFont val="Noto Sans CJK KR"/>
        <family val="2"/>
      </rPr>
      <t xml:space="preserve">정기 정비 지식의 길을 따라가면 고장이 일어나기 전에 무엇을 할지 나온다 </t>
    </r>
    <r>
      <rPr>
        <sz val="10"/>
        <rFont val="Arial"/>
        <family val="0"/>
        <charset val="1"/>
      </rPr>
      <t xml:space="preserve">(B,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</si>
  <si>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정비 도래 → 정비 패키지 → 단계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 → 부품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씰 키트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리턴 필터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막는 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허용 오차를 넘기면</t>
    </r>
    <r>
      <rPr>
        <sz val="10"/>
        <rFont val="Arial"/>
        <family val="0"/>
        <charset val="1"/>
      </rPr>
      <t xml:space="preserve">?" </t>
    </r>
    <r>
      <rPr>
        <sz val="10"/>
        <rFont val="Noto Sans CJK KR"/>
        <family val="2"/>
      </rPr>
      <t xml:space="preserve">포함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예방 조치의 길은 고장 앞에서 시작한다</t>
    </r>
    <r>
      <rPr>
        <sz val="10"/>
        <rFont val="Arial"/>
        <family val="0"/>
        <charset val="1"/>
      </rPr>
      <t xml:space="preserve">(OT7)</t>
    </r>
  </si>
  <si>
    <r>
      <rPr>
        <sz val="10"/>
        <rFont val="Noto Sans CJK KR"/>
        <family val="2"/>
      </rPr>
      <t xml:space="preserve">경로 질의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예방 조치 관계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</si>
  <si>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</si>
  <si>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t xml:space="preserve">OP8</t>
  </si>
  <si>
    <r>
      <rPr>
        <sz val="10"/>
        <rFont val="Noto Sans CJK KR"/>
        <family val="2"/>
      </rPr>
      <t xml:space="preserve">정기 정비에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오더의 자리를 잇고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기한 준수와 생산 손실이 부딪히는 것을 본다 </t>
    </r>
    <r>
      <rPr>
        <sz val="10"/>
        <rFont val="Arial"/>
        <family val="0"/>
        <charset val="1"/>
      </rPr>
      <t xml:space="preserve">(B,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</si>
  <si>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인력 자리 잇기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 정비 → 정비 기한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계획 정비 비율 ↔ 생산 손실</t>
    </r>
  </si>
  <si>
    <r>
      <rPr>
        <sz val="10"/>
        <rFont val="Noto Sans CJK KR"/>
        <family val="2"/>
      </rPr>
      <t xml:space="preserve">업무 데이터 연결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지표 사슬</t>
    </r>
  </si>
  <si>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</si>
  <si>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t xml:space="preserve">C</t>
  </si>
  <si>
    <t xml:space="preserve">OP9</t>
  </si>
  <si>
    <r>
      <rPr>
        <sz val="10"/>
        <rFont val="Noto Sans CJK KR"/>
        <family val="2"/>
      </rPr>
      <t xml:space="preserve">예비품 관리 기준서를 넣으면 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 규정이 한 지도에 이어진다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</si>
  <si>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적재 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씰 키트 출고 −</t>
    </r>
    <r>
      <rPr>
        <sz val="10"/>
        <rFont val="Arial"/>
        <family val="0"/>
        <charset val="1"/>
      </rPr>
      <t xml:space="preserve">2 → </t>
    </r>
    <r>
      <rPr>
        <sz val="10"/>
        <rFont val="Noto Sans CJK KR"/>
        <family val="2"/>
      </rPr>
      <t xml:space="preserve">재고 경보 보류 </t>
    </r>
    <r>
      <rPr>
        <sz val="10"/>
        <rFont val="Arial"/>
        <family val="0"/>
        <charset val="1"/>
      </rPr>
      <t xml:space="preserve">· C </t>
    </r>
    <r>
      <rPr>
        <sz val="10"/>
        <rFont val="Noto Sans CJK KR"/>
        <family val="2"/>
      </rPr>
      <t xml:space="preserve">문서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예비품 관리 기준서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재주문점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재고가 이 아래로 떨어지면 주문하는 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총비용 비교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올리기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비승인 공급사에서 사지 않는다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새 노드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공급사 셋의 단가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불량률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여부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씰 키트 — </t>
    </r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가 쓰고 </t>
    </r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가 채운다</t>
    </r>
  </si>
  <si>
    <r>
      <rPr>
        <sz val="10"/>
        <rFont val="Noto Sans CJK KR"/>
        <family val="2"/>
      </rPr>
      <t xml:space="preserve">문서 적재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공급 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 규칙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</si>
  <si>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HOLD · EXT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</si>
  <si>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t xml:space="preserve">OP10</t>
  </si>
  <si>
    <r>
      <rPr>
        <sz val="10"/>
        <rFont val="Noto Sans CJK KR"/>
        <family val="2"/>
      </rPr>
      <t xml:space="preserve">예비품 지식의 길을 따라가면 어느 공급사에서 사면 안 되는지까지 나온다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</si>
  <si>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씰 키트 → 쓰이는 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→ 공급사 셋 → 금지 규칙 → 발주 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</si>
  <si>
    <r>
      <rPr>
        <sz val="10"/>
        <rFont val="Noto Sans CJK KR"/>
        <family val="2"/>
      </rPr>
      <t xml:space="preserve">경로 질의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금지 규칙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</si>
  <si>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</si>
  <si>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t xml:space="preserve">OP11</t>
  </si>
  <si>
    <r>
      <rPr>
        <sz val="10"/>
        <rFont val="Noto Sans CJK KR"/>
        <family val="2"/>
      </rPr>
      <t xml:space="preserve">예비품에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조건의 자리를 잇고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과 총 구매비가 부딪히는 것을 본다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</si>
  <si>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창고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단가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불량률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자리 잇기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발주 → 결품 </t>
    </r>
    <r>
      <rPr>
        <sz val="10"/>
        <rFont val="Arial"/>
        <family val="0"/>
        <charset val="1"/>
      </rPr>
      <t xml:space="preserve">0 ↔ </t>
    </r>
    <r>
      <rPr>
        <sz val="10"/>
        <rFont val="Noto Sans CJK KR"/>
        <family val="2"/>
      </rPr>
      <t xml:space="preserve">총 구매비 ↔ 공급사 품질</t>
    </r>
  </si>
  <si>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</si>
  <si>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t xml:space="preserve">셋 나란히</t>
  </si>
  <si>
    <t xml:space="preserve">OP12</t>
  </si>
  <si>
    <t xml:space="preserve">세 사건의 지식을 나란히 놓으면 틀은 같고 내용이 다르다</t>
  </si>
  <si>
    <r>
      <rPr>
        <sz val="10"/>
        <rFont val="Arial"/>
        <family val="0"/>
        <charset val="1"/>
      </rPr>
      <t xml:space="preserve">A · B · C </t>
    </r>
    <r>
      <rPr>
        <sz val="10"/>
        <rFont val="Noto Sans CJK KR"/>
        <family val="2"/>
      </rPr>
      <t xml:space="preserve">지식 지도 나란히 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같은 클래스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 다른 내용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예방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틀과 내용</t>
    </r>
    <r>
      <rPr>
        <sz val="10"/>
        <rFont val="Arial"/>
        <family val="0"/>
        <charset val="1"/>
      </rPr>
      <t xml:space="preserve">(OT4)</t>
    </r>
  </si>
  <si>
    <t xml:space="preserve">스키마 재사용</t>
  </si>
  <si>
    <t xml:space="preserve">OL1</t>
  </si>
  <si>
    <r>
      <rPr>
        <sz val="10"/>
        <rFont val="Noto Sans CJK KR"/>
        <family val="2"/>
      </rPr>
      <t xml:space="preserve">말로 시켜 만드는 조수와 처음 일한다 — 세 사건 질문을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 물어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우리 공장을 모른다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직접 확인한다</t>
    </r>
  </si>
  <si>
    <r>
      <rPr>
        <sz val="10"/>
        <rFont val="Noto Sans CJK KR"/>
        <family val="2"/>
      </rPr>
      <t xml:space="preserve">말로 시키고 결과를 확인하는 방식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 · VS Code · </t>
    </r>
    <r>
      <rPr>
        <sz val="10"/>
        <rFont val="Noto Sans CJK KR"/>
        <family val="2"/>
      </rPr>
      <t xml:space="preserve">터미널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조수</t>
    </r>
    <r>
      <rPr>
        <sz val="10"/>
        <rFont val="Arial"/>
        <family val="0"/>
        <charset val="1"/>
      </rPr>
      <t xml:space="preserve">(Claude Code) </t>
    </r>
    <r>
      <rPr>
        <sz val="10"/>
        <rFont val="Noto Sans CJK KR"/>
        <family val="2"/>
      </rPr>
      <t xml:space="preserve">첫 사용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첫 지시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사건 질문을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 묻고 답을 파일로 남기기 </t>
    </r>
    <r>
      <rPr>
        <sz val="10"/>
        <rFont val="Arial"/>
        <family val="0"/>
        <charset val="1"/>
      </rPr>
      <t xml:space="preserve">· "</t>
    </r>
    <r>
      <rPr>
        <sz val="10"/>
        <rFont val="Noto Sans CJK KR"/>
        <family val="2"/>
      </rPr>
      <t xml:space="preserve">고쳐도 되나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물음 읽는 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출발본으로 되돌리기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언어 모델</t>
    </r>
    <r>
      <rPr>
        <sz val="10"/>
        <rFont val="Arial"/>
        <family val="0"/>
        <charset val="1"/>
      </rPr>
      <t xml:space="preserve">(OT1) — </t>
    </r>
    <r>
      <rPr>
        <sz val="10"/>
        <rFont val="Noto Sans CJK KR"/>
        <family val="2"/>
      </rPr>
      <t xml:space="preserve">이제 직접 써 본다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</si>
  <si>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언어 모델</t>
    </r>
  </si>
  <si>
    <r>
      <rPr>
        <sz val="10"/>
        <rFont val="Noto Sans CJK KR"/>
        <family val="2"/>
      </rPr>
      <t xml:space="preserve">랩업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말로 시켜 만들기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멈추고 해 보기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</si>
  <si>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</t>
    </r>
  </si>
  <si>
    <t xml:space="preserve">OL2</t>
  </si>
  <si>
    <r>
      <rPr>
        <sz val="10"/>
        <rFont val="Noto Sans CJK KR"/>
        <family val="2"/>
      </rPr>
      <t xml:space="preserve">만든 지식을 그림으로 보는 창을 연다 — 카페 관계도를 그래프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 넣고 읽기</t>
    </r>
  </si>
  <si>
    <r>
      <rPr>
        <sz val="10"/>
        <rFont val="Arial"/>
        <family val="0"/>
        <charset val="1"/>
      </rPr>
      <t xml:space="preserve">Neo4j Browser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 스택에 포함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접속 </t>
    </r>
    <r>
      <rPr>
        <sz val="10"/>
        <rFont val="Arial"/>
        <family val="0"/>
        <charset val="1"/>
      </rPr>
      <t xml:space="preserve">· OT5</t>
    </r>
    <r>
      <rPr>
        <sz val="10"/>
        <rFont val="Noto Sans CJK KR"/>
        <family val="2"/>
      </rPr>
      <t xml:space="preserve">의 카페 관계도를 내보낸 문장</t>
    </r>
    <r>
      <rPr>
        <sz val="10"/>
        <rFont val="Arial"/>
        <family val="0"/>
        <charset val="1"/>
      </rPr>
      <t xml:space="preserve">(Cypher)</t>
    </r>
    <r>
      <rPr>
        <sz val="10"/>
        <rFont val="Noto Sans CJK KR"/>
        <family val="2"/>
      </rPr>
      <t xml:space="preserve">을 붙여 넣어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속성을 눌러 읽기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이 창에서 이후 내가 만든 것을 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(OT4)</t>
    </r>
  </si>
  <si>
    <r>
      <rPr>
        <sz val="10"/>
        <rFont val="Noto Sans CJK KR"/>
        <family val="2"/>
      </rPr>
      <t xml:space="preserve">그래프 </t>
    </r>
    <r>
      <rPr>
        <sz val="10"/>
        <rFont val="Arial"/>
        <family val="0"/>
        <charset val="1"/>
      </rPr>
      <t xml:space="preserve">DB(Neo4j Browser), Cypher</t>
    </r>
  </si>
  <si>
    <r>
      <rPr>
        <sz val="10"/>
        <rFont val="Noto Sans CJK KR"/>
        <family val="2"/>
      </rPr>
      <t xml:space="preserve">도구 시연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멈추고 해 보기</t>
    </r>
  </si>
  <si>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</t>
    </r>
  </si>
  <si>
    <t xml:space="preserve">OL3</t>
  </si>
  <si>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갈래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공급사의 틀을 직접 세운다</t>
    </r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</si>
  <si>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 설명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쪽 → 그래프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의 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제약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같은 설비 이름이 두 번 생기지 않게 하는 규칙 등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 관계 셋 포함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창의 틀 그림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지도의 클래스 구성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빈 그래프 </t>
    </r>
    <r>
      <rPr>
        <sz val="10"/>
        <rFont val="Arial"/>
        <family val="0"/>
        <charset val="1"/>
      </rPr>
      <t xml:space="preserve">DB + </t>
    </r>
    <r>
      <rPr>
        <sz val="10"/>
        <rFont val="Noto Sans CJK KR"/>
        <family val="2"/>
      </rPr>
      <t xml:space="preserve">틀 설명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쪽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(OT4) · </t>
    </r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(OT6) · </t>
    </r>
    <r>
      <rPr>
        <sz val="10"/>
        <rFont val="Noto Sans CJK KR"/>
        <family val="2"/>
      </rPr>
      <t xml:space="preserve">세 갈래 조치</t>
    </r>
    <r>
      <rPr>
        <sz val="10"/>
        <rFont val="Arial"/>
        <family val="0"/>
        <charset val="1"/>
      </rPr>
      <t xml:space="preserve">(OT7)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</si>
  <si>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스키마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제약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</si>
  <si>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L3</t>
    </r>
  </si>
  <si>
    <t xml:space="preserve">OL4</t>
  </si>
  <si>
    <t xml:space="preserve">공장 뼈대를 틀에 채운다 — 두 번 넣어도 같은 결과가 나와야 믿을 수 있다</t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</si>
  <si>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설비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쿨러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씰 키트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리턴 필터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센서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운전시간 계수기 </t>
    </r>
    <r>
      <rPr>
        <sz val="10"/>
        <rFont val="Arial"/>
        <family val="0"/>
        <charset val="1"/>
      </rPr>
      <t xml:space="preserve">CSV </t>
    </r>
    <r>
      <rPr>
        <sz val="10"/>
        <rFont val="Noto Sans CJK KR"/>
        <family val="2"/>
      </rPr>
      <t xml:space="preserve">적재기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두 번 넣어도 노드 수 그대로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중복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잘못된 판단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세 사건 출발 노드가 보임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수업용 구조판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CSV </t>
    </r>
    <r>
      <rPr>
        <sz val="10"/>
        <rFont val="Noto Sans CJK KR"/>
        <family val="2"/>
      </rPr>
      <t xml:space="preserve">몇 줄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틀과 내용</t>
    </r>
    <r>
      <rPr>
        <sz val="10"/>
        <rFont val="Arial"/>
        <family val="0"/>
        <charset val="1"/>
      </rPr>
      <t xml:space="preserve">(OT4)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</si>
  <si>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중복 없는 적재</t>
    </r>
    <r>
      <rPr>
        <sz val="10"/>
        <rFont val="Arial"/>
        <family val="0"/>
        <charset val="1"/>
      </rPr>
      <t xml:space="preserve">(MERGE)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</si>
  <si>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L4</t>
    </r>
  </si>
  <si>
    <t xml:space="preserve">OL5</t>
  </si>
  <si>
    <t xml:space="preserve">세 문서를 절차 중간에서 끊지 않고 나눈다</t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</si>
  <si>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절 단위 나누기</t>
    </r>
    <r>
      <rPr>
        <sz val="10"/>
        <rFont val="Arial"/>
        <family val="0"/>
        <charset val="1"/>
      </rPr>
      <t xml:space="preserve">(A · B · C </t>
    </r>
    <r>
      <rPr>
        <sz val="10"/>
        <rFont val="Noto Sans CJK KR"/>
        <family val="2"/>
      </rPr>
      <t xml:space="preserve">문서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조각과 경계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실물 </t>
    </r>
    <r>
      <rPr>
        <sz val="10"/>
        <rFont val="Arial"/>
        <family val="0"/>
        <charset val="1"/>
      </rPr>
      <t xml:space="preserve">80</t>
    </r>
    <r>
      <rPr>
        <sz val="10"/>
        <rFont val="Noto Sans CJK KR"/>
        <family val="2"/>
      </rPr>
      <t xml:space="preserve">쪽 사례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구간 </t>
    </r>
    <r>
      <rPr>
        <sz val="10"/>
        <rFont val="Arial"/>
        <family val="0"/>
        <charset val="1"/>
      </rPr>
      <t xml:space="preserve">2, 612</t>
    </r>
    <r>
      <rPr>
        <sz val="10"/>
        <rFont val="Noto Sans CJK KR"/>
        <family val="2"/>
      </rPr>
      <t xml:space="preserve">초 — 녹화 압축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 적재의 구간 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문서 텍스트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왜 나누나</t>
    </r>
    <r>
      <rPr>
        <sz val="10"/>
        <rFont val="Arial"/>
        <family val="0"/>
        <charset val="1"/>
      </rPr>
      <t xml:space="preserve">(OT9)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</si>
  <si>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구간 나누기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청킹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</si>
  <si>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LONG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L5</t>
    </r>
  </si>
  <si>
    <t xml:space="preserve">OL6</t>
  </si>
  <si>
    <r>
      <rPr>
        <sz val="10"/>
        <rFont val="Noto Sans CJK KR"/>
        <family val="2"/>
      </rPr>
      <t xml:space="preserve">조각에서 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조치를 뽑되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틀에 맞는 것만 원문 근거와 함께 남긴다</t>
    </r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</si>
  <si>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조각 → 틀에 맞는 항목 추출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문서 각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회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 밖 항목 거절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근거 구간 표시</t>
    </r>
    <r>
      <rPr>
        <sz val="10"/>
        <rFont val="Arial"/>
        <family val="0"/>
        <charset val="1"/>
      </rPr>
      <t xml:space="preserve">, B </t>
    </r>
    <r>
      <rPr>
        <sz val="10"/>
        <rFont val="Noto Sans CJK KR"/>
        <family val="2"/>
      </rPr>
      <t xml:space="preserve">문서에서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관계가 뽑힘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추출 제안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OL5 </t>
    </r>
    <r>
      <rPr>
        <sz val="10"/>
        <rFont val="Noto Sans CJK KR"/>
        <family val="2"/>
      </rPr>
      <t xml:space="preserve">조각 </t>
    </r>
    <r>
      <rPr>
        <sz val="10"/>
        <rFont val="Arial"/>
        <family val="0"/>
        <charset val="1"/>
      </rPr>
      <t xml:space="preserve">+ OL3 </t>
    </r>
    <r>
      <rPr>
        <sz val="10"/>
        <rFont val="Noto Sans CJK KR"/>
        <family val="2"/>
      </rPr>
      <t xml:space="preserve">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뽑기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틀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</t>
    </r>
    <r>
      <rPr>
        <sz val="10"/>
        <rFont val="Arial"/>
        <family val="0"/>
        <charset val="1"/>
      </rPr>
      <t xml:space="preserve">(OT9)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</si>
  <si>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AI </t>
    </r>
    <r>
      <rPr>
        <sz val="10"/>
        <rFont val="Noto Sans CJK KR"/>
        <family val="2"/>
      </rPr>
      <t xml:space="preserve">추출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스키마 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출처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</si>
  <si>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EXT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L6</t>
    </r>
  </si>
  <si>
    <t xml:space="preserve">OL7</t>
  </si>
  <si>
    <r>
      <rPr>
        <sz val="10"/>
        <rFont val="Noto Sans CJK KR"/>
        <family val="2"/>
      </rPr>
      <t xml:space="preserve">사람이 확인한 것만 지식에 잇는다 — 검토하고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고장에 연결하고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등록하고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되돌린다</t>
    </r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</si>
  <si>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검토 목록 → 승인한 것만 등록 → 고장 유형에 연결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안 한 항목은 안 들어감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배치 되돌리기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문서의 지식이 내 그래프에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검토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OL6 </t>
    </r>
    <r>
      <rPr>
        <sz val="10"/>
        <rFont val="Noto Sans CJK KR"/>
        <family val="2"/>
      </rPr>
      <t xml:space="preserve">결과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사람 확인</t>
    </r>
    <r>
      <rPr>
        <sz val="10"/>
        <rFont val="Arial"/>
        <family val="0"/>
        <charset val="1"/>
      </rPr>
      <t xml:space="preserve">(OT9) 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(OT4)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</si>
  <si>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사람 검토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</si>
  <si>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L7</t>
    </r>
  </si>
  <si>
    <t xml:space="preserve">OL8</t>
  </si>
  <si>
    <r>
      <rPr>
        <sz val="10"/>
        <rFont val="Noto Sans CJK KR"/>
        <family val="2"/>
      </rPr>
      <t xml:space="preserve">내 지식 지도에 물어 답하게 하면 답에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어느 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어느 원문 구절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근거로 붙는다</t>
    </r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</si>
  <si>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질문 → 지식 그래프 질의 → 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지나간 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) + </t>
    </r>
    <r>
      <rPr>
        <sz val="10"/>
        <rFont val="Noto Sans CJK KR"/>
        <family val="2"/>
      </rPr>
      <t xml:space="preserve">원문 구절</t>
    </r>
    <r>
      <rPr>
        <sz val="10"/>
        <rFont val="Arial"/>
        <family val="0"/>
        <charset val="1"/>
      </rPr>
      <t xml:space="preserve">(OL6</t>
    </r>
    <r>
      <rPr>
        <sz val="10"/>
        <rFont val="Noto Sans CJK KR"/>
        <family val="2"/>
      </rPr>
      <t xml:space="preserve">에서 남긴 출처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연결 질문</t>
    </r>
    <r>
      <rPr>
        <sz val="10"/>
        <rFont val="Arial"/>
        <family val="0"/>
        <charset val="1"/>
      </rPr>
      <t xml:space="preserve">(A · B · C </t>
    </r>
    <r>
      <rPr>
        <sz val="10"/>
        <rFont val="Noto Sans CJK KR"/>
        <family val="2"/>
      </rPr>
      <t xml:space="preserve">하나씩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 문서만 찾아 붙인 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출발본에 준비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지도 답 비교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꼭 답할 질문의 답과 근거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OL7</t>
    </r>
    <r>
      <rPr>
        <sz val="10"/>
        <rFont val="Noto Sans CJK KR"/>
        <family val="2"/>
      </rPr>
      <t xml:space="preserve">까지 등록된 지식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그래프</t>
    </r>
    <r>
      <rPr>
        <sz val="10"/>
        <rFont val="Arial"/>
        <family val="0"/>
        <charset val="1"/>
      </rPr>
      <t xml:space="preserve">(OT3) · </t>
    </r>
    <r>
      <rPr>
        <sz val="10"/>
        <rFont val="Noto Sans CJK KR"/>
        <family val="2"/>
      </rPr>
      <t xml:space="preserve">지도에 묻기</t>
    </r>
    <r>
      <rPr>
        <sz val="10"/>
        <rFont val="Arial"/>
        <family val="0"/>
        <charset val="1"/>
      </rPr>
      <t xml:space="preserve">(OT10) · </t>
    </r>
    <r>
      <rPr>
        <sz val="10"/>
        <rFont val="Noto Sans CJK KR"/>
        <family val="2"/>
      </rPr>
      <t xml:space="preserve">찾아서 답하기의 한계</t>
    </r>
    <r>
      <rPr>
        <sz val="10"/>
        <rFont val="Arial"/>
        <family val="0"/>
        <charset val="1"/>
      </rPr>
      <t xml:space="preserve">(OT2)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</si>
  <si>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그래프 질의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경로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출처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</si>
  <si>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GQ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L8</t>
    </r>
  </si>
  <si>
    <t xml:space="preserve">OL9</t>
  </si>
  <si>
    <t xml:space="preserve">꼭 답해야 할 질문으로 내 지식을 자동 검사한다 — 관계 하나를 끊으면 잡히는가</t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</si>
  <si>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사건 꼭 답할 질문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사건마다 </t>
    </r>
    <r>
      <rPr>
        <sz val="10"/>
        <rFont val="Arial"/>
        <family val="0"/>
        <charset val="1"/>
      </rPr>
      <t xml:space="preserve">2~3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자동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일부러 끊은 관계에서 검사 실패 → 고치면 통과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꼭 답할 질문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꼭 답할 질문</t>
    </r>
    <r>
      <rPr>
        <sz val="10"/>
        <rFont val="Arial"/>
        <family val="0"/>
        <charset val="1"/>
      </rPr>
      <t xml:space="preserve">(OT11) · </t>
    </r>
    <r>
      <rPr>
        <sz val="10"/>
        <rFont val="Noto Sans CJK KR"/>
        <family val="2"/>
      </rPr>
      <t xml:space="preserve">지도에 물어 답하기</t>
    </r>
    <r>
      <rPr>
        <sz val="10"/>
        <rFont val="Arial"/>
        <family val="0"/>
        <charset val="1"/>
      </rPr>
      <t xml:space="preserve">(OL8)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</si>
  <si>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자동 검사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</si>
  <si>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GQ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L9</t>
    </r>
  </si>
  <si>
    <t xml:space="preserve">OL10</t>
  </si>
  <si>
    <r>
      <rPr>
        <sz val="10"/>
        <rFont val="Noto Sans CJK KR"/>
        <family val="2"/>
      </rPr>
      <t xml:space="preserve">예정된 정비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 값은 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 두고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지식에는 자리만 잇는다</t>
    </r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</si>
  <si>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표 구조</t>
    </r>
    <r>
      <rPr>
        <sz val="10"/>
        <rFont val="Arial"/>
        <family val="0"/>
        <charset val="1"/>
      </rPr>
      <t xml:space="preserve">(DDL) → "</t>
    </r>
    <r>
      <rPr>
        <sz val="10"/>
        <rFont val="Noto Sans CJK KR"/>
        <family val="2"/>
      </rPr>
      <t xml:space="preserve">이 값은 이 표 이 칸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연결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B </t>
    </r>
    <r>
      <rPr>
        <sz val="10"/>
        <rFont val="Noto Sans CJK KR"/>
        <family val="2"/>
      </rPr>
      <t xml:space="preserve">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C 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지식에 값 없이 자리만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조회 결과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업무 데이터 연결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표 구조 파일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</t>
    </r>
    <r>
      <rPr>
        <sz val="10"/>
        <rFont val="Arial"/>
        <family val="0"/>
        <charset val="1"/>
      </rPr>
      <t xml:space="preserve">(OT12)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</si>
  <si>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표 구조</t>
    </r>
    <r>
      <rPr>
        <sz val="10"/>
        <rFont val="Arial"/>
        <family val="0"/>
        <charset val="1"/>
      </rPr>
      <t xml:space="preserve">(DDL) </t>
    </r>
    <r>
      <rPr>
        <sz val="10"/>
        <rFont val="Noto Sans CJK KR"/>
        <family val="2"/>
      </rPr>
      <t xml:space="preserve">읽기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자리 연결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</si>
  <si>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L10</t>
    </r>
  </si>
  <si>
    <t xml:space="preserve">OL11</t>
  </si>
  <si>
    <t xml:space="preserve">이 조치가 회사 이익의 어디에 닿고 무엇과 부딪히는지 묻는다</t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</si>
  <si>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지표 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네 관점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더하기와 경로 질문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사건 조치 → 지표 → 영업이익 사슬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상충 경로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회사 목표 층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관점 표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전략맵</t>
    </r>
    <r>
      <rPr>
        <sz val="10"/>
        <rFont val="Arial"/>
        <family val="0"/>
        <charset val="1"/>
      </rPr>
      <t xml:space="preserve">(OT13) 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(OT14) · </t>
    </r>
    <r>
      <rPr>
        <sz val="10"/>
        <rFont val="Noto Sans CJK KR"/>
        <family val="2"/>
      </rPr>
      <t xml:space="preserve">지도에 묻기</t>
    </r>
    <r>
      <rPr>
        <sz val="10"/>
        <rFont val="Arial"/>
        <family val="0"/>
        <charset val="1"/>
      </rPr>
      <t xml:space="preserve">(OT10)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</si>
  <si>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지표 층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상충 질의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</si>
  <si>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L11</t>
    </r>
  </si>
  <si>
    <t xml:space="preserve">OL12</t>
  </si>
  <si>
    <r>
      <rPr>
        <sz val="10"/>
        <rFont val="Noto Sans CJK KR"/>
        <family val="2"/>
      </rPr>
      <t xml:space="preserve">내가 만든 지식 조각들이 포털 지식 관리의 어느 화면인지 한 장으로 잇고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과정 노트에 남긴다</t>
    </r>
  </si>
  <si>
    <r>
      <rPr>
        <sz val="10"/>
        <rFont val="Noto Sans CJK KR"/>
        <family val="2"/>
      </rPr>
      <t xml:space="preserve">온톨로지 트랙 한눈에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첫 조수 → 틀 → 뼈대 → 나누기 → 뽑기 → 검토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→ 지도에 물어 답하기 → 검사 → 자리 → 지표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조각마다 포털의 어느 화면인가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 노트 쓰기</t>
    </r>
    <r>
      <rPr>
        <sz val="10"/>
        <rFont val="Arial"/>
        <family val="0"/>
        <charset val="1"/>
      </rPr>
      <t xml:space="preserve">(S1b </t>
    </r>
    <r>
      <rPr>
        <sz val="10"/>
        <rFont val="Noto Sans CJK KR"/>
        <family val="2"/>
      </rPr>
      <t xml:space="preserve">틀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</si>
  <si>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정리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노트</t>
    </r>
  </si>
  <si>
    <t xml:space="preserve">에이전트</t>
  </si>
  <si>
    <t xml:space="preserve">AT1</t>
  </si>
  <si>
    <r>
      <rPr>
        <sz val="10"/>
        <rFont val="Noto Sans CJK KR"/>
        <family val="2"/>
      </rPr>
      <t xml:space="preserve">답만 하는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와 일을 하는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는 다르다 — 에이전트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</si>
  <si>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답만 하는 친구</t>
    </r>
    <r>
      <rPr>
        <sz val="10"/>
        <rFont val="Arial"/>
        <family val="0"/>
        <charset val="1"/>
      </rPr>
      <t xml:space="preserve">" vs "</t>
    </r>
    <r>
      <rPr>
        <sz val="10"/>
        <rFont val="Noto Sans CJK KR"/>
        <family val="2"/>
      </rPr>
      <t xml:space="preserve">대신 전화해서 예약까지 해 주는 비서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지도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온톨로지 막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막 여는 이야기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지식 지도가 생겼다 → 이제 누가 그 지식으로 판단하나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예약을 직접 하는 비서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에이전트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언어 모델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답만 하는 </t>
    </r>
    <r>
      <rPr>
        <sz val="10"/>
        <rFont val="Arial"/>
        <family val="0"/>
        <charset val="1"/>
      </rPr>
      <t xml:space="preserve">AI vs </t>
    </r>
    <r>
      <rPr>
        <sz val="10"/>
        <rFont val="Noto Sans CJK KR"/>
        <family val="2"/>
      </rPr>
      <t xml:space="preserve">도구를 부르는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사례 그림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공장에 필요한가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AP2 · AL1</t>
    </r>
  </si>
  <si>
    <r>
      <rPr>
        <sz val="10"/>
        <rFont val="Noto Sans CJK KR"/>
        <family val="2"/>
      </rPr>
      <t xml:space="preserve">에이전트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언어 모델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목표</t>
    </r>
    <r>
      <rPr>
        <sz val="10"/>
        <rFont val="Arial"/>
        <family val="0"/>
        <charset val="1"/>
      </rPr>
      <t xml:space="preserve">)</t>
    </r>
  </si>
  <si>
    <t xml:space="preserve">AT2</t>
  </si>
  <si>
    <r>
      <rPr>
        <sz val="10"/>
        <rFont val="Noto Sans CJK KR"/>
        <family val="2"/>
      </rPr>
      <t xml:space="preserve">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생각하고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움직이고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다시 본다 — 몸으로 해 보는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</si>
  <si>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맛집 예약 역할극 — 내가 직접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일꾼이 되어 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도구 카드를 하나 빼면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에이전트의 네 부분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관찰 → 판단 → 행동 되풀이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동네 맛집 예약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1 · </t>
    </r>
    <r>
      <rPr>
        <sz val="10"/>
        <rFont val="Noto Sans CJK KR"/>
        <family val="2"/>
      </rPr>
      <t xml:space="preserve">도구 카드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승인자 </t>
    </r>
    <r>
      <rPr>
        <sz val="10"/>
        <rFont val="Arial"/>
        <family val="0"/>
        <charset val="1"/>
      </rPr>
      <t xml:space="preserve">1, </t>
    </r>
    <r>
      <rPr>
        <sz val="10"/>
        <rFont val="Noto Sans CJK KR"/>
        <family val="2"/>
      </rPr>
      <t xml:space="preserve">영상은 녹화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기록지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</t>
    </r>
    <r>
      <rPr>
        <sz val="10"/>
        <rFont val="Arial"/>
        <family val="0"/>
        <charset val="1"/>
      </rPr>
      <t xml:space="preserve">) · 2</t>
    </r>
    <r>
      <rPr>
        <sz val="10"/>
        <rFont val="Noto Sans CJK KR"/>
        <family val="2"/>
      </rPr>
      <t xml:space="preserve">라운드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카드 하나 빼면</t>
    </r>
    <r>
      <rPr>
        <sz val="10"/>
        <rFont val="Arial"/>
        <family val="0"/>
        <charset val="1"/>
      </rPr>
      <t xml:space="preserve">?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AP2 </t>
    </r>
    <r>
      <rPr>
        <sz val="10"/>
        <rFont val="Noto Sans CJK KR"/>
        <family val="2"/>
      </rPr>
      <t xml:space="preserve">질문하기 </t>
    </r>
    <r>
      <rPr>
        <sz val="10"/>
        <rFont val="Arial"/>
        <family val="0"/>
        <charset val="1"/>
      </rPr>
      <t xml:space="preserve">· AL1</t>
    </r>
  </si>
  <si>
    <r>
      <rPr>
        <sz val="10"/>
        <rFont val="Noto Sans CJK KR"/>
        <family val="2"/>
      </rPr>
      <t xml:space="preserve">관찰 → 판단 → 행동</t>
    </r>
    <r>
      <rPr>
        <sz val="10"/>
        <rFont val="Arial"/>
        <family val="0"/>
        <charset val="1"/>
      </rPr>
      <t xml:space="preserve">(ReAct)</t>
    </r>
  </si>
  <si>
    <r>
      <rPr>
        <sz val="10"/>
        <rFont val="Noto Sans CJK KR"/>
        <family val="2"/>
      </rPr>
      <t xml:space="preserve">개념 설명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녹화</t>
    </r>
    <r>
      <rPr>
        <sz val="10"/>
        <rFont val="Arial"/>
        <family val="0"/>
        <charset val="1"/>
      </rPr>
      <t xml:space="preserve">)</t>
    </r>
  </si>
  <si>
    <t xml:space="preserve">AT3</t>
  </si>
  <si>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부를 수 있는 기능은 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받는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돌려주는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 네 칸으로 적는다 — 도구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</si>
  <si>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TV </t>
    </r>
    <r>
      <rPr>
        <sz val="10"/>
        <rFont val="Noto Sans CJK KR"/>
        <family val="2"/>
      </rPr>
      <t xml:space="preserve">리모컨 버튼에도 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넣는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나오는 것이 있다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일꾼은 도구를 부른다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받는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돌려주는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도구 카드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개인</t>
    </r>
    <r>
      <rPr>
        <sz val="10"/>
        <rFont val="Arial"/>
        <family val="0"/>
        <charset val="1"/>
      </rPr>
      <t xml:space="preserve">)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AP2 · AL2</t>
    </r>
  </si>
  <si>
    <r>
      <rPr>
        <sz val="10"/>
        <rFont val="Noto Sans CJK KR"/>
        <family val="2"/>
      </rPr>
      <t xml:space="preserve">도구</t>
    </r>
    <r>
      <rPr>
        <sz val="10"/>
        <rFont val="Arial"/>
        <family val="0"/>
        <charset val="1"/>
      </rPr>
      <t xml:space="preserve">(Tool), </t>
    </r>
    <r>
      <rPr>
        <sz val="10"/>
        <rFont val="Noto Sans CJK KR"/>
        <family val="2"/>
      </rPr>
      <t xml:space="preserve">함수 호출</t>
    </r>
  </si>
  <si>
    <t xml:space="preserve">AT4</t>
  </si>
  <si>
    <r>
      <rPr>
        <sz val="10"/>
        <rFont val="Noto Sans CJK KR"/>
        <family val="2"/>
      </rPr>
      <t xml:space="preserve">기능을 꽂는 규격이 있으면 어느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에도 같은 도구를 붙인다 — 그리고 일꾼마다 필요한 손만 준다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</si>
  <si>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해외여행 콘센트 — 규격만 맞으면 어느 기기든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그런데 왜 </t>
    </r>
    <r>
      <rPr>
        <sz val="10"/>
        <rFont val="Arial"/>
        <family val="0"/>
        <charset val="1"/>
      </rPr>
      <t xml:space="preserve">B · C </t>
    </r>
    <r>
      <rPr>
        <sz val="10"/>
        <rFont val="Noto Sans CJK KR"/>
        <family val="2"/>
      </rPr>
      <t xml:space="preserve">일꾼에게 다른 열쇠꾸러미를 줄까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네 칸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콘센트 규격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규격이 왜 필요한가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모양 그림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일꾼 – 도구 서버 – 원천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일꾼마다 필요한 손만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업무 서버를 보전용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구매용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으로 나누는 까닭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AP2~AP8 </t>
    </r>
    <r>
      <rPr>
        <sz val="10"/>
        <rFont val="Noto Sans CJK KR"/>
        <family val="2"/>
      </rPr>
      <t xml:space="preserve">연결 검사 </t>
    </r>
    <r>
      <rPr>
        <sz val="10"/>
        <rFont val="Arial"/>
        <family val="0"/>
        <charset val="1"/>
      </rPr>
      <t xml:space="preserve">· AL3 · AL4</t>
    </r>
  </si>
  <si>
    <r>
      <rPr>
        <sz val="10"/>
        <rFont val="Noto Sans CJK KR"/>
        <family val="2"/>
      </rPr>
      <t xml:space="preserve">도구 연결 규격</t>
    </r>
    <r>
      <rPr>
        <sz val="10"/>
        <rFont val="Arial"/>
        <family val="0"/>
        <charset val="1"/>
      </rPr>
      <t xml:space="preserve">(MCP), </t>
    </r>
    <r>
      <rPr>
        <sz val="10"/>
        <rFont val="Noto Sans CJK KR"/>
        <family val="2"/>
      </rPr>
      <t xml:space="preserve">도구 서버</t>
    </r>
  </si>
  <si>
    <t xml:space="preserve">AT5</t>
  </si>
  <si>
    <t xml:space="preserve">지금 값은 원천에 물어야 안다 — 고정 지식과 지금 값</t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</si>
  <si>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냉장고 재고는 열어 봐야 안다 — 어제 적은 메모를 믿다가는…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도구를 꽂을 수 있다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냉장고 재고는 열어 봐야 안다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고정 지식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지도</t>
    </r>
    <r>
      <rPr>
        <sz val="10"/>
        <rFont val="Arial"/>
        <family val="0"/>
        <charset val="1"/>
      </rPr>
      <t xml:space="preserve">) vs </t>
    </r>
    <r>
      <rPr>
        <sz val="10"/>
        <rFont val="Noto Sans CJK KR"/>
        <family val="2"/>
      </rPr>
      <t xml:space="preserve">지금 값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지도에는 자리만 — </t>
    </r>
    <r>
      <rPr>
        <sz val="10"/>
        <rFont val="Arial"/>
        <family val="0"/>
        <charset val="1"/>
      </rPr>
      <t xml:space="preserve">OT12)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오늘 우산 필요</t>
    </r>
    <r>
      <rPr>
        <sz val="10"/>
        <rFont val="Arial"/>
        <family val="0"/>
        <charset val="1"/>
      </rPr>
      <t xml:space="preserve">?" </t>
    </r>
    <r>
      <rPr>
        <sz val="10"/>
        <rFont val="Noto Sans CJK KR"/>
        <family val="2"/>
      </rPr>
      <t xml:space="preserve">원천 고르기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AP2~AP8 · AL2</t>
    </r>
  </si>
  <si>
    <r>
      <rPr>
        <sz val="10"/>
        <rFont val="Noto Sans CJK KR"/>
        <family val="2"/>
      </rPr>
      <t xml:space="preserve">실시간 조회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원천 데이터</t>
    </r>
  </si>
  <si>
    <t xml:space="preserve">AT6</t>
  </si>
  <si>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에게는 읽기만 맡기고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바꾸기는 사람이 승인한 뒤 시스템이 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</si>
  <si>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은행 앱 조회는 마음대로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이체는 확인 버튼 —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는 조회만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지금 값을 읽는 도구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읽는 도구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바꾸는 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는 읽기만 하나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설비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메일은 승인 뒤 시스템이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승인 흐름은 </t>
    </r>
    <r>
      <rPr>
        <sz val="10"/>
        <rFont val="Arial"/>
        <family val="0"/>
        <charset val="1"/>
      </rPr>
      <t xml:space="preserve">BPMN</t>
    </r>
    <r>
      <rPr>
        <sz val="10"/>
        <rFont val="Noto Sans CJK KR"/>
        <family val="2"/>
      </rPr>
      <t xml:space="preserve">에서</t>
    </r>
    <r>
      <rPr>
        <sz val="10"/>
        <rFont val="Arial"/>
        <family val="0"/>
        <charset val="1"/>
      </rPr>
      <t xml:space="preserve">)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AP2 · AL4 · BPMN </t>
    </r>
    <r>
      <rPr>
        <sz val="10"/>
        <rFont val="Noto Sans CJK KR"/>
        <family val="2"/>
      </rPr>
      <t xml:space="preserve">막</t>
    </r>
  </si>
  <si>
    <t xml:space="preserve">읽기 전용 도구</t>
  </si>
  <si>
    <t xml:space="preserve">AT7</t>
  </si>
  <si>
    <r>
      <rPr>
        <sz val="10"/>
        <rFont val="Noto Sans CJK KR"/>
        <family val="2"/>
      </rPr>
      <t xml:space="preserve">선배의 체크리스트가 일하는 순서를 바꾼다 — 작업 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스킬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</si>
  <si>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신입이 받은 선배 체크리스트 — 같은 도구로도 순서가 바뀌면 결과가 바뀐다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도구로 지금 값을 읽는다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선배의 체크리스트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요령이 순서를 바꾸는 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후 그림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맛집 고르는 요령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다섯 줄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AP2~AP8 </t>
    </r>
    <r>
      <rPr>
        <sz val="10"/>
        <rFont val="Noto Sans CJK KR"/>
        <family val="2"/>
      </rPr>
      <t xml:space="preserve">요령 붙이기 </t>
    </r>
    <r>
      <rPr>
        <sz val="10"/>
        <rFont val="Arial"/>
        <family val="0"/>
        <charset val="1"/>
      </rPr>
      <t xml:space="preserve">· AL5</t>
    </r>
  </si>
  <si>
    <r>
      <rPr>
        <sz val="10"/>
        <rFont val="Noto Sans CJK KR"/>
        <family val="2"/>
      </rPr>
      <t xml:space="preserve">작업 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스킬</t>
    </r>
    <r>
      <rPr>
        <sz val="10"/>
        <rFont val="Arial"/>
        <family val="0"/>
        <charset val="1"/>
      </rPr>
      <t xml:space="preserve">)</t>
    </r>
  </si>
  <si>
    <t xml:space="preserve">AT8</t>
  </si>
  <si>
    <r>
      <rPr>
        <sz val="10"/>
        <rFont val="Noto Sans CJK KR"/>
        <family val="2"/>
      </rPr>
      <t xml:space="preserve">매번 같아야 하는 판단은 규칙이 맡고</t>
    </r>
    <r>
      <rPr>
        <sz val="10"/>
        <rFont val="Arial"/>
        <family val="0"/>
        <charset val="1"/>
      </rPr>
      <t xml:space="preserve">, AI</t>
    </r>
    <r>
      <rPr>
        <sz val="10"/>
        <rFont val="Noto Sans CJK KR"/>
        <family val="2"/>
      </rPr>
      <t xml:space="preserve">는 근거를 모아 설명한다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</si>
  <si>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신호등이 기분 따라 바뀌면</t>
    </r>
    <r>
      <rPr>
        <sz val="10"/>
        <rFont val="Arial"/>
        <family val="0"/>
        <charset val="1"/>
      </rPr>
      <t xml:space="preserve">? — </t>
    </r>
    <r>
      <rPr>
        <sz val="10"/>
        <rFont val="Noto Sans CJK KR"/>
        <family val="2"/>
      </rPr>
      <t xml:space="preserve">회사 경비 규정표를 직접 만들어 본다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요령대로 근거를 모았다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규칙표의 모양</t>
    </r>
    <r>
      <rPr>
        <sz val="10"/>
        <rFont val="Arial"/>
        <family val="0"/>
        <charset val="1"/>
      </rPr>
      <t xml:space="preserve">(OT8</t>
    </r>
    <r>
      <rPr>
        <sz val="10"/>
        <rFont val="Noto Sans CJK KR"/>
        <family val="2"/>
      </rPr>
      <t xml:space="preserve">에서 종이로 써 봄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답하던 일꾼에게 이제 사건을 맡긴다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신호등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회사 경비 규정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규칙과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의 역할 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감점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없으면 멈추기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판단 규칙표를 직접 만들어 보기</t>
    </r>
    <r>
      <rPr>
        <sz val="10"/>
        <rFont val="Arial"/>
        <family val="0"/>
        <charset val="1"/>
      </rPr>
      <t xml:space="preserve">(demo.bpmn.io </t>
    </r>
    <r>
      <rPr>
        <sz val="10"/>
        <rFont val="Noto Sans CJK KR"/>
        <family val="2"/>
      </rPr>
      <t xml:space="preserve">규칙표 첫 사용</t>
    </r>
    <r>
      <rPr>
        <sz val="10"/>
        <rFont val="Arial"/>
        <family val="0"/>
        <charset val="1"/>
      </rPr>
      <t xml:space="preserve">): </t>
    </r>
    <r>
      <rPr>
        <sz val="10"/>
        <rFont val="Noto Sans CJK KR"/>
        <family val="2"/>
      </rPr>
      <t xml:space="preserve">경비 규정 세 줄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AP3~AP9 </t>
    </r>
    <r>
      <rPr>
        <sz val="10"/>
        <rFont val="Noto Sans CJK KR"/>
        <family val="2"/>
      </rPr>
      <t xml:space="preserve">카드의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규칙으로 빠진 안</t>
    </r>
    <r>
      <rPr>
        <sz val="10"/>
        <rFont val="Arial"/>
        <family val="0"/>
        <charset val="1"/>
      </rPr>
      <t xml:space="preserve">" · AL6</t>
    </r>
  </si>
  <si>
    <r>
      <rPr>
        <sz val="10"/>
        <rFont val="Noto Sans CJK KR"/>
        <family val="2"/>
      </rPr>
      <t xml:space="preserve">판단 규칙</t>
    </r>
    <r>
      <rPr>
        <sz val="10"/>
        <rFont val="Arial"/>
        <family val="0"/>
        <charset val="1"/>
      </rPr>
      <t xml:space="preserve">(DMN </t>
    </r>
    <r>
      <rPr>
        <sz val="10"/>
        <rFont val="Noto Sans CJK KR"/>
        <family val="2"/>
      </rPr>
      <t xml:space="preserve">결정표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감점</t>
    </r>
  </si>
  <si>
    <r>
      <rPr>
        <sz val="10"/>
        <rFont val="Noto Sans CJK KR"/>
        <family val="2"/>
      </rPr>
      <t xml:space="preserve">개념 설명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도구 시연</t>
    </r>
    <r>
      <rPr>
        <sz val="10"/>
        <rFont val="Arial"/>
        <family val="0"/>
        <charset val="1"/>
      </rPr>
      <t xml:space="preserve">(bpmn.io </t>
    </r>
    <r>
      <rPr>
        <sz val="10"/>
        <rFont val="Noto Sans CJK KR"/>
        <family val="2"/>
      </rPr>
      <t xml:space="preserve">규칙표</t>
    </r>
    <r>
      <rPr>
        <sz val="10"/>
        <rFont val="Arial"/>
        <family val="0"/>
        <charset val="1"/>
      </rPr>
      <t xml:space="preserve">)</t>
    </r>
  </si>
  <si>
    <t xml:space="preserve">AT9</t>
  </si>
  <si>
    <r>
      <rPr>
        <sz val="10"/>
        <rFont val="Noto Sans CJK KR"/>
        <family val="2"/>
      </rPr>
      <t xml:space="preserve">점수가 아니라 돈으로 비교하고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값이 바뀌면 언제 뒤집히는지 본다 — 손익과 값 바꿔 보기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</si>
  <si>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빠른 길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무료 길</t>
    </r>
    <r>
      <rPr>
        <sz val="10"/>
        <rFont val="Arial"/>
        <family val="0"/>
        <charset val="1"/>
      </rPr>
      <t xml:space="preserve">" — </t>
    </r>
    <r>
      <rPr>
        <sz val="10"/>
        <rFont val="Noto Sans CJK KR"/>
        <family val="2"/>
      </rPr>
      <t xml:space="preserve">택시와 지하철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몇 시부터 택시가 이득일까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규칙이 빼고 남은 안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내비게이션 경로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빠른 길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통행료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돈으로 비교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계산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택시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지하철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 하나 바꿔 뒤집히는 경계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추천은 하나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지는 안은 이유와 함께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AP3~AP9 What-if · AL6</t>
    </r>
  </si>
  <si>
    <r>
      <rPr>
        <sz val="10"/>
        <rFont val="Noto Sans CJK KR"/>
        <family val="2"/>
      </rPr>
      <t xml:space="preserve">손익 비교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경계값</t>
    </r>
    <r>
      <rPr>
        <sz val="10"/>
        <rFont val="Arial"/>
        <family val="0"/>
        <charset val="1"/>
      </rPr>
      <t xml:space="preserve">, What-if</t>
    </r>
  </si>
  <si>
    <t xml:space="preserve">AT10</t>
  </si>
  <si>
    <r>
      <rPr>
        <sz val="10"/>
        <rFont val="Noto Sans CJK KR"/>
        <family val="2"/>
      </rPr>
      <t xml:space="preserve">앞으로 어떻게 될지를 숫자로 본다 — 예측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유온이 언제 넘나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운전시간이 언제 한계에 닿나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</si>
  <si>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일기 예보처럼 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몇 시간 뒤 유온이 넘을까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값을 바꾸면 추천이 뒤집힌다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예측이란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지금 값과 추세로 앞을 본다</t>
    </r>
    <r>
      <rPr>
        <sz val="10"/>
        <rFont val="Arial"/>
        <family val="0"/>
        <charset val="1"/>
      </rPr>
      <t xml:space="preserve">) · A </t>
    </r>
    <r>
      <rPr>
        <sz val="10"/>
        <rFont val="Noto Sans CJK KR"/>
        <family val="2"/>
      </rPr>
      <t xml:space="preserve">예측 유온 </t>
    </r>
    <r>
      <rPr>
        <sz val="10"/>
        <rFont val="Arial"/>
        <family val="0"/>
        <charset val="1"/>
      </rPr>
      <t xml:space="preserve">· B </t>
    </r>
    <r>
      <rPr>
        <sz val="10"/>
        <rFont val="Noto Sans CJK KR"/>
        <family val="2"/>
      </rPr>
      <t xml:space="preserve">운전시간이 허용 한계 </t>
    </r>
    <r>
      <rPr>
        <sz val="10"/>
        <rFont val="Arial"/>
        <family val="0"/>
        <charset val="1"/>
      </rPr>
      <t xml:space="preserve">2,200 h</t>
    </r>
    <r>
      <rPr>
        <sz val="10"/>
        <rFont val="Noto Sans CJK KR"/>
        <family val="2"/>
      </rPr>
      <t xml:space="preserve">에 언제 닿나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AP3 </t>
    </r>
    <r>
      <rPr>
        <sz val="10"/>
        <rFont val="Noto Sans CJK KR"/>
        <family val="2"/>
      </rPr>
      <t xml:space="preserve">예측 유온 </t>
    </r>
    <r>
      <rPr>
        <sz val="10"/>
        <rFont val="Arial"/>
        <family val="0"/>
        <charset val="1"/>
      </rPr>
      <t xml:space="preserve">· AP6 </t>
    </r>
    <r>
      <rPr>
        <sz val="10"/>
        <rFont val="Noto Sans CJK KR"/>
        <family val="2"/>
      </rPr>
      <t xml:space="preserve">한계 도달</t>
    </r>
  </si>
  <si>
    <t xml:space="preserve">예측</t>
  </si>
  <si>
    <t xml:space="preserve">AT11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</si>
  <si>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판단은 흔들린다 — 정답표를 먼저 쓰고 채점한다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</si>
  <si>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질문을 다섯 번 하면 다섯 답</t>
    </r>
    <r>
      <rPr>
        <sz val="10"/>
        <rFont val="Arial"/>
        <family val="0"/>
        <charset val="1"/>
      </rPr>
      <t xml:space="preserve">? — </t>
    </r>
    <r>
      <rPr>
        <sz val="10"/>
        <rFont val="Noto Sans CJK KR"/>
        <family val="2"/>
      </rPr>
      <t xml:space="preserve">시험 정답표를 먼저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일꾼이 추천안 하나를 낸다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저장된 세 제안 카드를 믿어도 될까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같은 질문 다섯 번의 결과 사례 그림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흔들리나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종이로 정답표 한 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정답표는 사람이 쓴다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AP4 · AL7</t>
    </r>
  </si>
  <si>
    <r>
      <rPr>
        <sz val="10"/>
        <rFont val="Noto Sans CJK KR"/>
        <family val="2"/>
      </rPr>
      <t xml:space="preserve">판단 채점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정답표</t>
    </r>
  </si>
  <si>
    <t xml:space="preserve">AP1</t>
  </si>
  <si>
    <r>
      <rPr>
        <sz val="10"/>
        <rFont val="Noto Sans CJK KR"/>
        <family val="2"/>
      </rPr>
      <t xml:space="preserve">한 장 그림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부분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되풀이 고리 → 일꾼 만들기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질문하기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지금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읽기만 → 도구 서버 연결 검사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요령 → 요령 붙이기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규칙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예측 → 시험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 카드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값 바꿔 보기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흔들림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 → 채점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 순서 예고</t>
    </r>
    <r>
      <rPr>
        <sz val="10"/>
        <rFont val="Arial"/>
        <family val="0"/>
        <charset val="1"/>
      </rPr>
      <t xml:space="preserve">: A </t>
    </r>
    <r>
      <rPr>
        <sz val="10"/>
        <rFont val="Noto Sans CJK KR"/>
        <family val="2"/>
      </rPr>
      <t xml:space="preserve">일꾼을 만들기부터 채점까지 끝까지 → </t>
    </r>
    <r>
      <rPr>
        <sz val="10"/>
        <rFont val="Arial"/>
        <family val="0"/>
        <charset val="1"/>
      </rPr>
      <t xml:space="preserve">B → C</t>
    </r>
  </si>
  <si>
    <t xml:space="preserve">AP2</t>
  </si>
  <si>
    <r>
      <rPr>
        <sz val="10"/>
        <rFont val="Noto Sans CJK KR"/>
        <family val="2"/>
      </rPr>
      <t xml:space="preserve">냉각 긴급 대응 일꾼을 만들어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지식 지도와 지금 유온을 근거로 답하게 한다 </t>
    </r>
    <r>
      <rPr>
        <sz val="10"/>
        <rFont val="Arial"/>
        <family val="0"/>
        <charset val="1"/>
      </rPr>
      <t xml:space="preserve">(A, </t>
    </r>
    <r>
      <rPr>
        <sz val="10"/>
        <rFont val="Noto Sans CJK KR"/>
        <family val="2"/>
      </rPr>
      <t xml:space="preserve">처음이라 천천히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</si>
  <si>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화면 안내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기본 복제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목표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설비가 스스로 멈추는 안전 한계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인터록</t>
    </r>
    <r>
      <rPr>
        <sz val="10"/>
        <rFont val="Arial"/>
        <family val="0"/>
        <charset val="1"/>
      </rPr>
      <t xml:space="preserve">, 65 ℃)</t>
    </r>
    <r>
      <rPr>
        <sz val="10"/>
        <rFont val="Noto Sans CJK KR"/>
        <family val="2"/>
      </rPr>
      <t xml:space="preserve">에 닿기 전에 유온을 내리고 생산 손실 최소</t>
    </r>
    <r>
      <rPr>
        <sz val="10"/>
        <rFont val="Arial"/>
        <family val="0"/>
        <charset val="1"/>
      </rPr>
      <t xml:space="preserve">") · </t>
    </r>
    <r>
      <rPr>
        <sz val="10"/>
        <rFont val="Noto Sans CJK KR"/>
        <family val="2"/>
      </rPr>
      <t xml:space="preserve">지식 지도 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센서 시계열 </t>
    </r>
    <r>
      <rPr>
        <sz val="10"/>
        <rFont val="Arial"/>
        <family val="0"/>
        <charset val="1"/>
      </rPr>
      <t xml:space="preserve">· SCADA </t>
    </r>
    <r>
      <rPr>
        <sz val="10"/>
        <rFont val="Noto Sans CJK KR"/>
        <family val="2"/>
      </rPr>
      <t xml:space="preserve">도구 서버 고르기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냉각 긴급 대응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붙이기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질문하기 두 개</t>
    </r>
    <r>
      <rPr>
        <sz val="10"/>
        <rFont val="Arial"/>
        <family val="0"/>
        <charset val="1"/>
      </rPr>
      <t xml:space="preserve">("HYD-01 </t>
    </r>
    <r>
      <rPr>
        <sz val="10"/>
        <rFont val="Noto Sans CJK KR"/>
        <family val="2"/>
      </rPr>
      <t xml:space="preserve">유온이 오르는 원인 후보는</t>
    </r>
    <r>
      <rPr>
        <sz val="10"/>
        <rFont val="Arial"/>
        <family val="0"/>
        <charset val="1"/>
      </rPr>
      <t xml:space="preserve">?" / "</t>
    </r>
    <r>
      <rPr>
        <sz val="10"/>
        <rFont val="Noto Sans CJK KR"/>
        <family val="2"/>
      </rPr>
      <t xml:space="preserve">지금 유온과 팬 지시값은</t>
    </r>
    <r>
      <rPr>
        <sz val="10"/>
        <rFont val="Arial"/>
        <family val="0"/>
        <charset val="1"/>
      </rPr>
      <t xml:space="preserve">?")</t>
    </r>
    <r>
      <rPr>
        <sz val="10"/>
        <rFont val="Noto Sans CJK KR"/>
        <family val="2"/>
      </rPr>
      <t xml:space="preserve">와 도구 호출 과정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 안내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부분</t>
    </r>
    <r>
      <rPr>
        <sz val="10"/>
        <rFont val="Arial"/>
        <family val="0"/>
        <charset val="1"/>
      </rPr>
      <t xml:space="preserve">(AT1) ·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규격</t>
    </r>
    <r>
      <rPr>
        <sz val="10"/>
        <rFont val="Arial"/>
        <family val="0"/>
        <charset val="1"/>
      </rPr>
      <t xml:space="preserve">(AT3 · AT4) · </t>
    </r>
    <r>
      <rPr>
        <sz val="10"/>
        <rFont val="Noto Sans CJK KR"/>
        <family val="2"/>
      </rPr>
      <t xml:space="preserve">지금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읽기만</t>
    </r>
    <r>
      <rPr>
        <sz val="10"/>
        <rFont val="Arial"/>
        <family val="0"/>
        <charset val="1"/>
      </rPr>
      <t xml:space="preserve">(AT5 · AT6) · </t>
    </r>
    <r>
      <rPr>
        <sz val="10"/>
        <rFont val="Noto Sans CJK KR"/>
        <family val="2"/>
      </rPr>
      <t xml:space="preserve">체크리스트</t>
    </r>
    <r>
      <rPr>
        <sz val="10"/>
        <rFont val="Arial"/>
        <family val="0"/>
        <charset val="1"/>
      </rPr>
      <t xml:space="preserve">(AT7) · </t>
    </r>
    <r>
      <rPr>
        <sz val="10"/>
        <rFont val="Noto Sans CJK KR"/>
        <family val="2"/>
      </rPr>
      <t xml:space="preserve">되풀이 고리</t>
    </r>
    <r>
      <rPr>
        <sz val="10"/>
        <rFont val="Arial"/>
        <family val="0"/>
        <charset val="1"/>
      </rPr>
      <t xml:space="preserve">(AT2)</t>
    </r>
  </si>
  <si>
    <r>
      <rPr>
        <sz val="10"/>
        <rFont val="Noto Sans CJK KR"/>
        <family val="2"/>
      </rPr>
      <t xml:space="preserve">에이전트 정의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도구 서버 연결 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작업 요령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질문하기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도구 호출 과정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</si>
  <si>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MCP ·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</si>
  <si>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t xml:space="preserve">AP3</t>
  </si>
  <si>
    <r>
      <rPr>
        <sz val="10"/>
        <rFont val="Noto Sans CJK KR"/>
        <family val="2"/>
      </rPr>
      <t xml:space="preserve">쿨러 과열 — 일꾼이 세 안을 돈과 지표로 비교해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팬 최대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80 %" </t>
    </r>
    <r>
      <rPr>
        <sz val="10"/>
        <rFont val="Noto Sans CJK KR"/>
        <family val="2"/>
      </rPr>
      <t xml:space="preserve">하나를 추천하고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값을 바꾸면 뒤집힌다 </t>
    </r>
    <r>
      <rPr>
        <sz val="10"/>
        <rFont val="Arial"/>
        <family val="0"/>
        <charset val="1"/>
      </rPr>
      <t xml:space="preserve">(A, </t>
    </r>
    <r>
      <rPr>
        <sz val="10"/>
        <rFont val="Noto Sans CJK KR"/>
        <family val="2"/>
      </rPr>
      <t xml:space="preserve">천천히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</si>
  <si>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시험 실행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실제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진단 → 후보 → 규칙 → 순위 진행 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요약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하나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예측 유온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팬 수명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지는 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팬만 최대 → 온도가 충분히 안 내려감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70 % → </t>
    </r>
    <r>
      <rPr>
        <sz val="10"/>
        <rFont val="Noto Sans CJK KR"/>
        <family val="2"/>
      </rPr>
      <t xml:space="preserve">큰 고객사</t>
    </r>
    <r>
      <rPr>
        <sz val="10"/>
        <rFont val="Arial"/>
        <family val="0"/>
        <charset val="1"/>
      </rPr>
      <t xml:space="preserve">(OEM) </t>
    </r>
    <r>
      <rPr>
        <sz val="10"/>
        <rFont val="Noto Sans CJK KR"/>
        <family val="2"/>
      </rPr>
      <t xml:space="preserve">주문 납기 놓침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저장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납기를 바꿔 뒤집히는 값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</t>
    </r>
    <r>
      <rPr>
        <sz val="10"/>
        <rFont val="Arial"/>
        <family val="0"/>
        <charset val="1"/>
      </rPr>
      <t xml:space="preserve">(AT8) · </t>
    </r>
    <r>
      <rPr>
        <sz val="10"/>
        <rFont val="Noto Sans CJK KR"/>
        <family val="2"/>
      </rPr>
      <t xml:space="preserve">돈으로 비교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경계값</t>
    </r>
    <r>
      <rPr>
        <sz val="10"/>
        <rFont val="Arial"/>
        <family val="0"/>
        <charset val="1"/>
      </rPr>
      <t xml:space="preserve">(AT9) · </t>
    </r>
    <r>
      <rPr>
        <sz val="10"/>
        <rFont val="Noto Sans CJK KR"/>
        <family val="2"/>
      </rPr>
      <t xml:space="preserve">예측</t>
    </r>
    <r>
      <rPr>
        <sz val="10"/>
        <rFont val="Arial"/>
        <family val="0"/>
        <charset val="1"/>
      </rPr>
      <t xml:space="preserve">(AT10) 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(OT14)</t>
    </r>
  </si>
  <si>
    <r>
      <rPr>
        <sz val="10"/>
        <rFont val="Noto Sans CJK KR"/>
        <family val="2"/>
      </rPr>
      <t xml:space="preserve">시험 실행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, What-if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</si>
  <si>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</si>
  <si>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t xml:space="preserve">AP4</t>
  </si>
  <si>
    <r>
      <rPr>
        <sz val="10"/>
        <rFont val="Noto Sans CJK KR"/>
        <family val="2"/>
      </rPr>
      <t xml:space="preserve">냉각 일꾼의 제안을 내가 쓴 정답표로 채점해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얼마나 흔들리는지 숫자로 본다 </t>
    </r>
    <r>
      <rPr>
        <sz val="10"/>
        <rFont val="Arial"/>
        <family val="0"/>
        <charset val="1"/>
      </rPr>
      <t xml:space="preserve">(A, </t>
    </r>
    <r>
      <rPr>
        <sz val="10"/>
        <rFont val="Noto Sans CJK KR"/>
        <family val="2"/>
      </rPr>
      <t xml:space="preserve">천천히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</si>
  <si>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직접 쓰기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여러 번 돌려 채점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흔들린 항목 읽기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흔들림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(AT11)</t>
    </r>
  </si>
  <si>
    <t xml:space="preserve">AP5</t>
  </si>
  <si>
    <r>
      <rPr>
        <sz val="10"/>
        <rFont val="Noto Sans CJK KR"/>
        <family val="2"/>
      </rPr>
      <t xml:space="preserve">정기 정비 계획 일꾼에게 보전용 업무 서버를 붙여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정비 패키지와 지금 운전시간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이번 주 오더를 답하게 한다 </t>
    </r>
    <r>
      <rPr>
        <sz val="10"/>
        <rFont val="Arial"/>
        <family val="0"/>
        <charset val="1"/>
      </rPr>
      <t xml:space="preserve">(B,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</si>
  <si>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A </t>
    </r>
    <r>
      <rPr>
        <sz val="10"/>
        <rFont val="Noto Sans CJK KR"/>
        <family val="2"/>
      </rPr>
      <t xml:space="preserve">일꾼 복제해 바꾸기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정비 기한을 지키며 생산 손실 최소</t>
    </r>
    <r>
      <rPr>
        <sz val="10"/>
        <rFont val="Arial"/>
        <family val="0"/>
        <charset val="1"/>
      </rPr>
      <t xml:space="preserve">") · </t>
    </r>
    <r>
      <rPr>
        <sz val="10"/>
        <rFont val="Noto Sans CJK KR"/>
        <family val="2"/>
      </rPr>
      <t xml:space="preserve">보전용 업무 서버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이력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연결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정기 정비 계획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질문하기 두 개</t>
    </r>
    <r>
      <rPr>
        <sz val="10"/>
        <rFont val="Arial"/>
        <family val="0"/>
        <charset val="1"/>
      </rPr>
      <t xml:space="preserve">("2,000 h </t>
    </r>
    <r>
      <rPr>
        <sz val="10"/>
        <rFont val="Noto Sans CJK KR"/>
        <family val="2"/>
      </rPr>
      <t xml:space="preserve">패키지는 무엇을 하나</t>
    </r>
    <r>
      <rPr>
        <sz val="10"/>
        <rFont val="Arial"/>
        <family val="0"/>
        <charset val="1"/>
      </rPr>
      <t xml:space="preserve">" / "</t>
    </r>
    <r>
      <rPr>
        <sz val="10"/>
        <rFont val="Noto Sans CJK KR"/>
        <family val="2"/>
      </rPr>
      <t xml:space="preserve">지금 </t>
    </r>
    <r>
      <rPr>
        <sz val="10"/>
        <rFont val="Arial"/>
        <family val="0"/>
        <charset val="1"/>
      </rPr>
      <t xml:space="preserve">HYD-02 · 03 </t>
    </r>
    <r>
      <rPr>
        <sz val="10"/>
        <rFont val="Noto Sans CJK KR"/>
        <family val="2"/>
      </rPr>
      <t xml:space="preserve">운전시간과 이번 주 오더는</t>
    </r>
    <r>
      <rPr>
        <sz val="10"/>
        <rFont val="Arial"/>
        <family val="0"/>
        <charset val="1"/>
      </rPr>
      <t xml:space="preserve">").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업무 서버를 둘로 나눈 까닭</t>
    </r>
    <r>
      <rPr>
        <sz val="10"/>
        <rFont val="Arial"/>
        <family val="0"/>
        <charset val="1"/>
      </rPr>
      <t xml:space="preserve">(AT4)</t>
    </r>
  </si>
  <si>
    <r>
      <rPr>
        <sz val="10"/>
        <rFont val="Noto Sans CJK KR"/>
        <family val="2"/>
      </rPr>
      <t xml:space="preserve">도구 서버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보전용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작업 요령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</si>
  <si>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MCP ·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</si>
  <si>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t xml:space="preserve">AP6</t>
  </si>
  <si>
    <r>
      <rPr>
        <sz val="10"/>
        <rFont val="Noto Sans CJK KR"/>
        <family val="2"/>
      </rPr>
      <t xml:space="preserve">정기 정비 — 일꾼이 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묶음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부품을 저울질해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오늘 밤 </t>
    </r>
    <r>
      <rPr>
        <sz val="10"/>
        <rFont val="Arial"/>
        <family val="0"/>
        <charset val="1"/>
      </rPr>
      <t xml:space="preserve">HYD-02</t>
    </r>
    <r>
      <rPr>
        <sz val="10"/>
        <rFont val="Noto Sans CJK KR"/>
        <family val="2"/>
      </rPr>
      <t xml:space="preserve">만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추천한다 </t>
    </r>
    <r>
      <rPr>
        <sz val="10"/>
        <rFont val="Arial"/>
        <family val="0"/>
        <charset val="1"/>
      </rPr>
      <t xml:space="preserve">(B,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</si>
  <si>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시험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추천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오늘 밤 예정된 정비 시간에 </t>
    </r>
    <r>
      <rPr>
        <sz val="10"/>
        <rFont val="Arial"/>
        <family val="0"/>
        <charset val="1"/>
      </rPr>
      <t xml:space="preserve">HYD-02</t>
    </r>
    <r>
      <rPr>
        <sz val="10"/>
        <rFont val="Noto Sans CJK KR"/>
        <family val="2"/>
      </rPr>
      <t xml:space="preserve">만</t>
    </r>
    <r>
      <rPr>
        <sz val="10"/>
        <rFont val="Arial"/>
        <family val="0"/>
        <charset val="1"/>
      </rPr>
      <t xml:space="preserve">, HYD-03</t>
    </r>
    <r>
      <rPr>
        <sz val="10"/>
        <rFont val="Noto Sans CJK KR"/>
        <family val="2"/>
      </rPr>
      <t xml:space="preserve">은 허용 오차 안에서 다음 정비 시간으로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지는 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지금 바로 정지 → 오더 손실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허용 오차 밖으로 미루기 → 제조사 보증을 받으려면 기한 안 점검 기록이 있어야 해서 규칙으로 제외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두 대 묶기 → 정비 인력 부족 감점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저장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인력을 늘리면 묶기가 이기나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예방 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 규칙</t>
    </r>
    <r>
      <rPr>
        <sz val="10"/>
        <rFont val="Arial"/>
        <family val="0"/>
        <charset val="1"/>
      </rPr>
      <t xml:space="preserve">(OT7 · AT8) · </t>
    </r>
    <r>
      <rPr>
        <sz val="10"/>
        <rFont val="Noto Sans CJK KR"/>
        <family val="2"/>
      </rPr>
      <t xml:space="preserve">예측</t>
    </r>
    <r>
      <rPr>
        <sz val="10"/>
        <rFont val="Arial"/>
        <family val="0"/>
        <charset val="1"/>
      </rPr>
      <t xml:space="preserve">: 2,200 h</t>
    </r>
    <r>
      <rPr>
        <sz val="10"/>
        <rFont val="Noto Sans CJK KR"/>
        <family val="2"/>
      </rPr>
      <t xml:space="preserve">에 언제 닿나</t>
    </r>
    <r>
      <rPr>
        <sz val="10"/>
        <rFont val="Arial"/>
        <family val="0"/>
        <charset val="1"/>
      </rPr>
      <t xml:space="preserve">(AT10)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</si>
  <si>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</si>
  <si>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t xml:space="preserve">AP7</t>
  </si>
  <si>
    <r>
      <rPr>
        <sz val="10"/>
        <rFont val="Noto Sans CJK KR"/>
        <family val="2"/>
      </rPr>
      <t xml:space="preserve">정기 정비 일꾼의 제안을 채점한다 — 묶기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미루기를 빼먹지 않는가 </t>
    </r>
    <r>
      <rPr>
        <sz val="10"/>
        <rFont val="Arial"/>
        <family val="0"/>
        <charset val="1"/>
      </rPr>
      <t xml:space="preserve">(B,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</si>
  <si>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대신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허용 오차 밖 미루기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채점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</t>
    </r>
  </si>
  <si>
    <t xml:space="preserve">판단 채점</t>
  </si>
  <si>
    <t xml:space="preserve">AP8</t>
  </si>
  <si>
    <r>
      <rPr>
        <sz val="10"/>
        <rFont val="Noto Sans CJK KR"/>
        <family val="2"/>
      </rPr>
      <t xml:space="preserve">예비품 구매 일꾼에게 구매용 업무 서버를 붙여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승인 공급사와 지금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조건을 답하게 한다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</si>
  <si>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복제해 바꾸기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결품 없이 총비용 최소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규정 준수</t>
    </r>
    <r>
      <rPr>
        <sz val="10"/>
        <rFont val="Arial"/>
        <family val="0"/>
        <charset val="1"/>
      </rPr>
      <t xml:space="preserve">") · </t>
    </r>
    <r>
      <rPr>
        <sz val="10"/>
        <rFont val="Noto Sans CJK KR"/>
        <family val="2"/>
      </rPr>
      <t xml:space="preserve">구매용 업무 서버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창고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조건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연결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예비품 구매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질문하기 두 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세 일꾼 설정 비교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지도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</t>
    </r>
  </si>
  <si>
    <r>
      <rPr>
        <sz val="10"/>
        <rFont val="Noto Sans CJK KR"/>
        <family val="2"/>
      </rPr>
      <t xml:space="preserve">도구 서버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구매용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작업 요령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</si>
  <si>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MCP ·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</si>
  <si>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t xml:space="preserve">AP9</t>
  </si>
  <si>
    <r>
      <rPr>
        <sz val="10"/>
        <rFont val="Noto Sans CJK KR"/>
        <family val="2"/>
      </rPr>
      <t xml:space="preserve">예비품 구매 — 일꾼이 공급사 셋을 총비용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품질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규정으로 비교해 </t>
    </r>
    <r>
      <rPr>
        <sz val="10"/>
        <rFont val="Arial"/>
        <family val="0"/>
        <charset val="1"/>
      </rPr>
      <t xml:space="preserve">"B-OEM 6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추천한다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</si>
  <si>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시험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공급사 비교표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</t>
    </r>
    <r>
      <rPr>
        <sz val="10"/>
        <rFont val="Arial"/>
        <family val="0"/>
        <charset val="1"/>
      </rPr>
      <t xml:space="preserve">: B-OEM 6</t>
    </r>
    <r>
      <rPr>
        <sz val="10"/>
        <rFont val="Noto Sans CJK KR"/>
        <family val="2"/>
      </rPr>
      <t xml:space="preserve">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지는 안</t>
    </r>
    <r>
      <rPr>
        <sz val="10"/>
        <rFont val="Arial"/>
        <family val="0"/>
        <charset val="1"/>
      </rPr>
      <t xml:space="preserve">: A</t>
    </r>
    <r>
      <rPr>
        <sz val="10"/>
        <rFont val="Noto Sans CJK KR"/>
        <family val="2"/>
      </rPr>
      <t xml:space="preserve">정밀 → 싸지만 불량 </t>
    </r>
    <r>
      <rPr>
        <sz val="10"/>
        <rFont val="Arial"/>
        <family val="0"/>
        <charset val="1"/>
      </rPr>
      <t xml:space="preserve">12 %</t>
    </r>
    <r>
      <rPr>
        <sz val="10"/>
        <rFont val="Noto Sans CJK KR"/>
        <family val="2"/>
      </rPr>
      <t xml:space="preserve">로 불량 기대비용이 큼</t>
    </r>
    <r>
      <rPr>
        <sz val="10"/>
        <rFont val="Arial"/>
        <family val="0"/>
        <charset val="1"/>
      </rPr>
      <t xml:space="preserve">, C</t>
    </r>
    <r>
      <rPr>
        <sz val="10"/>
        <rFont val="Noto Sans CJK KR"/>
        <family val="2"/>
      </rPr>
      <t xml:space="preserve">트레이딩 → 가장 싸지만 비승인이라 규칙으로 제외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저장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불량률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단가를 바꾸면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총비용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단가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불량 기대비용</t>
    </r>
    <r>
      <rPr>
        <sz val="10"/>
        <rFont val="Arial"/>
        <family val="0"/>
        <charset val="1"/>
      </rPr>
      <t xml:space="preserve">(AT9) 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(AT8)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</si>
  <si>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</si>
  <si>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t xml:space="preserve">AP10</t>
  </si>
  <si>
    <r>
      <rPr>
        <sz val="10"/>
        <rFont val="Noto Sans CJK KR"/>
        <family val="2"/>
      </rPr>
      <t xml:space="preserve">예비품 일꾼의 제안을 채점한다 — 비승인 공급사를 늘 빼는가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</si>
  <si>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추천 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수량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: C</t>
    </r>
    <r>
      <rPr>
        <sz val="10"/>
        <rFont val="Noto Sans CJK KR"/>
        <family val="2"/>
      </rPr>
      <t xml:space="preserve">트레이딩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채점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</t>
    </r>
  </si>
  <si>
    <t xml:space="preserve">AP11</t>
  </si>
  <si>
    <r>
      <rPr>
        <sz val="10"/>
        <rFont val="Noto Sans CJK KR"/>
        <family val="2"/>
      </rPr>
      <t xml:space="preserve">세 일꾼을 나란히 놓으면 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요령이 다를 때 판단 근거와 점수가 다르다</t>
    </r>
  </si>
  <si>
    <r>
      <rPr>
        <sz val="10"/>
        <rFont val="Arial"/>
        <family val="0"/>
        <charset val="1"/>
      </rPr>
      <t xml:space="preserve">A · B · C </t>
    </r>
    <r>
      <rPr>
        <sz val="10"/>
        <rFont val="Noto Sans CJK KR"/>
        <family val="2"/>
      </rPr>
      <t xml:space="preserve">일꾼 설정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 카드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 나란히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손익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묶음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총비용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규정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무엇이 판단을 바꿨나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부분</t>
    </r>
    <r>
      <rPr>
        <sz val="10"/>
        <rFont val="Arial"/>
        <family val="0"/>
        <charset val="1"/>
      </rPr>
      <t xml:space="preserve">(AT1) ·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(AT7)</t>
    </r>
  </si>
  <si>
    <t xml:space="preserve">일꾼 비교</t>
  </si>
  <si>
    <t xml:space="preserve">AL1</t>
  </si>
  <si>
    <t xml:space="preserve">스스로 무엇을 확인할지 정해 한 단계씩 밟는 작은 일꾼을 만든다</t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</si>
  <si>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질문을 받아 확인할 것을 정하고 준비된 함수로 보고 다시 판단하는 작은 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콘솔에 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 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질문하기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과정 보기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에이전트 트랙 폴더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세 사건 질문 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되풀이 고리</t>
    </r>
    <r>
      <rPr>
        <sz val="10"/>
        <rFont val="Arial"/>
        <family val="0"/>
        <charset val="1"/>
      </rPr>
      <t xml:space="preserve">(AT2) · </t>
    </r>
    <r>
      <rPr>
        <sz val="10"/>
        <rFont val="Noto Sans CJK KR"/>
        <family val="2"/>
      </rPr>
      <t xml:space="preserve">네 부분</t>
    </r>
    <r>
      <rPr>
        <sz val="10"/>
        <rFont val="Arial"/>
        <family val="0"/>
        <charset val="1"/>
      </rPr>
      <t xml:space="preserve">(AT1)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</si>
  <si>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에이전트 되풀이 고리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</si>
  <si>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L12</t>
    </r>
  </si>
  <si>
    <t xml:space="preserve">AL2</t>
  </si>
  <si>
    <t xml:space="preserve">내 일꾼이 쿨러의 지금 유온과 팬 지시값을 직접 묻게 도구를 붙인다</t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</si>
  <si>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결과가 포털 실시간 화면 값과 같음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써 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실시간 모니터링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시계열 조회 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지금 값은 원천에</t>
    </r>
    <r>
      <rPr>
        <sz val="10"/>
        <rFont val="Arial"/>
        <family val="0"/>
        <charset val="1"/>
      </rPr>
      <t xml:space="preserve">(AT5) · </t>
    </r>
    <r>
      <rPr>
        <sz val="10"/>
        <rFont val="Noto Sans CJK KR"/>
        <family val="2"/>
      </rPr>
      <t xml:space="preserve">도구 네 칸</t>
    </r>
    <r>
      <rPr>
        <sz val="10"/>
        <rFont val="Arial"/>
        <family val="0"/>
        <charset val="1"/>
      </rPr>
      <t xml:space="preserve">(AT3)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</si>
  <si>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도구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함수 호출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시계열 조회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</si>
  <si>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L13</t>
    </r>
  </si>
  <si>
    <t xml:space="preserve">AL3</t>
  </si>
  <si>
    <t xml:space="preserve">내 지식 지도를 규격으로 꽂아 일꾼이 직접 길을 찾게 한다</t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</si>
  <si>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틀을 먼저 읽고 질문을 쓰는 기록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쓰기 요청 거절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사건 질문 답이 </t>
    </r>
    <r>
      <rPr>
        <sz val="10"/>
        <rFont val="Arial"/>
        <family val="0"/>
        <charset val="1"/>
      </rPr>
      <t xml:space="preserve">OL8</t>
    </r>
    <r>
      <rPr>
        <sz val="10"/>
        <rFont val="Noto Sans CJK KR"/>
        <family val="2"/>
      </rPr>
      <t xml:space="preserve">과 같음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지도 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그래프 연결 설정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규격</t>
    </r>
    <r>
      <rPr>
        <sz val="10"/>
        <rFont val="Arial"/>
        <family val="0"/>
        <charset val="1"/>
      </rPr>
      <t xml:space="preserve">(AT4) · </t>
    </r>
    <r>
      <rPr>
        <sz val="10"/>
        <rFont val="Noto Sans CJK KR"/>
        <family val="2"/>
      </rPr>
      <t xml:space="preserve">읽기만</t>
    </r>
    <r>
      <rPr>
        <sz val="10"/>
        <rFont val="Arial"/>
        <family val="0"/>
        <charset val="1"/>
      </rPr>
      <t xml:space="preserve">(AT6) · </t>
    </r>
    <r>
      <rPr>
        <sz val="10"/>
        <rFont val="Noto Sans CJK KR"/>
        <family val="2"/>
      </rPr>
      <t xml:space="preserve">지도에 묻기</t>
    </r>
    <r>
      <rPr>
        <sz val="10"/>
        <rFont val="Arial"/>
        <family val="0"/>
        <charset val="1"/>
      </rPr>
      <t xml:space="preserve">(OT10)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</si>
  <si>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도구 연결 규격</t>
    </r>
    <r>
      <rPr>
        <sz val="10"/>
        <rFont val="Arial"/>
        <family val="0"/>
        <charset val="1"/>
      </rPr>
      <t xml:space="preserve">(MCP), </t>
    </r>
    <r>
      <rPr>
        <sz val="10"/>
        <rFont val="Noto Sans CJK KR"/>
        <family val="2"/>
      </rPr>
      <t xml:space="preserve">지식 그래프 연결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</si>
  <si>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MCP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L14</t>
    </r>
  </si>
  <si>
    <t xml:space="preserve">AL4</t>
  </si>
  <si>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를 읽는 내 도구 서버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보전용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구매용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만들어 포털에 등록하고 연결 검사를 통과시킨다</t>
    </r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</si>
  <si>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보전용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작은 서버 → 같은 뼈대로 구매용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도구 목록에 내 서버 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쓰기 도구 거절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서버 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</t>
    </r>
    <r>
      <rPr>
        <sz val="10"/>
        <rFont val="Arial"/>
        <family val="0"/>
        <charset val="1"/>
      </rPr>
      <t xml:space="preserve">(AP5 · AP8</t>
    </r>
    <r>
      <rPr>
        <sz val="10"/>
        <rFont val="Noto Sans CJK KR"/>
        <family val="2"/>
      </rPr>
      <t xml:space="preserve">에서 써 본 화면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작은 서버 뼈대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읽기만</t>
    </r>
    <r>
      <rPr>
        <sz val="10"/>
        <rFont val="Arial"/>
        <family val="0"/>
        <charset val="1"/>
      </rPr>
      <t xml:space="preserve">(AT6) · </t>
    </r>
    <r>
      <rPr>
        <sz val="10"/>
        <rFont val="Noto Sans CJK KR"/>
        <family val="2"/>
      </rPr>
      <t xml:space="preserve">규격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서버 둘</t>
    </r>
    <r>
      <rPr>
        <sz val="10"/>
        <rFont val="Arial"/>
        <family val="0"/>
        <charset val="1"/>
      </rPr>
      <t xml:space="preserve">(AT4)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</si>
  <si>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도구 서버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연결 검사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</si>
  <si>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MCP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L15</t>
    </r>
  </si>
  <si>
    <t xml:space="preserve">AL5</t>
  </si>
  <si>
    <t xml:space="preserve">작업 요령을 써서 일꾼이 확인하는 순서를 바꾼다</t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</si>
  <si>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요령 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후 도구 호출 순서 차이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정기 정비 요령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기한 → 허용 오차 → 생산 오더 → 인력 → 부품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요령 붙이기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요령 문서 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체크리스트</t>
    </r>
    <r>
      <rPr>
        <sz val="10"/>
        <rFont val="Arial"/>
        <family val="0"/>
        <charset val="1"/>
      </rPr>
      <t xml:space="preserve">(AT7)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</si>
  <si>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작업 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스킬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</si>
  <si>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L16</t>
    </r>
  </si>
  <si>
    <t xml:space="preserve">AL6</t>
  </si>
  <si>
    <r>
      <rPr>
        <sz val="10"/>
        <rFont val="Noto Sans CJK KR"/>
        <family val="2"/>
      </rPr>
      <t xml:space="preserve">위험한 안은 규칙이 빼고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남은 안은 돈으로 순위를 매겨 추천안 하나를 낸다</t>
    </r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</si>
  <si>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금지 안 제외</t>
    </r>
    <r>
      <rPr>
        <sz val="10"/>
        <rFont val="Arial"/>
        <family val="0"/>
        <charset val="1"/>
      </rPr>
      <t xml:space="preserve">(C</t>
    </r>
    <r>
      <rPr>
        <sz val="10"/>
        <rFont val="Noto Sans CJK KR"/>
        <family val="2"/>
      </rPr>
      <t xml:space="preserve">트레이딩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 밖 미루기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가중치 하나 바꿔 순위 변화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추천 하나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지는 안 이유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제안 카드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값 바꿔 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규칙표 예</t>
    </r>
    <r>
      <rPr>
        <sz val="10"/>
        <rFont val="Arial"/>
        <family val="0"/>
        <charset val="1"/>
      </rPr>
      <t xml:space="preserve">(AT8</t>
    </r>
    <r>
      <rPr>
        <sz val="10"/>
        <rFont val="Noto Sans CJK KR"/>
        <family val="2"/>
      </rPr>
      <t xml:space="preserve">에서 만든 모양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규칙과 </t>
    </r>
    <r>
      <rPr>
        <sz val="10"/>
        <rFont val="Arial"/>
        <family val="0"/>
        <charset val="1"/>
      </rPr>
      <t xml:space="preserve">AI(AT8) · </t>
    </r>
    <r>
      <rPr>
        <sz val="10"/>
        <rFont val="Noto Sans CJK KR"/>
        <family val="2"/>
      </rPr>
      <t xml:space="preserve">돈으로 비교</t>
    </r>
    <r>
      <rPr>
        <sz val="10"/>
        <rFont val="Arial"/>
        <family val="0"/>
        <charset val="1"/>
      </rPr>
      <t xml:space="preserve">(AT9)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</si>
  <si>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판단 규칙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손익 순위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</si>
  <si>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L17</t>
    </r>
  </si>
  <si>
    <t xml:space="preserve">AL7</t>
  </si>
  <si>
    <t xml:space="preserve">같은 사건에 대한 일꾼의 판단 다섯 건을 정답표로 자동 채점한다</t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</si>
  <si>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점수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포털 점수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판단 채점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정답표 예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판단 다섯 건 기록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흔들림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(AT11)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</si>
  <si>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채점 자동화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</si>
  <si>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L18</t>
    </r>
  </si>
  <si>
    <t xml:space="preserve">AL8</t>
  </si>
  <si>
    <r>
      <rPr>
        <sz val="10"/>
        <rFont val="Noto Sans CJK KR"/>
        <family val="2"/>
      </rPr>
      <t xml:space="preserve">모은 일꾼이 포털 기본 일꾼과 같은 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근거를 내는지 겨뤄 본다</t>
    </r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</si>
  <si>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 비교표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로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시험 실행 비교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에이전트 네 부분 전체</t>
    </r>
    <r>
      <rPr>
        <sz val="10"/>
        <rFont val="Arial"/>
        <family val="0"/>
        <charset val="1"/>
      </rPr>
      <t xml:space="preserve">(AT1)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</si>
  <si>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일꾼 통합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비교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</si>
  <si>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W4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L19</t>
    </r>
  </si>
  <si>
    <t xml:space="preserve">AL9</t>
  </si>
  <si>
    <r>
      <rPr>
        <sz val="10"/>
        <rFont val="Noto Sans CJK KR"/>
        <family val="2"/>
      </rPr>
      <t xml:space="preserve">작은 일꾼에 붙여 온 것들이 포털 에이전트의 어느 설정인지 한 장으로 잇고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과정 노트에 남긴다</t>
    </r>
  </si>
  <si>
    <r>
      <rPr>
        <sz val="10"/>
        <rFont val="Noto Sans CJK KR"/>
        <family val="2"/>
      </rPr>
      <t xml:space="preserve">에이전트 트랙 한눈에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작은 일꾼 → 도구 → 지도 → 내 서버 → 요령 → 규칙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순위 → 채점 → 겨루기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조각마다 포털의 어느 설정인가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 노트 쓰기</t>
    </r>
  </si>
  <si>
    <t xml:space="preserve">BPMN</t>
  </si>
  <si>
    <t xml:space="preserve">BT1</t>
  </si>
  <si>
    <t xml:space="preserve">레시피와 오늘 저녁 요리는 다르다 — 업무 흐름의 정의와 실제 한 건</t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</si>
  <si>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레시피는 하나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오늘 저녁 요리는 매일 새 한 건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에이전트 막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막 여는 이야기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제안 카드가 있다 → 누가 승인하고 무엇이 실행되나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오늘 저녁 요리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정의와 실제 한 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처리 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기호 다섯 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시작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갈림길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선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그리기는 다음 행</t>
    </r>
    <r>
      <rPr>
        <sz val="10"/>
        <rFont val="Arial"/>
        <family val="0"/>
        <charset val="1"/>
      </rPr>
      <t xml:space="preserve">)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BT2 · BP2</t>
    </r>
  </si>
  <si>
    <r>
      <rPr>
        <sz val="10"/>
        <rFont val="Noto Sans CJK KR"/>
        <family val="2"/>
      </rPr>
      <t xml:space="preserve">업무 흐름</t>
    </r>
    <r>
      <rPr>
        <sz val="10"/>
        <rFont val="Arial"/>
        <family val="0"/>
        <charset val="1"/>
      </rPr>
      <t xml:space="preserve">(BPMN), </t>
    </r>
    <r>
      <rPr>
        <sz val="10"/>
        <rFont val="Noto Sans CJK KR"/>
        <family val="2"/>
      </rPr>
      <t xml:space="preserve">정의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처리 건</t>
    </r>
  </si>
  <si>
    <t xml:space="preserve">BT2</t>
  </si>
  <si>
    <t xml:space="preserve">카페 주문 흐름을 따라 그려 기호 다섯 개를 손에 익힌다</t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</si>
  <si>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주문 흐름을 내 손으로 </t>
    </r>
    <r>
      <rPr>
        <sz val="10"/>
        <rFont val="Arial"/>
        <family val="0"/>
        <charset val="1"/>
      </rPr>
      <t xml:space="preserve">5</t>
    </r>
    <r>
      <rPr>
        <sz val="10"/>
        <rFont val="Noto Sans CJK KR"/>
        <family val="2"/>
      </rPr>
      <t xml:space="preserve">분 만에 그린다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기호 다섯 개 </t>
    </r>
    <r>
      <rPr>
        <sz val="10"/>
        <rFont val="Arial"/>
        <family val="0"/>
        <charset val="1"/>
      </rPr>
      <t xml:space="preserve">/ demo.bpmn.io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내보내기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카페 주문 흐름 따라 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이 화면은 </t>
    </r>
    <r>
      <rPr>
        <sz val="10"/>
        <rFont val="Arial"/>
        <family val="0"/>
        <charset val="1"/>
      </rPr>
      <t xml:space="preserve">BT6 · BP2</t>
    </r>
    <r>
      <rPr>
        <sz val="10"/>
        <rFont val="Noto Sans CJK KR"/>
        <family val="2"/>
      </rPr>
      <t xml:space="preserve">에서 다시 쓴다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BT6 · BP2 · BL1</t>
    </r>
  </si>
  <si>
    <t xml:space="preserve">bpmn.io</t>
  </si>
  <si>
    <r>
      <rPr>
        <sz val="10"/>
        <rFont val="Noto Sans CJK KR"/>
        <family val="2"/>
      </rPr>
      <t xml:space="preserve">도구 시연</t>
    </r>
    <r>
      <rPr>
        <sz val="10"/>
        <rFont val="Arial"/>
        <family val="0"/>
        <charset val="1"/>
      </rPr>
      <t xml:space="preserve">(bpmn.io) · </t>
    </r>
    <r>
      <rPr>
        <sz val="10"/>
        <rFont val="Noto Sans CJK KR"/>
        <family val="2"/>
      </rPr>
      <t xml:space="preserve">멈추고 해 보기</t>
    </r>
  </si>
  <si>
    <t xml:space="preserve">BT3</t>
  </si>
  <si>
    <t xml:space="preserve">일어난 일을 시간순으로 붙이면 흐름과 담당이 보인다 — 사건 펼치기와 일을 나누는 기준</t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</si>
  <si>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배달 앱 주문이 집에 오기까지 </t>
    </r>
    <r>
      <rPr>
        <sz val="10"/>
        <rFont val="Arial"/>
        <family val="0"/>
        <charset val="1"/>
      </rPr>
      <t xml:space="preserve">"~</t>
    </r>
    <r>
      <rPr>
        <sz val="10"/>
        <rFont val="Noto Sans CJK KR"/>
        <family val="2"/>
      </rPr>
      <t xml:space="preserve">됨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포스트잇 붙이기 — 누가 바통을 넘기나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흐름을 그릴 수 있다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이벤트 스토밍이 무엇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포스트잇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배달 주문의 </t>
    </r>
    <r>
      <rPr>
        <sz val="10"/>
        <rFont val="Arial"/>
        <family val="0"/>
        <charset val="1"/>
      </rPr>
      <t xml:space="preserve">"~</t>
    </r>
    <r>
      <rPr>
        <sz val="10"/>
        <rFont val="Noto Sans CJK KR"/>
        <family val="2"/>
      </rPr>
      <t xml:space="preserve">됨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사건을 시간순으로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영상은 녹화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담당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넘기는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바통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일을 나누는 기준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하는 사람이 바뀌거나 다른 시스템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결과물이 생길 때만 나눈다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같은 사람이 이어서 하는 일은 하나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발표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BP2 "</t>
    </r>
    <r>
      <rPr>
        <sz val="10"/>
        <rFont val="Noto Sans CJK KR"/>
        <family val="2"/>
      </rPr>
      <t xml:space="preserve">우리 사건을 말로 펼치기</t>
    </r>
    <r>
      <rPr>
        <sz val="10"/>
        <rFont val="Arial"/>
        <family val="0"/>
        <charset val="1"/>
      </rPr>
      <t xml:space="preserve">" · BL1</t>
    </r>
  </si>
  <si>
    <r>
      <rPr>
        <sz val="10"/>
        <rFont val="Noto Sans CJK KR"/>
        <family val="2"/>
      </rPr>
      <t xml:space="preserve">사건 펼치기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이벤트 스토밍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레인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일 나누기</t>
    </r>
  </si>
  <si>
    <r>
      <rPr>
        <sz val="10"/>
        <rFont val="Noto Sans CJK KR"/>
        <family val="2"/>
      </rPr>
      <t xml:space="preserve">개념 설명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포스트잇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녹화</t>
    </r>
    <r>
      <rPr>
        <sz val="10"/>
        <rFont val="Arial"/>
        <family val="0"/>
        <charset val="1"/>
      </rPr>
      <t xml:space="preserve">)</t>
    </r>
  </si>
  <si>
    <t xml:space="preserve">BT4</t>
  </si>
  <si>
    <r>
      <rPr>
        <sz val="10"/>
        <rFont val="Noto Sans CJK KR"/>
        <family val="2"/>
      </rPr>
      <t xml:space="preserve">무엇이 흐름을 여는가 — 센서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재고 기준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 · B · C)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</si>
  <si>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초인종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알람시계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냉장고 알림 — 흐름을 여는 세 가지 방아쇠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흐름의 칸과 일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시작 종류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센서 경보 </t>
    </r>
    <r>
      <rPr>
        <sz val="10"/>
        <rFont val="Arial"/>
        <family val="0"/>
        <charset val="1"/>
      </rPr>
      <t xml:space="preserve">= A · </t>
    </r>
    <r>
      <rPr>
        <sz val="10"/>
        <rFont val="Noto Sans CJK KR"/>
        <family val="2"/>
      </rPr>
      <t xml:space="preserve">운전시간 계수기가 정한 때 </t>
    </r>
    <r>
      <rPr>
        <sz val="10"/>
        <rFont val="Arial"/>
        <family val="0"/>
        <charset val="1"/>
      </rPr>
      <t xml:space="preserve">= B · </t>
    </r>
    <r>
      <rPr>
        <sz val="10"/>
        <rFont val="Noto Sans CJK KR"/>
        <family val="2"/>
      </rPr>
      <t xml:space="preserve">재고 기준 이탈 </t>
    </r>
    <r>
      <rPr>
        <sz val="10"/>
        <rFont val="Arial"/>
        <family val="0"/>
        <charset val="1"/>
      </rPr>
      <t xml:space="preserve">= C) · </t>
    </r>
    <r>
      <rPr>
        <sz val="10"/>
        <rFont val="Noto Sans CJK KR"/>
        <family val="2"/>
      </rPr>
      <t xml:space="preserve">사람이 누르지 않아도 열린다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수업에서는 버튼으로 원인을 만들고 감지는 시스템이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BP2~BP6 </t>
    </r>
    <r>
      <rPr>
        <sz val="10"/>
        <rFont val="Noto Sans CJK KR"/>
        <family val="2"/>
      </rPr>
      <t xml:space="preserve">시작 </t>
    </r>
    <r>
      <rPr>
        <sz val="10"/>
        <rFont val="Arial"/>
        <family val="0"/>
        <charset val="1"/>
      </rPr>
      <t xml:space="preserve">· BL5</t>
    </r>
  </si>
  <si>
    <r>
      <rPr>
        <sz val="10"/>
        <rFont val="Noto Sans CJK KR"/>
        <family val="2"/>
      </rPr>
      <t xml:space="preserve">시작 이벤트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신호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조건</t>
    </r>
    <r>
      <rPr>
        <sz val="10"/>
        <rFont val="Arial"/>
        <family val="0"/>
        <charset val="1"/>
      </rPr>
      <t xml:space="preserve">)</t>
    </r>
  </si>
  <si>
    <t xml:space="preserve">BT5</t>
  </si>
  <si>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바로 실행하면 안 되는 이유 — 담당자가 딱 한 번 승인한다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</si>
  <si>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큰돈 이체 확인 문자 —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확인 없이 바로 실행하면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흐름이 저절로 열린다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결재 도장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큰돈 이체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제안과 실행 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담당자가 자기 업무를 한 번만 승인한다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운전원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설비보전팀장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 담당 — 두 번 결재하지 않는다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승인할 것은 요약 카드 하나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승인 뒤 실행은 시스템이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없이는 환불 못 한다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BP2 </t>
    </r>
    <r>
      <rPr>
        <sz val="10"/>
        <rFont val="Noto Sans CJK KR"/>
        <family val="2"/>
      </rPr>
      <t xml:space="preserve">사전 검사 </t>
    </r>
    <r>
      <rPr>
        <sz val="10"/>
        <rFont val="Arial"/>
        <family val="0"/>
        <charset val="1"/>
      </rPr>
      <t xml:space="preserve">· BP3~BP7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BL3</t>
    </r>
  </si>
  <si>
    <r>
      <rPr>
        <sz val="10"/>
        <rFont val="Noto Sans CJK KR"/>
        <family val="2"/>
      </rPr>
      <t xml:space="preserve">사람 승인</t>
    </r>
    <r>
      <rPr>
        <sz val="10"/>
        <rFont val="Arial"/>
        <family val="0"/>
        <charset val="1"/>
      </rPr>
      <t xml:space="preserve">(HITL), </t>
    </r>
    <r>
      <rPr>
        <sz val="10"/>
        <rFont val="Noto Sans CJK KR"/>
        <family val="2"/>
      </rPr>
      <t xml:space="preserve">사람 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휴먼 태스크</t>
    </r>
    <r>
      <rPr>
        <sz val="10"/>
        <rFont val="Arial"/>
        <family val="0"/>
        <charset val="1"/>
      </rPr>
      <t xml:space="preserve">)</t>
    </r>
  </si>
  <si>
    <t xml:space="preserve">BT6</t>
  </si>
  <si>
    <r>
      <rPr>
        <sz val="10"/>
        <rFont val="Noto Sans CJK KR"/>
        <family val="2"/>
      </rPr>
      <t xml:space="preserve">기다리거나 늦을 때 흐름이 갈 길을 미리 그린다 — 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예정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입고 기다림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</si>
  <si>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택배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미용실 예약 시간 — 기다림도 그림의 한 칸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승인을 기다린다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기한 넘김</t>
    </r>
    <r>
      <rPr>
        <sz val="10"/>
        <rFont val="Arial"/>
        <family val="0"/>
        <charset val="1"/>
      </rPr>
      <t xml:space="preserve">(A: </t>
    </r>
    <r>
      <rPr>
        <sz val="10"/>
        <rFont val="Noto Sans CJK KR"/>
        <family val="2"/>
      </rPr>
      <t xml:space="preserve">승인이 늦으면 지연 알림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예정된 시간까지 기다림</t>
    </r>
    <r>
      <rPr>
        <sz val="10"/>
        <rFont val="Arial"/>
        <family val="0"/>
        <charset val="1"/>
      </rPr>
      <t xml:space="preserve">(B: </t>
    </r>
    <r>
      <rPr>
        <sz val="10"/>
        <rFont val="Noto Sans CJK KR"/>
        <family val="2"/>
      </rPr>
      <t xml:space="preserve">낮에 설비를 세울 수 없어 예정된 정비 시간까지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입고 기다림</t>
    </r>
    <r>
      <rPr>
        <sz val="10"/>
        <rFont val="Arial"/>
        <family val="0"/>
        <charset val="1"/>
      </rPr>
      <t xml:space="preserve">(C: </t>
    </r>
    <r>
      <rPr>
        <sz val="10"/>
        <rFont val="Noto Sans CJK KR"/>
        <family val="2"/>
      </rPr>
      <t xml:space="preserve">납기까지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기다린 뒤의 갈림길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정상</t>
    </r>
    <r>
      <rPr>
        <sz val="10"/>
        <rFont val="Arial"/>
        <family val="0"/>
        <charset val="1"/>
      </rPr>
      <t xml:space="preserve">/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) · bpmn.io: </t>
    </r>
    <r>
      <rPr>
        <sz val="10"/>
        <rFont val="Noto Sans CJK KR"/>
        <family val="2"/>
      </rPr>
      <t xml:space="preserve">배달 </t>
    </r>
    <r>
      <rPr>
        <sz val="10"/>
        <rFont val="Arial"/>
        <family val="0"/>
        <charset val="1"/>
      </rPr>
      <t xml:space="preserve">+ "30</t>
    </r>
    <r>
      <rPr>
        <sz val="10"/>
        <rFont val="Noto Sans CJK KR"/>
        <family val="2"/>
      </rPr>
      <t xml:space="preserve">분 지나면 알림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타이머 그리기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BP2~BP6 </t>
    </r>
    <r>
      <rPr>
        <sz val="10"/>
        <rFont val="Noto Sans CJK KR"/>
        <family val="2"/>
      </rPr>
      <t xml:space="preserve">타이머 </t>
    </r>
    <r>
      <rPr>
        <sz val="10"/>
        <rFont val="Arial"/>
        <family val="0"/>
        <charset val="1"/>
      </rPr>
      <t xml:space="preserve">· BL4</t>
    </r>
  </si>
  <si>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갈림길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게이트웨이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</si>
  <si>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개념 설명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도구 시연</t>
    </r>
    <r>
      <rPr>
        <sz val="10"/>
        <rFont val="Arial"/>
        <family val="0"/>
        <charset val="1"/>
      </rPr>
      <t xml:space="preserve">(bpmn.io)</t>
    </r>
  </si>
  <si>
    <t xml:space="preserve">BT7</t>
  </si>
  <si>
    <t xml:space="preserve">해 놓고 끝이 아니다 — 시스템이 효과를 확인해 결과 보고를 올려야 일이 닫힌다</t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</si>
  <si>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택배는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보냈다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가 아니라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받았다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여야 끝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기다린 뒤 갈림길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배포한 세 흐름에 사건을 일으킨다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택배 수령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세 가지 자동 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55 ℃ </t>
    </r>
    <r>
      <rPr>
        <sz val="10"/>
        <rFont val="Noto Sans CJK KR"/>
        <family val="2"/>
      </rPr>
      <t xml:space="preserve">미만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경보 해제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시운전 압력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진동 정상 → 계수기 리셋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입고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확인이 실패해도 조용히 닫지 않는다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" · "</t>
    </r>
    <r>
      <rPr>
        <sz val="10"/>
        <rFont val="Noto Sans CJK KR"/>
        <family val="2"/>
      </rPr>
      <t xml:space="preserve">지연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결과 보고로 닫는다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BP3~BP7 · BL6</t>
    </r>
  </si>
  <si>
    <r>
      <rPr>
        <sz val="10"/>
        <rFont val="Noto Sans CJK KR"/>
        <family val="2"/>
      </rPr>
      <t xml:space="preserve">효과 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재관측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결과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미달 가지</t>
    </r>
  </si>
  <si>
    <t xml:space="preserve">BT8</t>
  </si>
  <si>
    <r>
      <rPr>
        <sz val="10"/>
        <rFont val="Noto Sans CJK KR"/>
        <family val="2"/>
      </rPr>
      <t xml:space="preserve">흐름을 바꿔도 안전하게 — 판본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</si>
  <si>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최종</t>
    </r>
    <r>
      <rPr>
        <sz val="10"/>
        <rFont val="Arial"/>
        <family val="0"/>
        <charset val="1"/>
      </rPr>
      <t xml:space="preserve">_</t>
    </r>
    <r>
      <rPr>
        <sz val="10"/>
        <rFont val="Noto Sans CJK KR"/>
        <family val="2"/>
      </rPr>
      <t xml:space="preserve">진짜최종</t>
    </r>
    <r>
      <rPr>
        <sz val="10"/>
        <rFont val="Arial"/>
        <family val="0"/>
        <charset val="1"/>
      </rPr>
      <t xml:space="preserve">.docx" — </t>
    </r>
    <r>
      <rPr>
        <sz val="10"/>
        <rFont val="Noto Sans CJK KR"/>
        <family val="2"/>
      </rPr>
      <t xml:space="preserve">판 번호가 왜 필요할까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흐름을 그려 올린다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 버전 기록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배포하면 새 건부터 새 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BP2 </t>
    </r>
    <r>
      <rPr>
        <sz val="10"/>
        <rFont val="Noto Sans CJK KR"/>
        <family val="2"/>
      </rPr>
      <t xml:space="preserve">배포 </t>
    </r>
    <r>
      <rPr>
        <sz val="10"/>
        <rFont val="Arial"/>
        <family val="0"/>
        <charset val="1"/>
      </rPr>
      <t xml:space="preserve">· BL2</t>
    </r>
  </si>
  <si>
    <r>
      <rPr>
        <sz val="10"/>
        <rFont val="Noto Sans CJK KR"/>
        <family val="2"/>
      </rPr>
      <t xml:space="preserve">판본 배포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</t>
    </r>
  </si>
  <si>
    <t xml:space="preserve">BT9</t>
  </si>
  <si>
    <r>
      <rPr>
        <sz val="10"/>
        <rFont val="Noto Sans CJK KR"/>
        <family val="2"/>
      </rPr>
      <t xml:space="preserve">닫힌 건이 쌓이면 지표로 돌아본다 — 응답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회복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기한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</si>
  <si>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월 매출표 — 어느 요일에 왜 떨어졌나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닫힌 건이 쌓인다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경보 →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회복 시간 </t>
    </r>
    <r>
      <rPr>
        <sz val="10"/>
        <rFont val="Arial"/>
        <family val="0"/>
        <charset val="1"/>
      </rPr>
      <t xml:space="preserve">/ B </t>
    </r>
    <r>
      <rPr>
        <sz val="10"/>
        <rFont val="Noto Sans CJK KR"/>
        <family val="2"/>
      </rPr>
      <t xml:space="preserve">정비 기한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계획 정비 비율 </t>
    </r>
    <r>
      <rPr>
        <sz val="10"/>
        <rFont val="Arial"/>
        <family val="0"/>
        <charset val="1"/>
      </rPr>
      <t xml:space="preserve">/ C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 · </t>
    </r>
    <r>
      <rPr>
        <sz val="10"/>
        <rFont val="Noto Sans CJK KR"/>
        <family val="2"/>
      </rPr>
      <t xml:space="preserve">총 구매비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월 매출표에서 미달 원인 찾기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BP8</t>
    </r>
  </si>
  <si>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(KPI) </t>
    </r>
    <r>
      <rPr>
        <sz val="10"/>
        <rFont val="Noto Sans CJK KR"/>
        <family val="2"/>
      </rPr>
      <t xml:space="preserve">실적</t>
    </r>
  </si>
  <si>
    <t xml:space="preserve">BT10</t>
  </si>
  <si>
    <r>
      <rPr>
        <sz val="10"/>
        <rFont val="Noto Sans CJK KR"/>
        <family val="2"/>
      </rPr>
      <t xml:space="preserve">바꾸기 전에 바꿀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바꾸면 안 될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완료 조건을 먼저 적는다 — 명세 먼저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</si>
  <si>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집 리모델링 전에 도면부터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판을 바꿀 때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공사 전 도면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명세 세 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메뉴 하나 추가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세 줄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BL2</t>
    </r>
  </si>
  <si>
    <r>
      <rPr>
        <sz val="10"/>
        <rFont val="Noto Sans CJK KR"/>
        <family val="2"/>
      </rPr>
      <t xml:space="preserve">명세 먼저</t>
    </r>
    <r>
      <rPr>
        <sz val="10"/>
        <rFont val="Arial"/>
        <family val="0"/>
        <charset val="1"/>
      </rPr>
      <t xml:space="preserve">(SDD)</t>
    </r>
  </si>
  <si>
    <t xml:space="preserve">BP1</t>
  </si>
  <si>
    <r>
      <rPr>
        <sz val="10"/>
        <rFont val="Noto Sans CJK KR"/>
        <family val="2"/>
      </rPr>
      <t xml:space="preserve">한 장 그림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정의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한 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나누기 → 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가져오기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시작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기다림 → 매핑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사전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자동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미달 → 처리 건 돌리기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판본 → 배포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지표 → 세 건 나란히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 순서 예고</t>
    </r>
    <r>
      <rPr>
        <sz val="10"/>
        <rFont val="Arial"/>
        <family val="0"/>
        <charset val="1"/>
      </rPr>
      <t xml:space="preserve">: A </t>
    </r>
    <r>
      <rPr>
        <sz val="10"/>
        <rFont val="Noto Sans CJK KR"/>
        <family val="2"/>
      </rPr>
      <t xml:space="preserve">흐름을 그리기부터 결과 보고까지 끝까지 → </t>
    </r>
    <r>
      <rPr>
        <sz val="10"/>
        <rFont val="Arial"/>
        <family val="0"/>
        <charset val="1"/>
      </rPr>
      <t xml:space="preserve">B → C</t>
    </r>
  </si>
  <si>
    <t xml:space="preserve">BP2</t>
  </si>
  <si>
    <r>
      <rPr>
        <sz val="10"/>
        <rFont val="Noto Sans CJK KR"/>
        <family val="2"/>
      </rPr>
      <t xml:space="preserve">쿨러 과열 흐름을 그려 포털에 올린다 — 경보로 열리고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운전원 승인 없이는 명령이 못 나가게 </t>
    </r>
    <r>
      <rPr>
        <sz val="10"/>
        <rFont val="Arial"/>
        <family val="0"/>
        <charset val="1"/>
      </rPr>
      <t xml:space="preserve">(A, </t>
    </r>
    <r>
      <rPr>
        <sz val="10"/>
        <rFont val="Noto Sans CJK KR"/>
        <family val="2"/>
      </rPr>
      <t xml:space="preserve">처음이라 천천히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</si>
  <si>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우리 사건을 말로 펼치기 </t>
    </r>
    <r>
      <rPr>
        <sz val="10"/>
        <rFont val="Arial"/>
        <family val="0"/>
        <charset val="1"/>
      </rPr>
      <t xml:space="preserve">· bpmn.io</t>
    </r>
    <r>
      <rPr>
        <sz val="10"/>
        <rFont val="Noto Sans CJK KR"/>
        <family val="2"/>
      </rPr>
      <t xml:space="preserve">에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3: </t>
    </r>
    <r>
      <rPr>
        <sz val="10"/>
        <rFont val="Noto Sans CJK KR"/>
        <family val="2"/>
      </rPr>
      <t xml:space="preserve">담당자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에이전트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시스템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원인 진단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냉각 조치 제안 → 운전원 승인 → 냉각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등록 → 재관측 → 결과 보고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지연 타이머 → 지연 알림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유온 정상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갈림길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내보내기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가져오기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일마다 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담당 정하기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일부러 승인을 빼고 사전 검사 → 거절 사유 → 고치기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사건 펼치기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나누기</t>
    </r>
    <r>
      <rPr>
        <sz val="10"/>
        <rFont val="Arial"/>
        <family val="0"/>
        <charset val="1"/>
      </rPr>
      <t xml:space="preserve">(BT3) · 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담당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시작</t>
    </r>
    <r>
      <rPr>
        <sz val="10"/>
        <rFont val="Arial"/>
        <family val="0"/>
        <charset val="1"/>
      </rPr>
      <t xml:space="preserve">(BT4) · </t>
    </r>
    <r>
      <rPr>
        <sz val="10"/>
        <rFont val="Noto Sans CJK KR"/>
        <family val="2"/>
      </rPr>
      <t xml:space="preserve">승인</t>
    </r>
    <r>
      <rPr>
        <sz val="10"/>
        <rFont val="Arial"/>
        <family val="0"/>
        <charset val="1"/>
      </rPr>
      <t xml:space="preserve">(BT5) · </t>
    </r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(BT6) · </t>
    </r>
    <r>
      <rPr>
        <sz val="10"/>
        <rFont val="Noto Sans CJK KR"/>
        <family val="2"/>
      </rPr>
      <t xml:space="preserve">배포</t>
    </r>
    <r>
      <rPr>
        <sz val="10"/>
        <rFont val="Arial"/>
        <family val="0"/>
        <charset val="1"/>
      </rPr>
      <t xml:space="preserve">(BT8)</t>
    </r>
  </si>
  <si>
    <r>
      <rPr>
        <sz val="10"/>
        <rFont val="Arial"/>
        <family val="0"/>
        <charset val="1"/>
      </rPr>
      <t xml:space="preserve">bpmn.io, </t>
    </r>
    <r>
      <rPr>
        <sz val="10"/>
        <rFont val="Noto Sans CJK KR"/>
        <family val="2"/>
      </rPr>
      <t xml:space="preserve">흐름 가져오기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매핑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사전 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배포</t>
    </r>
  </si>
  <si>
    <t xml:space="preserve">BP3</t>
  </si>
  <si>
    <r>
      <rPr>
        <sz val="10"/>
        <rFont val="Noto Sans CJK KR"/>
        <family val="2"/>
      </rPr>
      <t xml:space="preserve">쿨러 과열 한 건을 끝까지 닫는다 — 경보 → 제안 → 운전원 승인 → 냉각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→ 유온 확인 → 결과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그리고 늦은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미달 가지도 </t>
    </r>
    <r>
      <rPr>
        <sz val="10"/>
        <rFont val="Arial"/>
        <family val="0"/>
        <charset val="1"/>
      </rPr>
      <t xml:space="preserve">(A, </t>
    </r>
    <r>
      <rPr>
        <sz val="10"/>
        <rFont val="Noto Sans CJK KR"/>
        <family val="2"/>
      </rPr>
      <t xml:space="preserve">천천히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</si>
  <si>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사건 일으키기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진행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하이라이트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내 작업함에서 운전원으로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냉각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재관측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정상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일을 눌러 받은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넘긴 값 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두 번째 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승인을 미뤄 지연 알림 → 승인 → 유온이 안 내려가는 조건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 버튼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외기 고온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미달 보고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정의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한 건</t>
    </r>
    <r>
      <rPr>
        <sz val="10"/>
        <rFont val="Arial"/>
        <family val="0"/>
        <charset val="1"/>
      </rPr>
      <t xml:space="preserve">(BT1) ·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회</t>
    </r>
    <r>
      <rPr>
        <sz val="10"/>
        <rFont val="Arial"/>
        <family val="0"/>
        <charset val="1"/>
      </rPr>
      <t xml:space="preserve">(BT5) · </t>
    </r>
    <r>
      <rPr>
        <sz val="10"/>
        <rFont val="Noto Sans CJK KR"/>
        <family val="2"/>
      </rPr>
      <t xml:space="preserve">바통</t>
    </r>
    <r>
      <rPr>
        <sz val="10"/>
        <rFont val="Arial"/>
        <family val="0"/>
        <charset val="1"/>
      </rPr>
      <t xml:space="preserve">(BT3) · </t>
    </r>
    <r>
      <rPr>
        <sz val="10"/>
        <rFont val="Noto Sans CJK KR"/>
        <family val="2"/>
      </rPr>
      <t xml:space="preserve">자동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(BT7)</t>
    </r>
  </si>
  <si>
    <r>
      <rPr>
        <sz val="10"/>
        <rFont val="Noto Sans CJK KR"/>
        <family val="2"/>
      </rPr>
      <t xml:space="preserve">처리 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내 작업함 승인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재관측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결과 보고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</si>
  <si>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RAISE · W4 · REOBS · CASE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</si>
  <si>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t xml:space="preserve">BP4</t>
  </si>
  <si>
    <r>
      <rPr>
        <sz val="10"/>
        <rFont val="Noto Sans CJK KR"/>
        <family val="2"/>
      </rPr>
      <t xml:space="preserve">정기 정비 흐름 —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그림을 바꿔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예정된 정비 시간까지 기다렸다가 정비하고 시운전으로 확인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하게 올린다 </t>
    </r>
    <r>
      <rPr>
        <sz val="10"/>
        <rFont val="Arial"/>
        <family val="0"/>
        <charset val="1"/>
      </rPr>
      <t xml:space="preserve">(B,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</si>
  <si>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A </t>
    </r>
    <r>
      <rPr>
        <sz val="10"/>
        <rFont val="Noto Sans CJK KR"/>
        <family val="2"/>
      </rPr>
      <t xml:space="preserve">그림 복사 → 바꾸기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정비 일정 제안 → 설비보전팀장 승인 → 정비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생산팀 공지 → 예정된 시간까지 기다리는 타이머 → 정비 수행 → 시운전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기준 통과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갈림길 → 계수기 리셋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매핑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사전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예정 시간까지 기다림</t>
    </r>
    <r>
      <rPr>
        <sz val="10"/>
        <rFont val="Arial"/>
        <family val="0"/>
        <charset val="1"/>
      </rPr>
      <t xml:space="preserve">(BT6)</t>
    </r>
  </si>
  <si>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예정 시간까지 기다림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배포</t>
    </r>
  </si>
  <si>
    <t xml:space="preserve">BP5</t>
  </si>
  <si>
    <r>
      <rPr>
        <sz val="10"/>
        <rFont val="Noto Sans CJK KR"/>
        <family val="2"/>
      </rPr>
      <t xml:space="preserve">정기 정비 한 건을 끝까지 닫는다 — 설비보전팀장 승인 →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공지 → 예정된 정비 시간에 정비 → 시운전 확인 → 계수기 리셋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 </t>
    </r>
    <r>
      <rPr>
        <sz val="10"/>
        <rFont val="Arial"/>
        <family val="0"/>
        <charset val="1"/>
      </rPr>
      <t xml:space="preserve">(B,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</si>
  <si>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운전시간 빨리 감기 </t>
    </r>
    <r>
      <rPr>
        <sz val="10"/>
        <rFont val="Arial"/>
        <family val="0"/>
        <charset val="1"/>
      </rPr>
      <t xml:space="preserve">+300 h · </t>
    </r>
    <r>
      <rPr>
        <sz val="10"/>
        <rFont val="Noto Sans CJK KR"/>
        <family val="2"/>
      </rPr>
      <t xml:space="preserve">정비 도래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제안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설비보전팀장으로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생산팀 공지 메일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수업용 메일함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예정된 정비 시간까지 기다림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 압축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정비 수행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시운전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 뒤 시험 운전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 리셋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두 번째 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시운전 기준 미달 → 미달 보고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예정 시간까지 기다림</t>
    </r>
    <r>
      <rPr>
        <sz val="10"/>
        <rFont val="Arial"/>
        <family val="0"/>
        <charset val="1"/>
      </rPr>
      <t xml:space="preserve">(BT6) · </t>
    </r>
    <r>
      <rPr>
        <sz val="10"/>
        <rFont val="Noto Sans CJK KR"/>
        <family val="2"/>
      </rPr>
      <t xml:space="preserve">닫힘 조건</t>
    </r>
    <r>
      <rPr>
        <sz val="10"/>
        <rFont val="Arial"/>
        <family val="0"/>
        <charset val="1"/>
      </rPr>
      <t xml:space="preserve">(BT7)</t>
    </r>
  </si>
  <si>
    <r>
      <rPr>
        <sz val="10"/>
        <rFont val="Noto Sans CJK KR"/>
        <family val="2"/>
      </rPr>
      <t xml:space="preserve">처리 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예정 시간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시운전 확인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결과 보고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</si>
  <si>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WAITB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</si>
  <si>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t xml:space="preserve">BP6</t>
  </si>
  <si>
    <r>
      <rPr>
        <sz val="10"/>
        <rFont val="Noto Sans CJK KR"/>
        <family val="2"/>
      </rPr>
      <t xml:space="preserve">예비품 구매 흐름 — 같은 뼈대에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입고될 때까지 기다리고 납기 안에 왔는지 확인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넣어 올린다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</si>
  <si>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복사 → 바꾸기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발주안 제안 → 구매 담당 승인 → 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메일 → 입고 기다리는 타이머 → 입고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안에 입고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갈림길 → 결과 보고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매핑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사전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세 흐름 나란히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뼈대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기다림</t>
    </r>
  </si>
  <si>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입고 기다림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배포</t>
    </r>
  </si>
  <si>
    <t xml:space="preserve">BP7</t>
  </si>
  <si>
    <r>
      <rPr>
        <sz val="10"/>
        <rFont val="Noto Sans CJK KR"/>
        <family val="2"/>
      </rPr>
      <t xml:space="preserve">예비품 구매 한 건을 끝까지 닫는다 — 구매 담당 승인 → 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메일 → 입고 기다림 → 입고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</si>
  <si>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씰 키트 출고 −</t>
    </r>
    <r>
      <rPr>
        <sz val="10"/>
        <rFont val="Arial"/>
        <family val="0"/>
        <charset val="1"/>
      </rPr>
      <t xml:space="preserve">2 · </t>
    </r>
    <r>
      <rPr>
        <sz val="10"/>
        <rFont val="Noto Sans CJK KR"/>
        <family val="2"/>
      </rPr>
      <t xml:space="preserve">재고 경보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발주안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 담당으로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입고 부서 메일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수업용 메일함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입고 기다림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 압축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입고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두 번째 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납기 초과 → 지연 보고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한 공장의 한 주로 잇기</t>
    </r>
    <r>
      <rPr>
        <sz val="10"/>
        <rFont val="Arial"/>
        <family val="0"/>
        <charset val="1"/>
      </rPr>
      <t xml:space="preserve">(A</t>
    </r>
    <r>
      <rPr>
        <sz val="10"/>
        <rFont val="Noto Sans CJK KR"/>
        <family val="2"/>
      </rPr>
      <t xml:space="preserve">가 남긴 작업지시 </t>
    </r>
    <r>
      <rPr>
        <sz val="10"/>
        <rFont val="Arial"/>
        <family val="0"/>
        <charset val="1"/>
      </rPr>
      <t xml:space="preserve">· B</t>
    </r>
    <r>
      <rPr>
        <sz val="10"/>
        <rFont val="Noto Sans CJK KR"/>
        <family val="2"/>
      </rPr>
      <t xml:space="preserve">가 쓴 씰 키트 </t>
    </r>
    <r>
      <rPr>
        <sz val="10"/>
        <rFont val="Arial"/>
        <family val="0"/>
        <charset val="1"/>
      </rPr>
      <t xml:space="preserve">· C</t>
    </r>
    <r>
      <rPr>
        <sz val="10"/>
        <rFont val="Noto Sans CJK KR"/>
        <family val="2"/>
      </rPr>
      <t xml:space="preserve">가 채움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</si>
  <si>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처리 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입고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결과 보고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</si>
  <si>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WAITB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</si>
  <si>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t xml:space="preserve">BP8</t>
  </si>
  <si>
    <t xml:space="preserve">세 처리 건의 지표를 나란히 놓으면 무엇이 빨리 닫히고 어디서 오래 기다렸는지 보인다</t>
  </si>
  <si>
    <r>
      <rPr>
        <sz val="10"/>
        <rFont val="Arial"/>
        <family val="0"/>
        <charset val="1"/>
      </rPr>
      <t xml:space="preserve">A · B · C </t>
    </r>
    <r>
      <rPr>
        <sz val="10"/>
        <rFont val="Noto Sans CJK KR"/>
        <family val="2"/>
      </rPr>
      <t xml:space="preserve">처리 건 지표 나란히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경보 →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회복 시간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정비 기한 준수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0) · </t>
    </r>
    <r>
      <rPr>
        <sz val="10"/>
        <rFont val="Noto Sans CJK KR"/>
        <family val="2"/>
      </rPr>
      <t xml:space="preserve">오래 걸린 일 찾기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(BT9)</t>
    </r>
  </si>
  <si>
    <t xml:space="preserve">지표 실적</t>
  </si>
  <si>
    <t xml:space="preserve">BL1</t>
  </si>
  <si>
    <r>
      <rPr>
        <sz val="10"/>
        <rFont val="Noto Sans CJK KR"/>
        <family val="2"/>
      </rPr>
      <t xml:space="preserve">말로 설명한 대응 흐름을 그림 파일로 만들고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포털 사전 검사를 통과할 때까지 고친다</t>
    </r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</si>
  <si>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거절 사유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 위치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고쳐 통과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흐름 가져오기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사전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A </t>
    </r>
    <r>
      <rPr>
        <sz val="10"/>
        <rFont val="Noto Sans CJK KR"/>
        <family val="2"/>
      </rPr>
      <t xml:space="preserve">흐름 설명 문장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견본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기호</t>
    </r>
    <r>
      <rPr>
        <sz val="10"/>
        <rFont val="Arial"/>
        <family val="0"/>
        <charset val="1"/>
      </rPr>
      <t xml:space="preserve">(BT1) · 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나누기</t>
    </r>
    <r>
      <rPr>
        <sz val="10"/>
        <rFont val="Arial"/>
        <family val="0"/>
        <charset val="1"/>
      </rPr>
      <t xml:space="preserve">(BT3)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</si>
  <si>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흐름 파일</t>
    </r>
    <r>
      <rPr>
        <sz val="10"/>
        <rFont val="Arial"/>
        <family val="0"/>
        <charset val="1"/>
      </rPr>
      <t xml:space="preserve">(BPMN XML)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</si>
  <si>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L20</t>
    </r>
  </si>
  <si>
    <t xml:space="preserve">BL2</t>
  </si>
  <si>
    <r>
      <rPr>
        <sz val="10"/>
        <rFont val="Noto Sans CJK KR"/>
        <family val="2"/>
      </rPr>
      <t xml:space="preserve">바꿀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바꾸면 안 될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완료 조건을 먼저 적고 사전 검사에 새 규칙을 더한다 — 기존 흐름은 그대로</t>
    </r>
  </si>
  <si>
    <r>
      <rPr>
        <sz val="10"/>
        <rFont val="Noto Sans CJK KR"/>
        <family val="2"/>
      </rPr>
      <t xml:space="preserve">명세 먼저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타이머 뒤에는 갈림길이 있어야 한다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같은 검사 규칙 하나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새 규칙이 잘못된 그림을 잡고 기존 세 흐름 시험은 그대로 통과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사전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사전 검사 작은판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시험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명세 세 줄</t>
    </r>
    <r>
      <rPr>
        <sz val="10"/>
        <rFont val="Arial"/>
        <family val="0"/>
        <charset val="1"/>
      </rPr>
      <t xml:space="preserve">(BT10) · </t>
    </r>
    <r>
      <rPr>
        <sz val="10"/>
        <rFont val="Noto Sans CJK KR"/>
        <family val="2"/>
      </rPr>
      <t xml:space="preserve">판본</t>
    </r>
    <r>
      <rPr>
        <sz val="10"/>
        <rFont val="Arial"/>
        <family val="0"/>
        <charset val="1"/>
      </rPr>
      <t xml:space="preserve">(BT8)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</si>
  <si>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명세 먼저</t>
    </r>
    <r>
      <rPr>
        <sz val="10"/>
        <rFont val="Arial"/>
        <family val="0"/>
        <charset val="1"/>
      </rPr>
      <t xml:space="preserve">(SDD), </t>
    </r>
    <r>
      <rPr>
        <sz val="10"/>
        <rFont val="Noto Sans CJK KR"/>
        <family val="2"/>
      </rPr>
      <t xml:space="preserve">회귀 시험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</si>
  <si>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L21</t>
    </r>
  </si>
  <si>
    <t xml:space="preserve">BL3</t>
  </si>
  <si>
    <t xml:space="preserve">사람이 승인하기 전에는 실행이 한 번도 일어나지 않는 승인 단계를 만든다</t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</si>
  <si>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전 실행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담당자의 승인 거절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작업함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단계 뼈대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제안과 실행 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담당자 한 번</t>
    </r>
    <r>
      <rPr>
        <sz val="10"/>
        <rFont val="Arial"/>
        <family val="0"/>
        <charset val="1"/>
      </rPr>
      <t xml:space="preserve">(BT5) · </t>
    </r>
    <r>
      <rPr>
        <sz val="10"/>
        <rFont val="Noto Sans CJK KR"/>
        <family val="2"/>
      </rPr>
      <t xml:space="preserve">읽기만</t>
    </r>
    <r>
      <rPr>
        <sz val="10"/>
        <rFont val="Arial"/>
        <family val="0"/>
        <charset val="1"/>
      </rPr>
      <t xml:space="preserve">(AT6)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</si>
  <si>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사람 승인 단계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</si>
  <si>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L22</t>
    </r>
  </si>
  <si>
    <t xml:space="preserve">BL4</t>
  </si>
  <si>
    <t xml:space="preserve">승인이 기한 안에 오지 않으면 지연 알림을 보낸다 — 실행은 여전히 승인 뒤에만</t>
  </si>
  <si>
    <r>
      <rPr>
        <sz val="10"/>
        <rFont val="Arial"/>
        <family val="0"/>
        <charset val="1"/>
      </rPr>
      <t xml:space="preserve">BL3 </t>
    </r>
    <r>
      <rPr>
        <sz val="10"/>
        <rFont val="Noto Sans CJK KR"/>
        <family val="2"/>
      </rPr>
      <t xml:space="preserve">결과 위에 짧게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기한 넘김 → 지연 알림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실행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승인하면 그때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지연 타이머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흐름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기한 넘김</t>
    </r>
    <r>
      <rPr>
        <sz val="10"/>
        <rFont val="Arial"/>
        <family val="0"/>
        <charset val="1"/>
      </rPr>
      <t xml:space="preserve">(BT6)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</si>
  <si>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기한 타이머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</si>
  <si>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L23</t>
    </r>
  </si>
  <si>
    <t xml:space="preserve">BL5</t>
  </si>
  <si>
    <r>
      <rPr>
        <sz val="10"/>
        <rFont val="Noto Sans CJK KR"/>
        <family val="2"/>
      </rPr>
      <t xml:space="preserve">신호가 오면 서버가 내 일꾼을 불러 진단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제안을 맡긴다</t>
    </r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</si>
  <si>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일과 콘솔 도구 호출이 같음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AI </t>
    </r>
    <r>
      <rPr>
        <sz val="10"/>
        <rFont val="Noto Sans CJK KR"/>
        <family val="2"/>
      </rPr>
      <t xml:space="preserve">일꾼 현황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처리 과정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신호 예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내 일꾼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자동 시작</t>
    </r>
    <r>
      <rPr>
        <sz val="10"/>
        <rFont val="Arial"/>
        <family val="0"/>
        <charset val="1"/>
      </rPr>
      <t xml:space="preserve">(BT4) · </t>
    </r>
    <r>
      <rPr>
        <sz val="10"/>
        <rFont val="Noto Sans CJK KR"/>
        <family val="2"/>
      </rPr>
      <t xml:space="preserve">되풀이 고리</t>
    </r>
    <r>
      <rPr>
        <sz val="10"/>
        <rFont val="Arial"/>
        <family val="0"/>
        <charset val="1"/>
      </rPr>
      <t xml:space="preserve">(AT2)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</si>
  <si>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신호로 자동 호출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이벤트 트리거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</si>
  <si>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W4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L24</t>
    </r>
  </si>
  <si>
    <t xml:space="preserve">BL6</t>
  </si>
  <si>
    <t xml:space="preserve">신호 → 진단 → 승인 → 실행 → 자동 확인 → 결과 보고를 한 줄로 잇고 닫는다</t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</si>
  <si>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앞 일의 출력이 다음 입력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확인 뒤 정상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미달 보고로 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처리 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BL3 · BL5 </t>
    </r>
    <r>
      <rPr>
        <sz val="10"/>
        <rFont val="Noto Sans CJK KR"/>
        <family val="2"/>
      </rPr>
      <t xml:space="preserve">결과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바통</t>
    </r>
    <r>
      <rPr>
        <sz val="10"/>
        <rFont val="Arial"/>
        <family val="0"/>
        <charset val="1"/>
      </rPr>
      <t xml:space="preserve">(BT3) · </t>
    </r>
    <r>
      <rPr>
        <sz val="10"/>
        <rFont val="Noto Sans CJK KR"/>
        <family val="2"/>
      </rPr>
      <t xml:space="preserve">자동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</t>
    </r>
    <r>
      <rPr>
        <sz val="10"/>
        <rFont val="Arial"/>
        <family val="0"/>
        <charset val="1"/>
      </rPr>
      <t xml:space="preserve">(BT7)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</si>
  <si>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일 잇기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결과 보고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</si>
  <si>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W4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L25</t>
    </r>
  </si>
  <si>
    <t xml:space="preserve">BL7</t>
  </si>
  <si>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자동 호출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한 줄 잇기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검사 규칙이 포털 흐름의 어느 부분인지 한 장으로 잇고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과정 노트에 남긴다</t>
    </r>
  </si>
  <si>
    <r>
      <rPr>
        <sz val="10"/>
        <rFont val="Arial"/>
        <family val="0"/>
        <charset val="1"/>
      </rPr>
      <t xml:space="preserve">BPMN </t>
    </r>
    <r>
      <rPr>
        <sz val="10"/>
        <rFont val="Noto Sans CJK KR"/>
        <family val="2"/>
      </rPr>
      <t xml:space="preserve">트랙 한눈에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흐름 파일 → 검사 규칙 → 승인 → 지연 알림 → 자동 호출 → 한 줄 잇기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조각마다 포털의 어느 부분인가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 노트 쓰기</t>
    </r>
  </si>
  <si>
    <t xml:space="preserve">마무리</t>
  </si>
  <si>
    <t xml:space="preserve">E1</t>
  </si>
  <si>
    <r>
      <rPr>
        <sz val="10"/>
        <rFont val="Noto Sans CJK KR"/>
        <family val="2"/>
      </rPr>
      <t xml:space="preserve">내가 만든 것이 실제 제품에서는 어디에 있나 — </t>
    </r>
    <r>
      <rPr>
        <sz val="10"/>
        <rFont val="Arial"/>
        <family val="0"/>
        <charset val="1"/>
      </rPr>
      <t xml:space="preserve">ProcessGPT </t>
    </r>
    <r>
      <rPr>
        <sz val="10"/>
        <rFont val="Noto Sans CJK KR"/>
        <family val="2"/>
      </rPr>
      <t xml:space="preserve">소개와 강사 시연</t>
    </r>
  </si>
  <si>
    <r>
      <rPr>
        <sz val="10"/>
        <rFont val="Noto Sans CJK KR"/>
        <family val="2"/>
      </rPr>
      <t xml:space="preserve">강사 소개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시연만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학생 실습 없음</t>
    </r>
    <r>
      <rPr>
        <sz val="10"/>
        <rFont val="Arial"/>
        <family val="0"/>
        <charset val="1"/>
      </rPr>
      <t xml:space="preserve">) · ProcessGPT</t>
    </r>
    <r>
      <rPr>
        <sz val="10"/>
        <rFont val="Noto Sans CJK KR"/>
        <family val="2"/>
      </rPr>
      <t xml:space="preserve">가 무엇이고 누가 쓰나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같은 사건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제품으로 처음부터 끝까지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내가 만든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지식 지도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제품의 어디에 있나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제품이 더하는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포털 안 흐름 그리기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말로 일꾼 만들기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여러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를 잇는 데이터 연결 — 보여 주기만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질문</t>
    </r>
  </si>
  <si>
    <r>
      <rPr>
        <sz val="10"/>
        <rFont val="Arial"/>
        <family val="0"/>
        <charset val="1"/>
      </rPr>
      <t xml:space="preserve">ProcessGPT(</t>
    </r>
    <r>
      <rPr>
        <sz val="10"/>
        <rFont val="Noto Sans CJK KR"/>
        <family val="2"/>
      </rPr>
      <t xml:space="preserve">제품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</si>
  <si>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CASE</t>
    </r>
  </si>
  <si>
    <r>
      <rPr>
        <b val="true"/>
        <sz val="10"/>
        <rFont val="Noto Sans CJK KR"/>
        <family val="2"/>
      </rPr>
      <t xml:space="preserve">전체 합계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분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</si>
  <si>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전체 합계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시간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</si>
  <si>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고정 합계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분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Noto Sans CJK KR"/>
        <family val="2"/>
      </rPr>
      <t xml:space="preserve">참고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</si>
  <si>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차이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합계 − 고정</t>
    </r>
    <r>
      <rPr>
        <b val="true"/>
        <sz val="10"/>
        <rFont val="Arial"/>
        <family val="0"/>
        <charset val="1"/>
      </rPr>
      <t xml:space="preserve">)</t>
    </r>
  </si>
  <si>
    <t xml:space="preserve">직접 해 보는 것</t>
  </si>
  <si>
    <t xml:space="preserve">무엇을 하나</t>
  </si>
  <si>
    <t xml:space="preserve">완료 기준</t>
  </si>
  <si>
    <t xml:space="preserve">하는 곳</t>
  </si>
  <si>
    <r>
      <rPr>
        <sz val="10"/>
        <rFont val="Noto Sans CJK KR"/>
        <family val="2"/>
      </rPr>
      <t xml:space="preserve">왜 노트로 남기나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집집마다 다른 요리 노트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남긴 것이 다음 사람의 출발점이 되는 사례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</si>
  <si>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t xml:space="preserve">노트를 왜 남기는지 한 문장으로 말한다</t>
  </si>
  <si>
    <t xml:space="preserve">강사 화면</t>
  </si>
  <si>
    <r>
      <rPr>
        <sz val="10"/>
        <rFont val="Noto Sans CJK KR"/>
        <family val="2"/>
      </rPr>
      <t xml:space="preserve">내 </t>
    </r>
    <r>
      <rPr>
        <sz val="10"/>
        <rFont val="Arial"/>
        <family val="0"/>
        <charset val="1"/>
      </rPr>
      <t xml:space="preserve">Notion</t>
    </r>
    <r>
      <rPr>
        <sz val="10"/>
        <rFont val="Noto Sans CJK KR"/>
        <family val="2"/>
      </rPr>
      <t xml:space="preserve">에 칸 네 개짜리 과정 노트와 첫 줄이 있다</t>
    </r>
  </si>
  <si>
    <t xml:space="preserve">Notion</t>
  </si>
  <si>
    <r>
      <rPr>
        <sz val="10"/>
        <rFont val="Arial"/>
        <family val="0"/>
        <charset val="1"/>
      </rPr>
      <t xml:space="preserve">SCADA </t>
    </r>
    <r>
      <rPr>
        <sz val="10"/>
        <rFont val="Noto Sans CJK KR"/>
        <family val="2"/>
      </rPr>
      <t xml:space="preserve">화면과 포털에서 유온 </t>
    </r>
    <r>
      <rPr>
        <sz val="10"/>
        <rFont val="Arial"/>
        <family val="0"/>
        <charset val="1"/>
      </rPr>
      <t xml:space="preserve">TS1</t>
    </r>
    <r>
      <rPr>
        <sz val="10"/>
        <rFont val="Noto Sans CJK KR"/>
        <family val="2"/>
      </rPr>
      <t xml:space="preserve">을 같은 값으로 찾았다</t>
    </r>
  </si>
  <si>
    <r>
      <rPr>
        <sz val="10"/>
        <rFont val="Noto Sans CJK KR"/>
        <family val="2"/>
      </rPr>
      <t xml:space="preserve">포털 </t>
    </r>
    <r>
      <rPr>
        <sz val="10"/>
        <rFont val="Arial"/>
        <family val="0"/>
        <charset val="1"/>
      </rPr>
      <t xml:space="preserve">· SCADA </t>
    </r>
    <r>
      <rPr>
        <sz val="10"/>
        <rFont val="Noto Sans CJK KR"/>
        <family val="2"/>
      </rPr>
      <t xml:space="preserve">화면</t>
    </r>
  </si>
  <si>
    <t xml:space="preserve">다섯 층 이름과 그 층을 다루는 막을 짝지어 말한다</t>
  </si>
  <si>
    <r>
      <rPr>
        <sz val="10"/>
        <rFont val="Arial"/>
        <family val="0"/>
        <charset val="1"/>
      </rPr>
      <t xml:space="preserve">TS1 </t>
    </r>
    <r>
      <rPr>
        <sz val="10"/>
        <rFont val="Noto Sans CJK KR"/>
        <family val="2"/>
      </rPr>
      <t xml:space="preserve">값 하나가 작업지시가 되기까지의 길을 종이에 그렸다</t>
    </r>
  </si>
  <si>
    <t xml:space="preserve">종이</t>
  </si>
  <si>
    <r>
      <rPr>
        <sz val="10"/>
        <rFont val="Noto Sans CJK KR"/>
        <family val="2"/>
      </rPr>
      <t xml:space="preserve">세 사건이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누가 알려 주고 누가 승인하는지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한 줄씩 말한다</t>
    </r>
  </si>
  <si>
    <r>
      <rPr>
        <sz val="10"/>
        <rFont val="Noto Sans CJK KR"/>
        <family val="2"/>
      </rPr>
      <t xml:space="preserve">내 </t>
    </r>
    <r>
      <rPr>
        <sz val="10"/>
        <rFont val="Arial"/>
        <family val="0"/>
        <charset val="1"/>
      </rPr>
      <t xml:space="preserve">PC</t>
    </r>
    <r>
      <rPr>
        <sz val="10"/>
        <rFont val="Noto Sans CJK KR"/>
        <family val="2"/>
      </rPr>
      <t xml:space="preserve">에서 포털 메뉴를 다 열고 되돌리기를 한 번 했다</t>
    </r>
  </si>
  <si>
    <r>
      <rPr>
        <sz val="10"/>
        <rFont val="Noto Sans CJK KR"/>
        <family val="2"/>
      </rPr>
      <t xml:space="preserve">막 여는 이야기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사건이 이 막에서 얻을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 → 지식</t>
    </r>
    <r>
      <rPr>
        <sz val="10"/>
        <rFont val="Arial"/>
        <family val="0"/>
        <charset val="1"/>
      </rPr>
      <t xml:space="preserve">) · "</t>
    </r>
    <r>
      <rPr>
        <sz val="10"/>
        <rFont val="Noto Sans CJK KR"/>
        <family val="2"/>
      </rPr>
      <t xml:space="preserve">언어 모델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이라는 말 처음 소개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책 수백만 권을 읽은 신입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다음 말 맞히기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배운 것 밖은 모름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그럴듯한 틀린 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환각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사례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공장에서 틀리면 생기는 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</si>
  <si>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r>
      <rPr>
        <sz val="10"/>
        <rFont val="Arial"/>
        <family val="0"/>
        <charset val="1"/>
      </rPr>
      <t xml:space="preserve">"AI</t>
    </r>
    <r>
      <rPr>
        <sz val="10"/>
        <rFont val="Noto Sans CJK KR"/>
        <family val="2"/>
      </rPr>
      <t xml:space="preserve">가 우리 공장을 모르는 까닭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비유로 말한다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</si>
  <si>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도서관 사서가 관련 쪽을 찾아 펼쳐 준다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찾아 붙여 답하는 순서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질문 → 관련 구절 찾기 → 붙여서 답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잘하는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한 문서 안의 사실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약한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여러 문서에 흩어진 연결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원인 → 조치 → 이익 사슬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그래서 이 과정은 지식 지도를 중심에 두고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문서 찾기는 보조로만 쓴다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</si>
  <si>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t xml:space="preserve">찾아 붙이기가 약한 질문 예를 하나 든다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</si>
  <si>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지하철 노선도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역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사물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선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무엇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문서 검색과 지도 비교 예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씰 키트가 모자라면 어느 설비의 어느 정비가 늦나</t>
    </r>
    <r>
      <rPr>
        <sz val="10"/>
        <rFont val="Arial"/>
        <family val="0"/>
        <charset val="1"/>
      </rPr>
      <t xml:space="preserve">") · </t>
    </r>
    <r>
      <rPr>
        <sz val="10"/>
        <rFont val="Noto Sans CJK KR"/>
        <family val="2"/>
      </rPr>
      <t xml:space="preserve">공장에 쓰면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</si>
  <si>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r>
      <rPr>
        <sz val="10"/>
        <rFont val="Noto Sans CJK KR"/>
        <family val="2"/>
      </rPr>
      <t xml:space="preserve">노선도 비유로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역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사물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선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설명한다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</si>
  <si>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주소록 양식과 적힌 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틀과 내용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속성으로 둘까 관계로 둘까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메뉴 가격은 속성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손님이 시킨 메뉴는 관계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그리기는 다음 행</t>
    </r>
    <r>
      <rPr>
        <sz val="10"/>
        <rFont val="Arial"/>
        <family val="0"/>
        <charset val="1"/>
      </rPr>
      <t xml:space="preserve">)</t>
    </r>
  </si>
  <si>
    <t xml:space="preserve">주소록 비유로 틀과 내용을 나눠 말한다</t>
  </si>
  <si>
    <r>
      <rPr>
        <sz val="10"/>
        <rFont val="Arial"/>
        <family val="0"/>
        <charset val="1"/>
      </rPr>
      <t xml:space="preserve">arrows.app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내보내기로 저장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카페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손님 – 주문 – 메뉴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관계도 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짝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이 그림은 </t>
    </r>
    <r>
      <rPr>
        <sz val="10"/>
        <rFont val="Arial"/>
        <family val="0"/>
        <charset val="1"/>
      </rPr>
      <t xml:space="preserve">OT10 · OT11 · OL2</t>
    </r>
    <r>
      <rPr>
        <sz val="10"/>
        <rFont val="Noto Sans CJK KR"/>
        <family val="2"/>
      </rPr>
      <t xml:space="preserve">에서 다시 쓴다</t>
    </r>
  </si>
  <si>
    <r>
      <rPr>
        <sz val="10"/>
        <rFont val="Noto Sans CJK KR"/>
        <family val="2"/>
      </rPr>
      <t xml:space="preserve">카페 관계도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손님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주문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관계 둘 이상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파일로 내보냈다</t>
    </r>
  </si>
  <si>
    <t xml:space="preserve">arrows.app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</si>
  <si>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병원 진료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문진 → 검사 → 진단 → 경과 예측 → 처방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관측 → 상태 → 진단 → 예측 → 권고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카드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자전거 브레이크 소리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)</t>
    </r>
  </si>
  <si>
    <t xml:space="preserve">자전거 카드 네 장을 증상 → 고장 → 원인 → 조치 순으로 놓았다</t>
  </si>
  <si>
    <r>
      <rPr>
        <sz val="10"/>
        <rFont val="Noto Sans CJK KR"/>
        <family val="2"/>
      </rPr>
      <t xml:space="preserve">고장은 갑자기 오지 않는다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미리 알아채는 간격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이상이 보인 때부터 멈출 때까지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감기 — 해열제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즉시 완화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원인 치료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근본 조치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예방 접종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세 사건이 어디에 닿나</t>
    </r>
    <r>
      <rPr>
        <sz val="10"/>
        <rFont val="Arial"/>
        <family val="0"/>
        <charset val="1"/>
      </rPr>
      <t xml:space="preserve">: A = </t>
    </r>
    <r>
      <rPr>
        <sz val="10"/>
        <rFont val="Noto Sans CJK KR"/>
        <family val="2"/>
      </rPr>
      <t xml:space="preserve">즉시 완화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부하</t>
    </r>
    <r>
      <rPr>
        <sz val="10"/>
        <rFont val="Arial"/>
        <family val="0"/>
        <charset val="1"/>
      </rPr>
      <t xml:space="preserve">) + </t>
    </r>
    <r>
      <rPr>
        <sz val="10"/>
        <rFont val="Noto Sans CJK KR"/>
        <family val="2"/>
      </rPr>
      <t xml:space="preserve">근본 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핀 세척</t>
    </r>
    <r>
      <rPr>
        <sz val="10"/>
        <rFont val="Arial"/>
        <family val="0"/>
        <charset val="1"/>
      </rPr>
      <t xml:space="preserve">), B = 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(2,000 h </t>
    </r>
    <r>
      <rPr>
        <sz val="10"/>
        <rFont val="Noto Sans CJK KR"/>
        <family val="2"/>
      </rPr>
      <t xml:space="preserve">정기 정비</t>
    </r>
    <r>
      <rPr>
        <sz val="10"/>
        <rFont val="Arial"/>
        <family val="0"/>
        <charset val="1"/>
      </rPr>
      <t xml:space="preserve">), C = </t>
    </r>
    <r>
      <rPr>
        <sz val="10"/>
        <rFont val="Noto Sans CJK KR"/>
        <family val="2"/>
      </rPr>
      <t xml:space="preserve">예방 정비에 쓸 부품을 미리 사 두기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</si>
  <si>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r>
      <rPr>
        <sz val="10"/>
        <rFont val="Noto Sans CJK KR"/>
        <family val="2"/>
      </rPr>
      <t xml:space="preserve">세 사건을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고치는 정비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막는 정비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미리 사 두기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로 나눠 말한다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</si>
  <si>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순서</t>
    </r>
    <r>
      <rPr>
        <sz val="10"/>
        <rFont val="Arial"/>
        <family val="0"/>
        <charset val="1"/>
      </rPr>
      <t xml:space="preserve">) vs </t>
    </r>
    <r>
      <rPr>
        <sz val="10"/>
        <rFont val="Noto Sans CJK KR"/>
        <family val="2"/>
      </rPr>
      <t xml:space="preserve">식당 할인 규칙표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조건 → 결정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절차의 모양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규칙표의 모양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 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할인 규칙 세 줄을 표로 써 보기</t>
    </r>
  </si>
  <si>
    <r>
      <rPr>
        <sz val="10"/>
        <rFont val="Noto Sans CJK KR"/>
        <family val="2"/>
      </rPr>
      <t xml:space="preserve">카페 할인 규칙 세 줄을 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출력 칸이 있는 표로 썼다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</si>
  <si>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요리책에서 레시피 카드를 뽑아 정리함에 꽂기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다섯 단계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나누나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한 번에 읽는 양에 한계 — 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한 번에 외울 수 있는 쪽수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 형광펜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커피머신 설명서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) · AI</t>
    </r>
    <r>
      <rPr>
        <sz val="10"/>
        <rFont val="Noto Sans CJK KR"/>
        <family val="2"/>
      </rPr>
      <t xml:space="preserve">가 뽑은 표를 원문과 대조하는 법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왜 사람이 확인하나</t>
    </r>
  </si>
  <si>
    <r>
      <rPr>
        <sz val="10"/>
        <rFont val="Noto Sans CJK KR"/>
        <family val="2"/>
      </rPr>
      <t xml:space="preserve">커피머신 설명서에 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금지를 칠하고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뽑힌 표에서 틀린 줄 하나를 찾았다</t>
    </r>
  </si>
  <si>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방금 등록한 지식을 이제 꺼내 쓴다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길찾기 앱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출발 → 환승 → 도착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질문의 모양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그림으로 묻기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손님 –주문→ 메뉴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카페 관계도</t>
    </r>
    <r>
      <rPr>
        <sz val="10"/>
        <rFont val="Arial"/>
        <family val="0"/>
        <charset val="1"/>
      </rPr>
      <t xml:space="preserve">(OT5)</t>
    </r>
    <r>
      <rPr>
        <sz val="10"/>
        <rFont val="Noto Sans CJK KR"/>
        <family val="2"/>
      </rPr>
      <t xml:space="preserve">로 질문 따라가기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두 번째 사용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표로 찾을 때와 비교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지나간 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</t>
    </r>
  </si>
  <si>
    <t xml:space="preserve">카페 관계도에서 질문 하나를 길로 따라가 답을 적었다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</si>
  <si>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시험 문제를 먼저 정해 두기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꼭 답할 질문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적재 전 보류 사유가 곧 질문이 된다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내 카페 관계도에서 관계 하나 지우면 답이 바뀌나</t>
    </r>
  </si>
  <si>
    <r>
      <rPr>
        <sz val="10"/>
        <rFont val="Noto Sans CJK KR"/>
        <family val="2"/>
      </rPr>
      <t xml:space="preserve">카페 꼭 답할 질문 둘을 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관계 하나를 지워 답이 바뀌는 것을 봤다</t>
    </r>
  </si>
  <si>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답이 지나간 길의 조치를 실제로 하려면 지금 값이 필요하다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도서관 색인 카드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책이 아니라 위치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내 주문 배송 상태는 어느 표 어느 칸</t>
    </r>
    <r>
      <rPr>
        <sz val="10"/>
        <rFont val="Arial"/>
        <family val="0"/>
        <charset val="1"/>
      </rPr>
      <t xml:space="preserve">")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주문표에서 칸 찾기</t>
    </r>
  </si>
  <si>
    <r>
      <rPr>
        <sz val="10"/>
        <rFont val="Noto Sans CJK KR"/>
        <family val="2"/>
      </rPr>
      <t xml:space="preserve">주문표에서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배송 상태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칸의 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칸 이름을 찾아 적었다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</si>
  <si>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건강검진 네 영역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내부 프로세스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학습과 성장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원인 → 결과 화살표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동네 카페 전략맵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전략맵 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영상은 읽기까지</t>
    </r>
    <r>
      <rPr>
        <sz val="10"/>
        <rFont val="Arial"/>
        <family val="0"/>
        <charset val="1"/>
      </rPr>
      <t xml:space="preserve">)</t>
    </r>
  </si>
  <si>
    <t xml:space="preserve">카페 전략맵에 네 관점과 화살표 셋 이상을 그렸다</t>
  </si>
  <si>
    <r>
      <rPr>
        <sz val="10"/>
        <rFont val="Noto Sans CJK KR"/>
        <family val="2"/>
      </rPr>
      <t xml:space="preserve">상충 찾기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빨리 내기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맛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싼 원두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불만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세 사건 지표 미리보기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전력비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팬 수명 </t>
    </r>
    <r>
      <rPr>
        <sz val="10"/>
        <rFont val="Arial"/>
        <family val="0"/>
        <charset val="1"/>
      </rPr>
      <t xml:space="preserve">/ B </t>
    </r>
    <r>
      <rPr>
        <sz val="10"/>
        <rFont val="Noto Sans CJK KR"/>
        <family val="2"/>
      </rPr>
      <t xml:space="preserve">정비 기한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계획 정비 비율 ↔ 생산 손실 </t>
    </r>
    <r>
      <rPr>
        <sz val="10"/>
        <rFont val="Arial"/>
        <family val="0"/>
        <charset val="1"/>
      </rPr>
      <t xml:space="preserve">/ C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 ↔ </t>
    </r>
    <r>
      <rPr>
        <sz val="10"/>
        <rFont val="Noto Sans CJK KR"/>
        <family val="2"/>
      </rPr>
      <t xml:space="preserve">총 구매비 ↔ 공급사 품질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상충이 에이전트 제안의 재료가 된다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</si>
  <si>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t xml:space="preserve">세 사건마다 부딪히는 지표 한 쌍을 말한다</t>
  </si>
  <si>
    <t xml:space="preserve">한 장 그림의 개념마다 포털 단계 이름을 적었다</t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</si>
  <si>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출발 노드를 지도에서 찾고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비어 있는 칸을 노트에 적었다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</si>
  <si>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문서가 등록되고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지도에 쿨러 원인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 노드가 보인다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</si>
  <si>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개가 근거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원문 구절과 함께 통과했다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</si>
  <si>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조치에 자리 둘이 이어져 조회되고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지표 사슬과 상충 한 쌍이 지도에 보인다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</si>
  <si>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문서가 등록되고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지도에 정비 패키지 절차가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로 고장 유형에 이어져 보인다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</si>
  <si>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개가 통과했다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</si>
  <si>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자리 넷이 조회되고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기한 준수 ↔ 생산 손실이 지도에 보인다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</si>
  <si>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문서가 등록되고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지도에 씰 키트 → 공급사 셋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승인 여부 포함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보인다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</si>
  <si>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개가 통과했다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</si>
  <si>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자리 둘이 조회되고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 ↔ </t>
    </r>
    <r>
      <rPr>
        <sz val="10"/>
        <rFont val="Noto Sans CJK KR"/>
        <family val="2"/>
      </rPr>
      <t xml:space="preserve">총 구매비가 지도에 보인다</t>
    </r>
  </si>
  <si>
    <r>
      <rPr>
        <sz val="10"/>
        <rFont val="Noto Sans CJK KR"/>
        <family val="2"/>
      </rPr>
      <t xml:space="preserve">세 지도를 나란히 놓고 같은 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다른 내용을 하나씩 짚었다</t>
    </r>
  </si>
  <si>
    <r>
      <rPr>
        <sz val="10"/>
        <rFont val="Noto Sans CJK KR"/>
        <family val="2"/>
      </rPr>
      <t xml:space="preserve">세 사건 질문의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답이 파일로 남았고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답에 우리 공장 사실이 없음을 표시했다</t>
    </r>
  </si>
  <si>
    <r>
      <rPr>
        <sz val="10"/>
        <rFont val="Arial"/>
        <family val="0"/>
        <charset val="1"/>
      </rPr>
      <t xml:space="preserve">VS Code · </t>
    </r>
    <r>
      <rPr>
        <sz val="10"/>
        <rFont val="Noto Sans CJK KR"/>
        <family val="2"/>
      </rPr>
      <t xml:space="preserve">터미널</t>
    </r>
  </si>
  <si>
    <r>
      <rPr>
        <sz val="10"/>
        <rFont val="Noto Sans CJK KR"/>
        <family val="2"/>
      </rPr>
      <t xml:space="preserve">카페 관계도가 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창에 그림으로 보인다</t>
    </r>
  </si>
  <si>
    <r>
      <rPr>
        <sz val="10"/>
        <rFont val="Arial"/>
        <family val="0"/>
        <charset val="1"/>
      </rPr>
      <t xml:space="preserve">VS Code · </t>
    </r>
    <r>
      <rPr>
        <sz val="10"/>
        <rFont val="Noto Sans CJK KR"/>
        <family val="2"/>
      </rPr>
      <t xml:space="preserve">터미널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</t>
    </r>
  </si>
  <si>
    <r>
      <rPr>
        <sz val="10"/>
        <rFont val="Noto Sans CJK KR"/>
        <family val="2"/>
      </rPr>
      <t xml:space="preserve">내 그래프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 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셋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제약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그림으로 보인다</t>
    </r>
  </si>
  <si>
    <r>
      <rPr>
        <sz val="10"/>
        <rFont val="Noto Sans CJK KR"/>
        <family val="2"/>
      </rPr>
      <t xml:space="preserve">두 번 넣어도 노드 수가 같고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출발 노드가 내 그래프에 있다</t>
    </r>
  </si>
  <si>
    <r>
      <rPr>
        <sz val="10"/>
        <rFont val="Noto Sans CJK KR"/>
        <family val="2"/>
      </rPr>
      <t xml:space="preserve">세 문서가 절 단위 조각으로 나뉘고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절차 중간에서 끊긴 조각이 없다</t>
    </r>
  </si>
  <si>
    <t xml:space="preserve">세 문서의 추출 결과에 틀 밖 항목이 없고 항목마다 원문 구간이 붙었다</t>
  </si>
  <si>
    <r>
      <rPr>
        <sz val="10"/>
        <rFont val="Noto Sans CJK KR"/>
        <family val="2"/>
      </rPr>
      <t xml:space="preserve">승인한 항목만 내 그래프에 들어가고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사건의 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조건이 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창에 보인다</t>
    </r>
  </si>
  <si>
    <r>
      <rPr>
        <sz val="10"/>
        <rFont val="Noto Sans CJK KR"/>
        <family val="2"/>
      </rPr>
      <t xml:space="preserve">세 질문에 지도 답이 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구절과 함께 나오고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문서만 찾은 답과의 차이를 표에 적었다</t>
    </r>
  </si>
  <si>
    <r>
      <rPr>
        <sz val="10"/>
        <rFont val="Noto Sans CJK KR"/>
        <family val="2"/>
      </rPr>
      <t xml:space="preserve">검사가 모두 통과하고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관계 하나를 끊으면 실패로 바뀐다</t>
    </r>
  </si>
  <si>
    <r>
      <rPr>
        <sz val="10"/>
        <rFont val="Noto Sans CJK KR"/>
        <family val="2"/>
      </rPr>
      <t xml:space="preserve">자리 연결만 생기고 지식에 값 노드는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연결로 조회한 값이 나온다</t>
    </r>
  </si>
  <si>
    <t xml:space="preserve">세 사건 조치에서 지표 사슬과 상충 한 쌍씩이 질의로 나온다</t>
  </si>
  <si>
    <r>
      <rPr>
        <sz val="10"/>
        <rFont val="Noto Sans CJK KR"/>
        <family val="2"/>
      </rPr>
      <t xml:space="preserve">온톨로지 막 노트에 조각마다 포털 화면 이름과 막힌 곳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해결을 적었다</t>
    </r>
  </si>
  <si>
    <r>
      <rPr>
        <sz val="10"/>
        <rFont val="Noto Sans CJK KR"/>
        <family val="2"/>
      </rPr>
      <t xml:space="preserve">막 여는 이야기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지식 지도가 생겼다 → 이제 누가 그 지식으로 판단하나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예약을 직접 하는 비서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에이전트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언어 모델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답만 하는 </t>
    </r>
    <r>
      <rPr>
        <sz val="10"/>
        <rFont val="Arial"/>
        <family val="0"/>
        <charset val="1"/>
      </rPr>
      <t xml:space="preserve">AI vs </t>
    </r>
    <r>
      <rPr>
        <sz val="10"/>
        <rFont val="Noto Sans CJK KR"/>
        <family val="2"/>
      </rPr>
      <t xml:space="preserve">도구를 부르는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사례 그림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공장에 필요한가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</si>
  <si>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t xml:space="preserve">에이전트의 네 부분을 비서 비유로 말한다</t>
  </si>
  <si>
    <r>
      <rPr>
        <sz val="10"/>
        <rFont val="Noto Sans CJK KR"/>
        <family val="2"/>
      </rPr>
      <t xml:space="preserve">관찰 → 판단 → 행동 되풀이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동네 맛집 예약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1 · </t>
    </r>
    <r>
      <rPr>
        <sz val="10"/>
        <rFont val="Noto Sans CJK KR"/>
        <family val="2"/>
      </rPr>
      <t xml:space="preserve">도구 카드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승인자 </t>
    </r>
    <r>
      <rPr>
        <sz val="10"/>
        <rFont val="Arial"/>
        <family val="0"/>
        <charset val="1"/>
      </rPr>
      <t xml:space="preserve">1, </t>
    </r>
    <r>
      <rPr>
        <sz val="10"/>
        <rFont val="Noto Sans CJK KR"/>
        <family val="2"/>
      </rPr>
      <t xml:space="preserve">영상은 녹화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기록지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</t>
    </r>
    <r>
      <rPr>
        <sz val="10"/>
        <rFont val="Arial"/>
        <family val="0"/>
        <charset val="1"/>
      </rPr>
      <t xml:space="preserve">) · 2</t>
    </r>
    <r>
      <rPr>
        <sz val="10"/>
        <rFont val="Noto Sans CJK KR"/>
        <family val="2"/>
      </rPr>
      <t xml:space="preserve">라운드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카드 하나 빼면</t>
    </r>
    <r>
      <rPr>
        <sz val="10"/>
        <rFont val="Arial"/>
        <family val="0"/>
        <charset val="1"/>
      </rPr>
      <t xml:space="preserve">?</t>
    </r>
  </si>
  <si>
    <r>
      <rPr>
        <sz val="10"/>
        <rFont val="Noto Sans CJK KR"/>
        <family val="2"/>
      </rPr>
      <t xml:space="preserve">역할극 기록지에 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관찰이 두 번 이상 적혔다</t>
    </r>
  </si>
  <si>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받는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돌려주는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도구 카드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개인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</si>
  <si>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오늘 날씨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도구 카드 네 칸을 채웠다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</si>
  <si>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콘센트 규격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규격이 왜 필요한가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모양 그림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일꾼 – 도구 서버 – 원천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일꾼마다 필요한 손만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업무 서버를 보전용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구매용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으로 나누는 까닭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</si>
  <si>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r>
      <rPr>
        <sz val="10"/>
        <rFont val="Noto Sans CJK KR"/>
        <family val="2"/>
      </rPr>
      <t xml:space="preserve">콘센트 비유로 규격을 설명하고</t>
    </r>
    <r>
      <rPr>
        <sz val="10"/>
        <rFont val="Arial"/>
        <family val="0"/>
        <charset val="1"/>
      </rPr>
      <t xml:space="preserve">, B · C </t>
    </r>
    <r>
      <rPr>
        <sz val="10"/>
        <rFont val="Noto Sans CJK KR"/>
        <family val="2"/>
      </rPr>
      <t xml:space="preserve">일꾼이 쓰는 서버를 구분한다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</si>
  <si>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냉장고 재고는 열어 봐야 안다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고정 지식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지도</t>
    </r>
    <r>
      <rPr>
        <sz val="10"/>
        <rFont val="Arial"/>
        <family val="0"/>
        <charset val="1"/>
      </rPr>
      <t xml:space="preserve">) vs </t>
    </r>
    <r>
      <rPr>
        <sz val="10"/>
        <rFont val="Noto Sans CJK KR"/>
        <family val="2"/>
      </rPr>
      <t xml:space="preserve">지금 값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지도에는 자리만 — </t>
    </r>
    <r>
      <rPr>
        <sz val="10"/>
        <rFont val="Arial"/>
        <family val="0"/>
        <charset val="1"/>
      </rPr>
      <t xml:space="preserve">OT12)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오늘 우산 필요</t>
    </r>
    <r>
      <rPr>
        <sz val="10"/>
        <rFont val="Arial"/>
        <family val="0"/>
        <charset val="1"/>
      </rPr>
      <t xml:space="preserve">?" </t>
    </r>
    <r>
      <rPr>
        <sz val="10"/>
        <rFont val="Noto Sans CJK KR"/>
        <family val="2"/>
      </rPr>
      <t xml:space="preserve">원천 고르기</t>
    </r>
  </si>
  <si>
    <r>
      <rPr>
        <sz val="10"/>
        <rFont val="Noto Sans CJK KR"/>
        <family val="2"/>
      </rPr>
      <t xml:space="preserve">질문 셋마다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지도에서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원천에서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골랐다</t>
    </r>
  </si>
  <si>
    <r>
      <rPr>
        <sz val="10"/>
        <rFont val="Noto Sans CJK KR"/>
        <family val="2"/>
      </rPr>
      <t xml:space="preserve">읽는 도구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바꾸는 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는 읽기만 하나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설비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메일은 승인 뒤 시스템이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승인 흐름은 </t>
    </r>
    <r>
      <rPr>
        <sz val="10"/>
        <rFont val="Arial"/>
        <family val="0"/>
        <charset val="1"/>
      </rPr>
      <t xml:space="preserve">BPMN</t>
    </r>
    <r>
      <rPr>
        <sz val="10"/>
        <rFont val="Noto Sans CJK KR"/>
        <family val="2"/>
      </rPr>
      <t xml:space="preserve">에서</t>
    </r>
    <r>
      <rPr>
        <sz val="10"/>
        <rFont val="Arial"/>
        <family val="0"/>
        <charset val="1"/>
      </rPr>
      <t xml:space="preserve">)</t>
    </r>
  </si>
  <si>
    <t xml:space="preserve">읽는 도구와 바꾸는 도구 예를 하나씩 든다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</si>
  <si>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선배의 체크리스트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요령이 순서를 바꾸는 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후 그림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맛집 고르는 요령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다섯 줄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</si>
  <si>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맛집 고르는 요령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다섯 줄을 썼다</t>
    </r>
  </si>
  <si>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답하던 일꾼에게 이제 사건을 맡긴다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신호등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회사 경비 규정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규칙과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의 역할 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감점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없으면 멈추기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판단 규칙표를 직접 만들어 보기</t>
    </r>
    <r>
      <rPr>
        <sz val="10"/>
        <rFont val="Arial"/>
        <family val="0"/>
        <charset val="1"/>
      </rPr>
      <t xml:space="preserve">(demo.bpmn.io </t>
    </r>
    <r>
      <rPr>
        <sz val="10"/>
        <rFont val="Noto Sans CJK KR"/>
        <family val="2"/>
      </rPr>
      <t xml:space="preserve">규칙표 첫 사용</t>
    </r>
    <r>
      <rPr>
        <sz val="10"/>
        <rFont val="Arial"/>
        <family val="0"/>
        <charset val="1"/>
      </rPr>
      <t xml:space="preserve">): </t>
    </r>
    <r>
      <rPr>
        <sz val="10"/>
        <rFont val="Noto Sans CJK KR"/>
        <family val="2"/>
      </rPr>
      <t xml:space="preserve">경비 규정 세 줄</t>
    </r>
  </si>
  <si>
    <r>
      <rPr>
        <sz val="10"/>
        <rFont val="Noto Sans CJK KR"/>
        <family val="2"/>
      </rPr>
      <t xml:space="preserve">경비 규정 세 줄이 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출력이 있는 규칙표로 만들어졌다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</si>
  <si>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내비게이션 경로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빠른 길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통행료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돈으로 비교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계산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택시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지하철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 하나 바꿔 뒤집히는 경계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추천은 하나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지는 안은 이유와 함께</t>
    </r>
  </si>
  <si>
    <r>
      <rPr>
        <sz val="10"/>
        <rFont val="Noto Sans CJK KR"/>
        <family val="2"/>
      </rPr>
      <t xml:space="preserve">택시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지하철에서 뒤집히는 값을 종이 계산으로 찾았다</t>
    </r>
  </si>
  <si>
    <r>
      <rPr>
        <sz val="10"/>
        <rFont val="Noto Sans CJK KR"/>
        <family val="2"/>
      </rPr>
      <t xml:space="preserve">예측이란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지금 값과 추세로 앞을 본다</t>
    </r>
    <r>
      <rPr>
        <sz val="10"/>
        <rFont val="Arial"/>
        <family val="0"/>
        <charset val="1"/>
      </rPr>
      <t xml:space="preserve">) · A </t>
    </r>
    <r>
      <rPr>
        <sz val="10"/>
        <rFont val="Noto Sans CJK KR"/>
        <family val="2"/>
      </rPr>
      <t xml:space="preserve">예측 유온 </t>
    </r>
    <r>
      <rPr>
        <sz val="10"/>
        <rFont val="Arial"/>
        <family val="0"/>
        <charset val="1"/>
      </rPr>
      <t xml:space="preserve">· B </t>
    </r>
    <r>
      <rPr>
        <sz val="10"/>
        <rFont val="Noto Sans CJK KR"/>
        <family val="2"/>
      </rPr>
      <t xml:space="preserve">운전시간이 허용 한계 </t>
    </r>
    <r>
      <rPr>
        <sz val="10"/>
        <rFont val="Arial"/>
        <family val="0"/>
        <charset val="1"/>
      </rPr>
      <t xml:space="preserve">2,200 h</t>
    </r>
    <r>
      <rPr>
        <sz val="10"/>
        <rFont val="Noto Sans CJK KR"/>
        <family val="2"/>
      </rPr>
      <t xml:space="preserve">에 언제 닿나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</si>
  <si>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t xml:space="preserve">두 사건의 예측 값이 무엇을 뜻하는지 말한다</t>
  </si>
  <si>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저장된 세 제안 카드를 믿어도 될까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같은 질문 다섯 번의 결과 사례 그림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흔들리나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종이로 정답표 한 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정답표는 사람이 쓴다</t>
    </r>
  </si>
  <si>
    <r>
      <rPr>
        <sz val="10"/>
        <rFont val="Noto Sans CJK KR"/>
        <family val="2"/>
      </rPr>
      <t xml:space="preserve">맛집 예약 정답표 한 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썼다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</si>
  <si>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일꾼이 저장되고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두 질문 답에 지도 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지금 값 출처가 붙었다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</si>
  <si>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제안 카드가 저장되고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추천이 뒤집히는 부하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값을 노트에 적었다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</si>
  <si>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일꾼 점수와 흔들린 항목이 저장됐다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</si>
  <si>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일꾼이 저장되고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두 질문 답에 정비 패키지 길과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오더 값이 붙었다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</si>
  <si>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제안 카드가 저장되고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인력을 바꾸면 추천이 바뀌는지 적었다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</si>
  <si>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일꾼 점수가 저장됐다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</si>
  <si>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일꾼이 저장되고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두 질문 답에 공급사 길과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 값이 붙었다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</si>
  <si>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제안 카드가 저장되고</t>
    </r>
    <r>
      <rPr>
        <sz val="10"/>
        <rFont val="Arial"/>
        <family val="0"/>
        <charset val="1"/>
      </rPr>
      <t xml:space="preserve">, A</t>
    </r>
    <r>
      <rPr>
        <sz val="10"/>
        <rFont val="Noto Sans CJK KR"/>
        <family val="2"/>
      </rPr>
      <t xml:space="preserve">정밀이 이기는 불량률 경계를 적었다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</si>
  <si>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일꾼 점수가 저장됐다</t>
    </r>
  </si>
  <si>
    <t xml:space="preserve">세 일꾼 비교표를 노트에 적었다</t>
  </si>
  <si>
    <t xml:space="preserve">한 질문에 생각 → 행동 → 관찰이 두 번 이상 콘솔에 남는다</t>
  </si>
  <si>
    <t xml:space="preserve">도구 호출 결과가 포털 실시간 모니터링의 유온과 같다</t>
  </si>
  <si>
    <r>
      <rPr>
        <sz val="10"/>
        <rFont val="Noto Sans CJK KR"/>
        <family val="2"/>
      </rPr>
      <t xml:space="preserve">일꾼이 틀 읽기 → 읽기 질의 순서로 답하고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쓰기 요청은 거절된다</t>
    </r>
  </si>
  <si>
    <r>
      <rPr>
        <sz val="10"/>
        <rFont val="Noto Sans CJK KR"/>
        <family val="2"/>
      </rPr>
      <t xml:space="preserve">내 서버 둘이 포털 연결 검사를 통과하고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쓰기 도구는 거절된다</t>
    </r>
  </si>
  <si>
    <r>
      <rPr>
        <sz val="10"/>
        <rFont val="Noto Sans CJK KR"/>
        <family val="2"/>
      </rPr>
      <t xml:space="preserve">요령 뒤 첫 도구 호출이 바뀌고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같은 요령을 포털 일꾼에 붙여도 같은 변화가 난다</t>
    </r>
  </si>
  <si>
    <t xml:space="preserve">내 일꾼이 금지 안을 빼고 추천 하나와 지는 안 이유를 낸다</t>
  </si>
  <si>
    <t xml:space="preserve">내 채점기 점수가 포털 점수와 항목별로 같다</t>
  </si>
  <si>
    <r>
      <rPr>
        <sz val="10"/>
        <rFont val="Noto Sans CJK KR"/>
        <family val="2"/>
      </rPr>
      <t xml:space="preserve">비교표에 두 일꾼의 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점수가 나란히 있고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다르면 다른 칸 하나를 적었다</t>
    </r>
  </si>
  <si>
    <t xml:space="preserve">에이전트 막 노트에 조각마다 포털 설정 이름을 적었다</t>
  </si>
  <si>
    <r>
      <rPr>
        <sz val="10"/>
        <rFont val="Noto Sans CJK KR"/>
        <family val="2"/>
      </rPr>
      <t xml:space="preserve">막 여는 이야기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제안 카드가 있다 → 누가 승인하고 무엇이 실행되나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오늘 저녁 요리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정의와 실제 한 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처리 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기호 다섯 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시작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갈림길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선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그리기는 다음 행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</si>
  <si>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기호 다섯 개 이름과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정의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한 건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말한다</t>
    </r>
  </si>
  <si>
    <r>
      <rPr>
        <sz val="10"/>
        <rFont val="Arial"/>
        <family val="0"/>
        <charset val="1"/>
      </rPr>
      <t xml:space="preserve">demo.bpmn.io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내보내기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카페 주문 흐름 따라 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이 화면은 </t>
    </r>
    <r>
      <rPr>
        <sz val="10"/>
        <rFont val="Arial"/>
        <family val="0"/>
        <charset val="1"/>
      </rPr>
      <t xml:space="preserve">BT6 · BP2</t>
    </r>
    <r>
      <rPr>
        <sz val="10"/>
        <rFont val="Noto Sans CJK KR"/>
        <family val="2"/>
      </rPr>
      <t xml:space="preserve">에서 다시 쓴다</t>
    </r>
  </si>
  <si>
    <r>
      <rPr>
        <sz val="10"/>
        <rFont val="Noto Sans CJK KR"/>
        <family val="2"/>
      </rPr>
      <t xml:space="preserve">카페 주문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기호 다섯 개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</t>
    </r>
    <r>
      <rPr>
        <sz val="10"/>
        <rFont val="Arial"/>
        <family val="0"/>
        <charset val="1"/>
      </rPr>
      <t xml:space="preserve">.bpmn </t>
    </r>
    <r>
      <rPr>
        <sz val="10"/>
        <rFont val="Noto Sans CJK KR"/>
        <family val="2"/>
      </rPr>
      <t xml:space="preserve">파일로 내보냈다</t>
    </r>
  </si>
  <si>
    <r>
      <rPr>
        <sz val="10"/>
        <rFont val="Noto Sans CJK KR"/>
        <family val="2"/>
      </rPr>
      <t xml:space="preserve">이벤트 스토밍이 무엇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포스트잇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배달 주문의 </t>
    </r>
    <r>
      <rPr>
        <sz val="10"/>
        <rFont val="Arial"/>
        <family val="0"/>
        <charset val="1"/>
      </rPr>
      <t xml:space="preserve">"~</t>
    </r>
    <r>
      <rPr>
        <sz val="10"/>
        <rFont val="Noto Sans CJK KR"/>
        <family val="2"/>
      </rPr>
      <t xml:space="preserve">됨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사건을 시간순으로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영상은 녹화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담당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넘기는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바통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일을 나누는 기준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하는 사람이 바뀌거나 다른 시스템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결과물이 생길 때만 나눈다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같은 사람이 이어서 하는 일은 하나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발표</t>
    </r>
  </si>
  <si>
    <r>
      <rPr>
        <sz val="10"/>
        <rFont val="Noto Sans CJK KR"/>
        <family val="2"/>
      </rPr>
      <t xml:space="preserve">배달 주문 사건 포스트잇이 칸 셋에 시간순으로 붙고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일 다섯 개 안팎으로 묶였다</t>
    </r>
  </si>
  <si>
    <r>
      <rPr>
        <sz val="10"/>
        <rFont val="Noto Sans CJK KR"/>
        <family val="2"/>
      </rPr>
      <t xml:space="preserve">시작 종류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센서 경보 </t>
    </r>
    <r>
      <rPr>
        <sz val="10"/>
        <rFont val="Arial"/>
        <family val="0"/>
        <charset val="1"/>
      </rPr>
      <t xml:space="preserve">= A · </t>
    </r>
    <r>
      <rPr>
        <sz val="10"/>
        <rFont val="Noto Sans CJK KR"/>
        <family val="2"/>
      </rPr>
      <t xml:space="preserve">운전시간 계수기가 정한 때 </t>
    </r>
    <r>
      <rPr>
        <sz val="10"/>
        <rFont val="Arial"/>
        <family val="0"/>
        <charset val="1"/>
      </rPr>
      <t xml:space="preserve">= B · </t>
    </r>
    <r>
      <rPr>
        <sz val="10"/>
        <rFont val="Noto Sans CJK KR"/>
        <family val="2"/>
      </rPr>
      <t xml:space="preserve">재고 기준 이탈 </t>
    </r>
    <r>
      <rPr>
        <sz val="10"/>
        <rFont val="Arial"/>
        <family val="0"/>
        <charset val="1"/>
      </rPr>
      <t xml:space="preserve">= C) · </t>
    </r>
    <r>
      <rPr>
        <sz val="10"/>
        <rFont val="Noto Sans CJK KR"/>
        <family val="2"/>
      </rPr>
      <t xml:space="preserve">사람이 누르지 않아도 열린다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수업에서는 버튼으로 원인을 만들고 감지는 시스템이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</si>
  <si>
    <r>
      <rPr>
        <sz val="10"/>
        <rFont val="Noto Sans CJK KR"/>
        <family val="2"/>
      </rPr>
      <t xml:space="preserve">세 사건의 시작이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센서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계수기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재고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임을 말한다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</si>
  <si>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결재 도장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큰돈 이체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제안과 실행 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담당자가 자기 업무를 한 번만 승인한다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운전원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설비보전팀장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 담당 — 두 번 결재하지 않는다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승인할 것은 요약 카드 하나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승인 뒤 실행은 시스템이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없이는 환불 못 한다</t>
    </r>
  </si>
  <si>
    <t xml:space="preserve">역할극에서 승인 없이는 실행이 안 되는 것을 확인했다</t>
  </si>
  <si>
    <r>
      <rPr>
        <sz val="10"/>
        <rFont val="Noto Sans CJK KR"/>
        <family val="2"/>
      </rPr>
      <t xml:space="preserve">기한 넘김</t>
    </r>
    <r>
      <rPr>
        <sz val="10"/>
        <rFont val="Arial"/>
        <family val="0"/>
        <charset val="1"/>
      </rPr>
      <t xml:space="preserve">(A: </t>
    </r>
    <r>
      <rPr>
        <sz val="10"/>
        <rFont val="Noto Sans CJK KR"/>
        <family val="2"/>
      </rPr>
      <t xml:space="preserve">승인이 늦으면 지연 알림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예정된 시간까지 기다림</t>
    </r>
    <r>
      <rPr>
        <sz val="10"/>
        <rFont val="Arial"/>
        <family val="0"/>
        <charset val="1"/>
      </rPr>
      <t xml:space="preserve">(B: </t>
    </r>
    <r>
      <rPr>
        <sz val="10"/>
        <rFont val="Noto Sans CJK KR"/>
        <family val="2"/>
      </rPr>
      <t xml:space="preserve">낮에 설비를 세울 수 없어 예정된 정비 시간까지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입고 기다림</t>
    </r>
    <r>
      <rPr>
        <sz val="10"/>
        <rFont val="Arial"/>
        <family val="0"/>
        <charset val="1"/>
      </rPr>
      <t xml:space="preserve">(C: </t>
    </r>
    <r>
      <rPr>
        <sz val="10"/>
        <rFont val="Noto Sans CJK KR"/>
        <family val="2"/>
      </rPr>
      <t xml:space="preserve">납기까지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기다린 뒤의 갈림길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정상</t>
    </r>
    <r>
      <rPr>
        <sz val="10"/>
        <rFont val="Arial"/>
        <family val="0"/>
        <charset val="1"/>
      </rPr>
      <t xml:space="preserve">/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) · bpmn.io: </t>
    </r>
    <r>
      <rPr>
        <sz val="10"/>
        <rFont val="Noto Sans CJK KR"/>
        <family val="2"/>
      </rPr>
      <t xml:space="preserve">배달 </t>
    </r>
    <r>
      <rPr>
        <sz val="10"/>
        <rFont val="Arial"/>
        <family val="0"/>
        <charset val="1"/>
      </rPr>
      <t xml:space="preserve">+ "30</t>
    </r>
    <r>
      <rPr>
        <sz val="10"/>
        <rFont val="Noto Sans CJK KR"/>
        <family val="2"/>
      </rPr>
      <t xml:space="preserve">분 지나면 알림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타이머 그리기</t>
    </r>
  </si>
  <si>
    <r>
      <rPr>
        <sz val="10"/>
        <rFont val="Noto Sans CJK KR"/>
        <family val="2"/>
      </rPr>
      <t xml:space="preserve">배달 흐름에 </t>
    </r>
    <r>
      <rPr>
        <sz val="10"/>
        <rFont val="Arial"/>
        <family val="0"/>
        <charset val="1"/>
      </rPr>
      <t xml:space="preserve">"30</t>
    </r>
    <r>
      <rPr>
        <sz val="10"/>
        <rFont val="Noto Sans CJK KR"/>
        <family val="2"/>
      </rPr>
      <t xml:space="preserve">분 지나면 알림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타이머를 그려 내보냈다</t>
    </r>
  </si>
  <si>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배포한 세 흐름에 사건을 일으킨다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택배 수령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세 가지 자동 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55 ℃ </t>
    </r>
    <r>
      <rPr>
        <sz val="10"/>
        <rFont val="Noto Sans CJK KR"/>
        <family val="2"/>
      </rPr>
      <t xml:space="preserve">미만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경보 해제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시운전 압력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진동 정상 → 계수기 리셋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입고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확인이 실패해도 조용히 닫지 않는다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" · "</t>
    </r>
    <r>
      <rPr>
        <sz val="10"/>
        <rFont val="Noto Sans CJK KR"/>
        <family val="2"/>
      </rPr>
      <t xml:space="preserve">지연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결과 보고로 닫는다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</si>
  <si>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t xml:space="preserve">세 사건의 자동 확인 항목과 미달 때 무엇이 남는지 말한다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</si>
  <si>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 버전 기록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배포하면 새 건부터 새 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</si>
  <si>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t xml:space="preserve">배포 뒤 새 건부터 새 판이 쓰인다는 것을 말한다</t>
  </si>
  <si>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경보 →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회복 시간 </t>
    </r>
    <r>
      <rPr>
        <sz val="10"/>
        <rFont val="Arial"/>
        <family val="0"/>
        <charset val="1"/>
      </rPr>
      <t xml:space="preserve">/ B </t>
    </r>
    <r>
      <rPr>
        <sz val="10"/>
        <rFont val="Noto Sans CJK KR"/>
        <family val="2"/>
      </rPr>
      <t xml:space="preserve">정비 기한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계획 정비 비율 </t>
    </r>
    <r>
      <rPr>
        <sz val="10"/>
        <rFont val="Arial"/>
        <family val="0"/>
        <charset val="1"/>
      </rPr>
      <t xml:space="preserve">/ C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 · </t>
    </r>
    <r>
      <rPr>
        <sz val="10"/>
        <rFont val="Noto Sans CJK KR"/>
        <family val="2"/>
      </rPr>
      <t xml:space="preserve">총 구매비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월 매출표에서 미달 원인 찾기</t>
    </r>
  </si>
  <si>
    <t xml:space="preserve">매출표에서 미달 지표 하나의 원인을 찾아 적었다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</si>
  <si>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공사 전 도면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명세 세 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메뉴 하나 추가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세 줄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</si>
  <si>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메뉴 하나 추가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명세 세 줄을 썼다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</si>
  <si>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흐름이 사전 검사를 통과해 배포됐다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승인 앞에 명령을 둔 그림은 거절 사유를 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</si>
  <si>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처리 건 둘이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정상</t>
    </r>
    <r>
      <rPr>
        <sz val="10"/>
        <rFont val="Arial"/>
        <family val="0"/>
        <charset val="1"/>
      </rPr>
      <t xml:space="preserve">" · "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결과 보고로 닫혔다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</si>
  <si>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흐름이 사전 검사를 통과해 배포됐다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</si>
  <si>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처리 건 둘이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정상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계수기 리셋</t>
    </r>
    <r>
      <rPr>
        <sz val="10"/>
        <rFont val="Arial"/>
        <family val="0"/>
        <charset val="1"/>
      </rPr>
      <t xml:space="preserve">)" · "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결과 보고로 닫혔다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</si>
  <si>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흐름이 배포되고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흐름을 나란히 놓고 다른 기다림을 짚었다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</si>
  <si>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처리 건 둘이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입고 완료</t>
    </r>
    <r>
      <rPr>
        <sz val="10"/>
        <rFont val="Arial"/>
        <family val="0"/>
        <charset val="1"/>
      </rPr>
      <t xml:space="preserve">" · "</t>
    </r>
    <r>
      <rPr>
        <sz val="10"/>
        <rFont val="Noto Sans CJK KR"/>
        <family val="2"/>
      </rPr>
      <t xml:space="preserve">지연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결과 보고로 닫혔다</t>
    </r>
  </si>
  <si>
    <t xml:space="preserve">세 건 지표표에서 가장 오래 기다린 일을 하나씩 짚었다</t>
  </si>
  <si>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만든 흐름 파일이 사전 검사를 통과하고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처음 거절 사유와 고친 곳을 적었다</t>
    </r>
  </si>
  <si>
    <r>
      <rPr>
        <sz val="10"/>
        <rFont val="Noto Sans CJK KR"/>
        <family val="2"/>
      </rPr>
      <t xml:space="preserve">새 규칙이 잘못된 그림을 거절하고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기존 세 흐름 시험은 모두 통과한다</t>
    </r>
  </si>
  <si>
    <r>
      <rPr>
        <sz val="10"/>
        <rFont val="Noto Sans CJK KR"/>
        <family val="2"/>
      </rPr>
      <t xml:space="preserve">승인 없이는 실행 함수가 한 번도 불리지 않고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담당자 승인은 거절된다</t>
    </r>
  </si>
  <si>
    <r>
      <rPr>
        <sz val="10"/>
        <rFont val="Noto Sans CJK KR"/>
        <family val="2"/>
      </rPr>
      <t xml:space="preserve">기한을 넘기면 지연 알림이 남고 실행은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승인하면 그때 실행된다</t>
    </r>
  </si>
  <si>
    <r>
      <rPr>
        <sz val="10"/>
        <rFont val="Noto Sans CJK KR"/>
        <family val="2"/>
      </rPr>
      <t xml:space="preserve">신호 한 건에 내 일꾼이 한 번 불리고 결과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도구 호출 기록이 남는다</t>
    </r>
  </si>
  <si>
    <r>
      <rPr>
        <sz val="10"/>
        <rFont val="Noto Sans CJK KR"/>
        <family val="2"/>
      </rPr>
      <t xml:space="preserve">신호 하나에 여섯 단계 기록이 순서대로 남고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미달 조건에서는 미달 보고로 끝난다</t>
    </r>
  </si>
  <si>
    <r>
      <rPr>
        <sz val="10"/>
        <rFont val="Arial"/>
        <family val="0"/>
        <charset val="1"/>
      </rPr>
      <t xml:space="preserve">BPMN </t>
    </r>
    <r>
      <rPr>
        <sz val="10"/>
        <rFont val="Noto Sans CJK KR"/>
        <family val="2"/>
      </rPr>
      <t xml:space="preserve">막 노트에 조각마다 포털 흐름의 어느 부분인지 적었다</t>
    </r>
  </si>
  <si>
    <r>
      <rPr>
        <sz val="10"/>
        <rFont val="Noto Sans CJK KR"/>
        <family val="2"/>
      </rPr>
      <t xml:space="preserve">내가 만든 지식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흐름이 제품의 어느 화면인지 노트에 적었다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</si>
  <si>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첫 기록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칸 설명을 짧게</t>
    </r>
    <r>
      <rPr>
        <sz val="10"/>
        <rFont val="Arial"/>
        <family val="0"/>
        <charset val="1"/>
      </rPr>
      <t xml:space="preserve">. S1 "</t>
    </r>
    <r>
      <rPr>
        <sz val="10"/>
        <rFont val="Noto Sans CJK KR"/>
        <family val="2"/>
      </rPr>
      <t xml:space="preserve">왜 남기나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앞에 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분 합침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</si>
  <si>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지도 </t>
    </r>
    <r>
      <rPr>
        <sz val="10"/>
        <rFont val="Arial"/>
        <family val="0"/>
        <charset val="1"/>
      </rPr>
      <t xml:space="preserve">8 · </t>
    </r>
    <r>
      <rPr>
        <sz val="10"/>
        <rFont val="Noto Sans CJK KR"/>
        <family val="2"/>
      </rPr>
      <t xml:space="preserve">화면 </t>
    </r>
    <r>
      <rPr>
        <sz val="10"/>
        <rFont val="Arial"/>
        <family val="0"/>
        <charset val="1"/>
      </rPr>
      <t xml:space="preserve">8 · </t>
    </r>
    <r>
      <rPr>
        <sz val="10"/>
        <rFont val="Noto Sans CJK KR"/>
        <family val="2"/>
      </rPr>
      <t xml:space="preserve">센서 </t>
    </r>
    <r>
      <rPr>
        <sz val="10"/>
        <rFont val="Arial"/>
        <family val="0"/>
        <charset val="1"/>
      </rPr>
      <t xml:space="preserve">6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</si>
  <si>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층 설명을 줄임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</si>
  <si>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종이 그리기를 강사 판서로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</si>
  <si>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사건 이야기 </t>
    </r>
    <r>
      <rPr>
        <sz val="10"/>
        <rFont val="Arial"/>
        <family val="0"/>
        <charset val="1"/>
      </rPr>
      <t xml:space="preserve">5, </t>
    </r>
    <r>
      <rPr>
        <sz val="10"/>
        <rFont val="Noto Sans CJK KR"/>
        <family val="2"/>
      </rPr>
      <t xml:space="preserve">할 일 </t>
    </r>
    <r>
      <rPr>
        <sz val="10"/>
        <rFont val="Arial"/>
        <family val="0"/>
        <charset val="1"/>
      </rPr>
      <t xml:space="preserve">2 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RAISE · W4 · REOBS · CASE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</si>
  <si>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둘러보기 </t>
    </r>
    <r>
      <rPr>
        <sz val="10"/>
        <rFont val="Arial"/>
        <family val="0"/>
        <charset val="1"/>
      </rPr>
      <t xml:space="preserve">4</t>
    </r>
    <r>
      <rPr>
        <sz val="10"/>
        <rFont val="Noto Sans CJK KR"/>
        <family val="2"/>
      </rPr>
      <t xml:space="preserve">분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</si>
  <si>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사례 하나로 줄임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</si>
  <si>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 하나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</si>
  <si>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비교 예 하나로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</si>
  <si>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관계 예 하나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</si>
  <si>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따라 그리기 한 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짝 그리기 </t>
    </r>
    <r>
      <rPr>
        <sz val="10"/>
        <rFont val="Arial"/>
        <family val="0"/>
        <charset val="1"/>
      </rPr>
      <t xml:space="preserve">10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</si>
  <si>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카드 활동을 강사 시연으로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오프는 모둠 </t>
    </r>
    <r>
      <rPr>
        <sz val="10"/>
        <rFont val="Arial"/>
        <family val="0"/>
        <charset val="1"/>
      </rPr>
      <t xml:space="preserve">10)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</si>
  <si>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간격 그림 하나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</si>
  <si>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모양 설명을 짧게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종이 쓰기는 한 줄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</si>
  <si>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형광펜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대조를 시연 위주로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</si>
  <si>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비교를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</si>
  <si>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지우기 실험을 시연으로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</si>
  <si>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칸 찾기를 시연으로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</si>
  <si>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전략맵 그리기를 반쯤 그린 판으로</t>
    </r>
    <r>
      <rPr>
        <sz val="10"/>
        <rFont val="Arial"/>
        <family val="0"/>
        <charset val="1"/>
      </rPr>
      <t xml:space="preserve">(12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</si>
  <si>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예 하나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</si>
  <si>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되짚기를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</si>
  <si>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조작법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 노드를 짧게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</si>
  <si>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HOLD · RAISE · EXT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</si>
  <si>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</si>
  <si>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설명을 짧게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</si>
  <si>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HOLD · EXT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</si>
  <si>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순서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설명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</si>
  <si>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</si>
  <si>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HOLD · EXT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</si>
  <si>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순서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</si>
  <si>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</si>
  <si>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셋 나란히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</si>
  <si>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둘러보기를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</si>
  <si>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그림 읽기를 짧게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</si>
  <si>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쉬운 말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자주 틀리는 곳을 줄임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L3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</si>
  <si>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방식으로 줄임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L4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</si>
  <si>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80</t>
    </r>
    <r>
      <rPr>
        <sz val="10"/>
        <rFont val="Noto Sans CJK KR"/>
        <family val="2"/>
      </rPr>
      <t xml:space="preserve">쪽 사례를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LONG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L5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</si>
  <si>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추출을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한 문서로</t>
    </r>
    <r>
      <rPr>
        <sz val="10"/>
        <rFont val="Arial"/>
        <family val="0"/>
        <charset val="1"/>
      </rPr>
      <t xml:space="preserve">, B · C</t>
    </r>
    <r>
      <rPr>
        <sz val="10"/>
        <rFont val="Noto Sans CJK KR"/>
        <family val="2"/>
      </rPr>
      <t xml:space="preserve">는 출발본 결과로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EXT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L6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</si>
  <si>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되돌리기를 시연으로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L7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</si>
  <si>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쉬운 말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자주 틀리는 곳을 줄임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GQ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L8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</si>
  <si>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GQ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L9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</si>
  <si>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L10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</si>
  <si>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L11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</si>
  <si>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트랙 정리를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</si>
  <si>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사례를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</si>
  <si>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2</t>
    </r>
    <r>
      <rPr>
        <sz val="10"/>
        <rFont val="Noto Sans CJK KR"/>
        <family val="2"/>
      </rPr>
      <t xml:space="preserve">라운드를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</si>
  <si>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카드 쓰기를 시연으로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</si>
  <si>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연결 그림을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</si>
  <si>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원천 고르기를 시연으로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</si>
  <si>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</si>
  <si>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</si>
  <si>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규칙표를 시연 위주로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</si>
  <si>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종이 계산을 시연으로</t>
    </r>
    <r>
      <rPr>
        <sz val="10"/>
        <rFont val="Arial"/>
        <family val="0"/>
        <charset val="1"/>
      </rPr>
      <t xml:space="preserve">. AT10 </t>
    </r>
    <r>
      <rPr>
        <sz val="10"/>
        <rFont val="Noto Sans CJK KR"/>
        <family val="2"/>
      </rPr>
      <t xml:space="preserve">예측을 끝에 한 줄로 합침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</si>
  <si>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 넷을 둘로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MCP ·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</si>
  <si>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What-if </t>
    </r>
    <r>
      <rPr>
        <sz val="10"/>
        <rFont val="Noto Sans CJK KR"/>
        <family val="2"/>
      </rPr>
      <t xml:space="preserve">하나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</si>
  <si>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</si>
  <si>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순서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MCP ·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</si>
  <si>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</si>
  <si>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</si>
  <si>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순서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MCP ·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</si>
  <si>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</si>
  <si>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</si>
  <si>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설명을 짧게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셋 나란히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</si>
  <si>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콘솔 읽기를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L12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</si>
  <si>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L13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</si>
  <si>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연결 확인을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MCP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L14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</si>
  <si>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구매용은 출발본으로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MCP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L15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</si>
  <si>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L16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</si>
  <si>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L17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</si>
  <si>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L18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</si>
  <si>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W4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L19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</si>
  <si>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비유를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</si>
  <si>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따라 그리기를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</si>
  <si>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붙이기를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</si>
  <si>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역할극을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</si>
  <si>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그리기를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</si>
  <si>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종이 활동을 시연으로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</si>
  <si>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그리기를 반쯤 그린 출발본으로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</si>
  <si>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 셋을 하나로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RAISE · W4 · REOBS · CASE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</si>
  <si>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두 번째 건은 기다림을 건너뛴 출발본으로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WAITB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</si>
  <si>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두 번째 건은 기다림을 건너뛴 출발본으로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WAITB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</si>
  <si>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그림 확인을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L20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</si>
  <si>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명세를 짧게</t>
    </r>
    <r>
      <rPr>
        <sz val="10"/>
        <rFont val="Arial"/>
        <family val="0"/>
        <charset val="1"/>
      </rPr>
      <t xml:space="preserve">(BT10 </t>
    </r>
    <r>
      <rPr>
        <sz val="10"/>
        <rFont val="Noto Sans CJK KR"/>
        <family val="2"/>
      </rPr>
      <t xml:space="preserve">합침</t>
    </r>
    <r>
      <rPr>
        <sz val="10"/>
        <rFont val="Arial"/>
        <family val="0"/>
        <charset val="1"/>
      </rPr>
      <t xml:space="preserve">) 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L21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</si>
  <si>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L22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</si>
  <si>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확인을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L23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</si>
  <si>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W4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L24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</si>
  <si>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W4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L25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</si>
  <si>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자리 찾기를 지식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 하나씩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CASE</t>
    </r>
  </si>
  <si>
    <r>
      <rPr>
        <b val="true"/>
        <sz val="10"/>
        <color rgb="FFFFFFFF"/>
        <rFont val="Noto Sans CJK KR"/>
        <family val="2"/>
      </rPr>
      <t xml:space="preserve">통합 영상 </t>
    </r>
    <r>
      <rPr>
        <b val="true"/>
        <sz val="10"/>
        <color rgb="FFFFFFFF"/>
        <rFont val="Arial"/>
        <family val="0"/>
        <charset val="1"/>
      </rPr>
      <t xml:space="preserve">No</t>
    </r>
  </si>
  <si>
    <r>
      <rPr>
        <b val="true"/>
        <sz val="10"/>
        <color rgb="FFFFFFFF"/>
        <rFont val="Noto Sans CJK KR"/>
        <family val="2"/>
      </rPr>
      <t xml:space="preserve">실전 영상 </t>
    </r>
    <r>
      <rPr>
        <b val="true"/>
        <sz val="10"/>
        <color rgb="FFFFFFFF"/>
        <rFont val="Arial"/>
        <family val="0"/>
        <charset val="1"/>
      </rPr>
      <t xml:space="preserve">No</t>
    </r>
  </si>
  <si>
    <r>
      <rPr>
        <b val="true"/>
        <sz val="10"/>
        <color rgb="FFFFFFFF"/>
        <rFont val="Noto Sans CJK KR"/>
        <family val="2"/>
      </rPr>
      <t xml:space="preserve">통합 오프라인 </t>
    </r>
    <r>
      <rPr>
        <b val="true"/>
        <sz val="10"/>
        <color rgb="FFFFFFFF"/>
        <rFont val="Arial"/>
        <family val="0"/>
        <charset val="1"/>
      </rPr>
      <t xml:space="preserve">No</t>
    </r>
  </si>
  <si>
    <r>
      <rPr>
        <b val="true"/>
        <sz val="10"/>
        <color rgb="FFFFFFFF"/>
        <rFont val="Noto Sans CJK KR"/>
        <family val="2"/>
      </rPr>
      <t xml:space="preserve">실전 오프라인 </t>
    </r>
    <r>
      <rPr>
        <b val="true"/>
        <sz val="10"/>
        <color rgb="FFFFFFFF"/>
        <rFont val="Arial"/>
        <family val="0"/>
        <charset val="1"/>
      </rPr>
      <t xml:space="preserve">No</t>
    </r>
  </si>
  <si>
    <t xml:space="preserve">만들 것</t>
  </si>
  <si>
    <r>
      <rPr>
        <b val="true"/>
        <sz val="10"/>
        <color rgb="FFFFFFFF"/>
        <rFont val="Noto Sans CJK KR"/>
        <family val="2"/>
      </rPr>
      <t xml:space="preserve">지시 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말로 시키기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</si>
  <si>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콘솔에서 보이는 과정</t>
  </si>
  <si>
    <t xml:space="preserve">포털에서 비교할 실제 기능</t>
  </si>
  <si>
    <t xml:space="preserve">확인할 결과</t>
  </si>
  <si>
    <t xml:space="preserve">필요한 출발본</t>
  </si>
  <si>
    <t xml:space="preserve">L1</t>
  </si>
  <si>
    <r>
      <rPr>
        <sz val="10"/>
        <rFont val="Noto Sans CJK KR"/>
        <family val="2"/>
      </rPr>
      <t xml:space="preserve">세 사건 질문을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 묻고 답을 남기는 첫 프로그램</t>
    </r>
  </si>
  <si>
    <r>
      <rPr>
        <sz val="10"/>
        <rFont val="Arial"/>
        <family val="0"/>
        <charset val="1"/>
      </rPr>
      <t xml:space="preserve">"HYD-01 </t>
    </r>
    <r>
      <rPr>
        <sz val="10"/>
        <rFont val="Noto Sans CJK KR"/>
        <family val="2"/>
      </rPr>
      <t xml:space="preserve">쿨러 유온이 오르면 원인과 조치는</t>
    </r>
    <r>
      <rPr>
        <sz val="10"/>
        <rFont val="Arial"/>
        <family val="0"/>
        <charset val="1"/>
      </rPr>
      <t xml:space="preserve">? HYD-02 2,000 h </t>
    </r>
    <r>
      <rPr>
        <sz val="10"/>
        <rFont val="Noto Sans CJK KR"/>
        <family val="2"/>
      </rPr>
      <t xml:space="preserve">정비는 무엇을 하나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씰 키트는 어디서 사나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세 질문을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 묻고 답을 </t>
    </r>
    <r>
      <rPr>
        <sz val="10"/>
        <rFont val="Arial"/>
        <family val="0"/>
        <charset val="1"/>
      </rPr>
      <t xml:space="preserve">answers.md</t>
    </r>
    <r>
      <rPr>
        <sz val="10"/>
        <rFont val="Noto Sans CJK KR"/>
        <family val="2"/>
      </rPr>
      <t xml:space="preserve">에 남겨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</si>
  <si>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 →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호출 → 답 저장</t>
    </r>
  </si>
  <si>
    <r>
      <rPr>
        <sz val="10"/>
        <rFont val="Noto Sans CJK KR"/>
        <family val="2"/>
      </rPr>
      <t xml:space="preserve">적재 전 경보의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근거 없음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보류 사유</t>
    </r>
  </si>
  <si>
    <r>
      <rPr>
        <sz val="10"/>
        <rFont val="Noto Sans CJK KR"/>
        <family val="2"/>
      </rPr>
      <t xml:space="preserve">세 답이 일반론이고 우리 공장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절차가 없음</t>
    </r>
  </si>
  <si>
    <r>
      <rPr>
        <sz val="10"/>
        <rFont val="Noto Sans CJK KR"/>
        <family val="2"/>
      </rPr>
      <t xml:space="preserve">랩업 작업 폴더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</si>
  <si>
    <t xml:space="preserve">L2</t>
  </si>
  <si>
    <r>
      <rPr>
        <sz val="10"/>
        <rFont val="Noto Sans CJK KR"/>
        <family val="2"/>
      </rPr>
      <t xml:space="preserve">카페 관계도를 그래프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 넣기</t>
    </r>
  </si>
  <si>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지시 없음 — </t>
    </r>
    <r>
      <rPr>
        <sz val="10"/>
        <rFont val="Arial"/>
        <family val="0"/>
        <charset val="1"/>
      </rPr>
      <t xml:space="preserve">arrows.app </t>
    </r>
    <r>
      <rPr>
        <sz val="10"/>
        <rFont val="Noto Sans CJK KR"/>
        <family val="2"/>
      </rPr>
      <t xml:space="preserve">내보내기 문장을 붙여 넣어 실행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</si>
  <si>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문장 실행 →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생성</t>
    </r>
  </si>
  <si>
    <r>
      <rPr>
        <sz val="10"/>
        <rFont val="Noto Sans CJK KR"/>
        <family val="2"/>
      </rPr>
      <t xml:space="preserve">지식 지도 화면의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</si>
  <si>
    <r>
      <rPr>
        <sz val="10"/>
        <rFont val="Noto Sans CJK KR"/>
        <family val="2"/>
      </rPr>
      <t xml:space="preserve">카페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관계가 그림으로 보임</t>
    </r>
  </si>
  <si>
    <r>
      <rPr>
        <sz val="10"/>
        <rFont val="Arial"/>
        <family val="0"/>
        <charset val="1"/>
      </rPr>
      <t xml:space="preserve">OT5 </t>
    </r>
    <r>
      <rPr>
        <sz val="10"/>
        <rFont val="Noto Sans CJK KR"/>
        <family val="2"/>
      </rPr>
      <t xml:space="preserve">카페 관계도 파일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수업 스택 그래프 </t>
    </r>
    <r>
      <rPr>
        <sz val="10"/>
        <rFont val="Arial"/>
        <family val="0"/>
        <charset val="1"/>
      </rPr>
      <t xml:space="preserve">DB</t>
    </r>
  </si>
  <si>
    <t xml:space="preserve">L3</t>
  </si>
  <si>
    <r>
      <rPr>
        <sz val="10"/>
        <rFont val="Noto Sans CJK KR"/>
        <family val="2"/>
      </rPr>
      <t xml:space="preserve">지식의 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스키마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</si>
  <si>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틀 설명대로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유형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클래스와 관계를 만들어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고장 → 조치는 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 조치 세 관계로 나눠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</si>
  <si>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틀 초안 → 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검토 → 고치기 지시 → 저장</t>
    </r>
  </si>
  <si>
    <t xml:space="preserve">지식 지도의 클래스 구성</t>
  </si>
  <si>
    <r>
      <rPr>
        <sz val="10"/>
        <rFont val="Noto Sans CJK KR"/>
        <family val="2"/>
      </rPr>
      <t xml:space="preserve">클래스와 관계 셋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제약이 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창에 보임</t>
    </r>
  </si>
  <si>
    <r>
      <rPr>
        <sz val="10"/>
        <rFont val="Noto Sans CJK KR"/>
        <family val="2"/>
      </rPr>
      <t xml:space="preserve">빈 그래프 </t>
    </r>
    <r>
      <rPr>
        <sz val="10"/>
        <rFont val="Arial"/>
        <family val="0"/>
        <charset val="1"/>
      </rPr>
      <t xml:space="preserve">DB, </t>
    </r>
    <r>
      <rPr>
        <sz val="10"/>
        <rFont val="Noto Sans CJK KR"/>
        <family val="2"/>
      </rPr>
      <t xml:space="preserve">틀 설명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쪽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정답 틀</t>
    </r>
  </si>
  <si>
    <t xml:space="preserve">L4</t>
  </si>
  <si>
    <t xml:space="preserve">공장 뼈대 적재기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</si>
  <si>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</t>
    </r>
    <r>
      <rPr>
        <sz val="10"/>
        <rFont val="Arial"/>
        <family val="0"/>
        <charset val="1"/>
      </rPr>
      <t xml:space="preserve">CSV</t>
    </r>
    <r>
      <rPr>
        <sz val="10"/>
        <rFont val="Noto Sans CJK KR"/>
        <family val="2"/>
      </rPr>
      <t xml:space="preserve">의 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센서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계수기를 틀에 맞춰 넣어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두 번 실행해도 결과가 같아야 해</t>
    </r>
    <r>
      <rPr>
        <sz val="10"/>
        <rFont val="Arial"/>
        <family val="0"/>
        <charset val="1"/>
      </rPr>
      <t xml:space="preserve">."</t>
    </r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</si>
  <si>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KR"/>
        <family val="2"/>
      </rPr>
      <t xml:space="preserve">읽기 → 넣기 → 노드 수 → 다시 실행 → 같은 수</t>
    </r>
  </si>
  <si>
    <r>
      <rPr>
        <sz val="10"/>
        <rFont val="Noto Sans CJK KR"/>
        <family val="2"/>
      </rPr>
      <t xml:space="preserve">수업용 구조판</t>
    </r>
    <r>
      <rPr>
        <sz val="10"/>
        <rFont val="Arial"/>
        <family val="0"/>
        <charset val="1"/>
      </rPr>
      <t xml:space="preserve">(OP2</t>
    </r>
    <r>
      <rPr>
        <sz val="10"/>
        <rFont val="Noto Sans CJK KR"/>
        <family val="2"/>
      </rPr>
      <t xml:space="preserve">에서 본 지도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</si>
  <si>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두 번 실행 뒤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수 같음</t>
    </r>
  </si>
  <si>
    <r>
      <rPr>
        <sz val="10"/>
        <rFont val="Noto Sans CJK KR"/>
        <family val="2"/>
      </rPr>
      <t xml:space="preserve">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CSV, </t>
    </r>
    <r>
      <rPr>
        <sz val="10"/>
        <rFont val="Noto Sans CJK KR"/>
        <family val="2"/>
      </rPr>
      <t xml:space="preserve">정답 적재기</t>
    </r>
  </si>
  <si>
    <t xml:space="preserve">L5</t>
  </si>
  <si>
    <t xml:space="preserve">문서 나누기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</si>
  <si>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세 문서를 제목 단위로 나누고 조각마다 제목과 범위를 출력해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절차 중간에서 끊지 마</t>
    </r>
    <r>
      <rPr>
        <sz val="10"/>
        <rFont val="Arial"/>
        <family val="0"/>
        <charset val="1"/>
      </rPr>
      <t xml:space="preserve">."</t>
    </r>
  </si>
  <si>
    <t xml:space="preserve">조각 목록 → 끊긴 절차가 있으면 다시 나누기</t>
  </si>
  <si>
    <t xml:space="preserve">문서 적재의 구간 나누기 결과</t>
  </si>
  <si>
    <t xml:space="preserve">조각마다 절차가 끊기지 않음</t>
  </si>
  <si>
    <r>
      <rPr>
        <sz val="10"/>
        <rFont val="Arial"/>
        <family val="0"/>
        <charset val="1"/>
      </rPr>
      <t xml:space="preserve">A · B · C </t>
    </r>
    <r>
      <rPr>
        <sz val="10"/>
        <rFont val="Noto Sans CJK KR"/>
        <family val="2"/>
      </rPr>
      <t xml:space="preserve">문서 텍스트</t>
    </r>
  </si>
  <si>
    <t xml:space="preserve">L6</t>
  </si>
  <si>
    <t xml:space="preserve">조각에서 지식 뽑기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</si>
  <si>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조각마다 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조치와 관계를 틀에 맞춰 뽑고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틀에 없는 것은 버리고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항목마다 원문 구간을 붙여 줘</t>
    </r>
    <r>
      <rPr>
        <sz val="10"/>
        <rFont val="Arial"/>
        <family val="0"/>
        <charset val="1"/>
      </rPr>
      <t xml:space="preserve">."</t>
    </r>
  </si>
  <si>
    <t xml:space="preserve">조각별 추출 → 틀 검사 → 거절 목록 → 근거 구간</t>
  </si>
  <si>
    <t xml:space="preserve">추출 제안 화면</t>
  </si>
  <si>
    <r>
      <rPr>
        <sz val="10"/>
        <rFont val="Noto Sans CJK KR"/>
        <family val="2"/>
      </rPr>
      <t xml:space="preserve">틀 밖 항목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항목마다 근거 구간</t>
    </r>
  </si>
  <si>
    <r>
      <rPr>
        <sz val="10"/>
        <rFont val="Arial"/>
        <family val="0"/>
        <charset val="1"/>
      </rPr>
      <t xml:space="preserve">OL5 </t>
    </r>
    <r>
      <rPr>
        <sz val="10"/>
        <rFont val="Noto Sans CJK KR"/>
        <family val="2"/>
      </rPr>
      <t xml:space="preserve">조각</t>
    </r>
    <r>
      <rPr>
        <sz val="10"/>
        <rFont val="Arial"/>
        <family val="0"/>
        <charset val="1"/>
      </rPr>
      <t xml:space="preserve">, OL3 </t>
    </r>
    <r>
      <rPr>
        <sz val="10"/>
        <rFont val="Noto Sans CJK KR"/>
        <family val="2"/>
      </rPr>
      <t xml:space="preserve">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정답 추출 결과</t>
    </r>
  </si>
  <si>
    <t xml:space="preserve">L7</t>
  </si>
  <si>
    <r>
      <rPr>
        <sz val="10"/>
        <rFont val="Noto Sans CJK KR"/>
        <family val="2"/>
      </rPr>
      <t xml:space="preserve">검토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</si>
  <si>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추출 결과를 검토 목록으로 보여 주고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내가 승인한 것만 고장 유형에 이어 등록해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방금 넣은 묶음을 되돌리는 명령도 만들어</t>
    </r>
    <r>
      <rPr>
        <sz val="10"/>
        <rFont val="Arial"/>
        <family val="0"/>
        <charset val="1"/>
      </rPr>
      <t xml:space="preserve">."</t>
    </r>
  </si>
  <si>
    <t xml:space="preserve">검토 목록 → 승인 → 등록 → 되돌리기 → 다시 등록</t>
  </si>
  <si>
    <r>
      <rPr>
        <sz val="10"/>
        <rFont val="Noto Sans CJK KR"/>
        <family val="2"/>
      </rPr>
      <t xml:space="preserve">검토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화면</t>
    </r>
    <r>
      <rPr>
        <sz val="10"/>
        <rFont val="Arial"/>
        <family val="0"/>
        <charset val="1"/>
      </rPr>
      <t xml:space="preserve">(OP3~OP9)</t>
    </r>
  </si>
  <si>
    <r>
      <rPr>
        <sz val="10"/>
        <rFont val="Noto Sans CJK KR"/>
        <family val="2"/>
      </rPr>
      <t xml:space="preserve">승인 안 한 항목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건 등록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되돌리기 뒤 원래대로</t>
    </r>
  </si>
  <si>
    <r>
      <rPr>
        <sz val="10"/>
        <rFont val="Arial"/>
        <family val="0"/>
        <charset val="1"/>
      </rPr>
      <t xml:space="preserve">OL6 </t>
    </r>
    <r>
      <rPr>
        <sz val="10"/>
        <rFont val="Noto Sans CJK KR"/>
        <family val="2"/>
      </rPr>
      <t xml:space="preserve">결과</t>
    </r>
  </si>
  <si>
    <t xml:space="preserve">L8</t>
  </si>
  <si>
    <t xml:space="preserve">지도에 물어 근거 붙여 답하기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</si>
  <si>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질문을 받으면 내 지식 그래프에서 길을 찾아 답하고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지나간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관계와 원문 구절을 같이 보여 줘</t>
    </r>
    <r>
      <rPr>
        <sz val="10"/>
        <rFont val="Arial"/>
        <family val="0"/>
        <charset val="1"/>
      </rPr>
      <t xml:space="preserve">."</t>
    </r>
  </si>
  <si>
    <t xml:space="preserve">질문 → 질의 생성 → 지나간 길 → 원문 구절 → 답</t>
  </si>
  <si>
    <r>
      <rPr>
        <sz val="10"/>
        <rFont val="Noto Sans CJK KR"/>
        <family val="2"/>
      </rPr>
      <t xml:space="preserve">꼭 답할 질문의 답과 근거 노드</t>
    </r>
    <r>
      <rPr>
        <sz val="10"/>
        <rFont val="Arial"/>
        <family val="0"/>
        <charset val="1"/>
      </rPr>
      <t xml:space="preserve">(OP4~OP10)</t>
    </r>
  </si>
  <si>
    <r>
      <rPr>
        <sz val="10"/>
        <rFont val="Noto Sans CJK KR"/>
        <family val="2"/>
      </rPr>
      <t xml:space="preserve">세 질문 모두 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구절이 붙고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문서만 찾은 답은 연결 질문에 못 답함</t>
    </r>
  </si>
  <si>
    <r>
      <rPr>
        <sz val="10"/>
        <rFont val="Arial"/>
        <family val="0"/>
        <charset val="1"/>
      </rPr>
      <t xml:space="preserve">OL7 </t>
    </r>
    <r>
      <rPr>
        <sz val="10"/>
        <rFont val="Noto Sans CJK KR"/>
        <family val="2"/>
      </rPr>
      <t xml:space="preserve">결과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문서만 찾은 답 예</t>
    </r>
  </si>
  <si>
    <t xml:space="preserve">L9</t>
  </si>
  <si>
    <t xml:space="preserve">꼭 답할 질문 자동 검사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</si>
  <si>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세 사건의 꼭 답할 질문과 기대 답을 적고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내 그래프에 물어 맞는지 검사하는 프로그램을 만들어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</si>
  <si>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질문별 질의 → 통과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실패 → 관계 끊고 다시 → 실패</t>
    </r>
  </si>
  <si>
    <t xml:space="preserve">꼭 답할 질문 화면</t>
  </si>
  <si>
    <r>
      <rPr>
        <sz val="10"/>
        <rFont val="Noto Sans CJK KR"/>
        <family val="2"/>
      </rPr>
      <t xml:space="preserve">모두 통과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관계를 끊으면 실패</t>
    </r>
  </si>
  <si>
    <r>
      <rPr>
        <sz val="10"/>
        <rFont val="Noto Sans CJK KR"/>
        <family val="2"/>
      </rPr>
      <t xml:space="preserve">질문 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정답 검사 프로그램</t>
    </r>
  </si>
  <si>
    <t xml:space="preserve">L10</t>
  </si>
  <si>
    <t xml:space="preserve">값의 자리 연결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</si>
  <si>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업무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표 구조를 읽고 생산 오더 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씰 키트 재고가 어느 표 어느 칸인지 지식에 자리로 이어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값은 넣지 마</t>
    </r>
    <r>
      <rPr>
        <sz val="10"/>
        <rFont val="Arial"/>
        <family val="0"/>
        <charset val="1"/>
      </rPr>
      <t xml:space="preserve">."</t>
    </r>
  </si>
  <si>
    <t xml:space="preserve">표 구조 읽기 → 대상 칸 → 자리 연결 → 값 노드 없음 확인 → 조회</t>
  </si>
  <si>
    <r>
      <rPr>
        <sz val="10"/>
        <rFont val="Noto Sans CJK KR"/>
        <family val="2"/>
      </rPr>
      <t xml:space="preserve">업무 데이터 연결</t>
    </r>
    <r>
      <rPr>
        <sz val="10"/>
        <rFont val="Arial"/>
        <family val="0"/>
        <charset val="1"/>
      </rPr>
      <t xml:space="preserve">(OP5~OP11)</t>
    </r>
  </si>
  <si>
    <r>
      <rPr>
        <sz val="10"/>
        <rFont val="Noto Sans CJK KR"/>
        <family val="2"/>
      </rPr>
      <t xml:space="preserve">자리만 생기고 값 노드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개</t>
    </r>
  </si>
  <si>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표 구조 파일</t>
    </r>
  </si>
  <si>
    <t xml:space="preserve">L11</t>
  </si>
  <si>
    <t xml:space="preserve">회사 목표 층과 상충 질의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</si>
  <si>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네 관점 지표와 </t>
    </r>
    <r>
      <rPr>
        <sz val="10"/>
        <rFont val="Arial"/>
        <family val="0"/>
        <charset val="1"/>
      </rPr>
      <t xml:space="preserve">'A</t>
    </r>
    <r>
      <rPr>
        <sz val="10"/>
        <rFont val="Noto Sans CJK KR"/>
        <family val="2"/>
      </rPr>
      <t xml:space="preserve">를 올리면 </t>
    </r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가 내려간다</t>
    </r>
    <r>
      <rPr>
        <sz val="10"/>
        <rFont val="Arial"/>
        <family val="0"/>
        <charset val="1"/>
      </rPr>
      <t xml:space="preserve">'</t>
    </r>
    <r>
      <rPr>
        <sz val="10"/>
        <rFont val="Noto Sans CJK KR"/>
        <family val="2"/>
      </rPr>
      <t xml:space="preserve">는 상충 관계를 더하고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사건 조치가 닿는 지표와 부딪히는 지표를 찾아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</si>
  <si>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지표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추가 → 사슬 질의 → 상충 질의</t>
    </r>
  </si>
  <si>
    <r>
      <rPr>
        <sz val="10"/>
        <rFont val="Noto Sans CJK KR"/>
        <family val="2"/>
      </rPr>
      <t xml:space="preserve">회사 목표 층</t>
    </r>
    <r>
      <rPr>
        <sz val="10"/>
        <rFont val="Arial"/>
        <family val="0"/>
        <charset val="1"/>
      </rPr>
      <t xml:space="preserve">(OP5~OP11)</t>
    </r>
  </si>
  <si>
    <t xml:space="preserve">세 사건마다 사슬과 상충이 나옴</t>
  </si>
  <si>
    <t xml:space="preserve">네 관점 지표 표</t>
  </si>
  <si>
    <t xml:space="preserve">L12</t>
  </si>
  <si>
    <t xml:space="preserve">작은 일꾼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</si>
  <si>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질문을 받으면 무엇을 확인할지 정하고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준비된 함수로 값을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다시 판단해 답하는 작은 일꾼을 만들어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단계마다 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관찰을 찍어</t>
    </r>
    <r>
      <rPr>
        <sz val="10"/>
        <rFont val="Arial"/>
        <family val="0"/>
        <charset val="1"/>
      </rPr>
      <t xml:space="preserve">."</t>
    </r>
  </si>
  <si>
    <t xml:space="preserve">생각 → 함수 호출 → 관찰 → 판단 반복 기록</t>
  </si>
  <si>
    <r>
      <rPr>
        <sz val="10"/>
        <rFont val="Noto Sans CJK KR"/>
        <family val="2"/>
      </rPr>
      <t xml:space="preserve">질문하기의 도구 호출 과정</t>
    </r>
    <r>
      <rPr>
        <sz val="10"/>
        <rFont val="Arial"/>
        <family val="0"/>
        <charset val="1"/>
      </rPr>
      <t xml:space="preserve">(AP2)</t>
    </r>
  </si>
  <si>
    <t xml:space="preserve">한 질문에 관찰 → 판단 → 행동이 두 번 이상</t>
  </si>
  <si>
    <r>
      <rPr>
        <sz val="10"/>
        <rFont val="Noto Sans CJK KR"/>
        <family val="2"/>
      </rPr>
      <t xml:space="preserve">함수 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빈 작업 폴더</t>
    </r>
  </si>
  <si>
    <t xml:space="preserve">L13</t>
  </si>
  <si>
    <t xml:space="preserve">지금 값 조회 도구</t>
  </si>
  <si>
    <r>
      <rPr>
        <sz val="10"/>
        <rFont val="Arial"/>
        <family val="0"/>
        <charset val="1"/>
      </rPr>
      <t xml:space="preserve">"HYD-01 </t>
    </r>
    <r>
      <rPr>
        <sz val="10"/>
        <rFont val="Noto Sans CJK KR"/>
        <family val="2"/>
      </rPr>
      <t xml:space="preserve">지금 유온과 팬 지시값을 돌려주는 함수를 도구로 등록해 일꾼이 필요할 때 부르게 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</si>
  <si>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도구 목록 → 호출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답</t>
    </r>
  </si>
  <si>
    <r>
      <rPr>
        <sz val="10"/>
        <rFont val="Noto Sans CJK KR"/>
        <family val="2"/>
      </rPr>
      <t xml:space="preserve">실시간 모니터링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도구 써 보기</t>
    </r>
  </si>
  <si>
    <t xml:space="preserve">도구 값이 포털 그래프와 같음</t>
  </si>
  <si>
    <t xml:space="preserve">시계열 읽기 주소</t>
  </si>
  <si>
    <t xml:space="preserve">L14</t>
  </si>
  <si>
    <t xml:space="preserve">지식 지도 꽂기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</si>
  <si>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지식 그래프 연결로 먼저 틀을 읽고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사건 질문을 질의로 찾아 근거와 함께 답해 줘</t>
    </r>
    <r>
      <rPr>
        <sz val="10"/>
        <rFont val="Arial"/>
        <family val="0"/>
        <charset val="1"/>
      </rPr>
      <t xml:space="preserve">." → </t>
    </r>
    <r>
      <rPr>
        <sz val="10"/>
        <rFont val="Noto Sans CJK KR"/>
        <family val="2"/>
      </rPr>
      <t xml:space="preserve">이어서 쓰기 요청</t>
    </r>
  </si>
  <si>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틀 조회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읽기 질의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질의 생성 → 답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쓰기는 거절</t>
    </r>
  </si>
  <si>
    <r>
      <rPr>
        <sz val="10"/>
        <rFont val="Noto Sans CJK KR"/>
        <family val="2"/>
      </rPr>
      <t xml:space="preserve">지식 지도 도구</t>
    </r>
    <r>
      <rPr>
        <sz val="10"/>
        <rFont val="Arial"/>
        <family val="0"/>
        <charset val="1"/>
      </rPr>
      <t xml:space="preserve">(AP2)</t>
    </r>
  </si>
  <si>
    <r>
      <rPr>
        <sz val="10"/>
        <rFont val="Noto Sans CJK KR"/>
        <family val="2"/>
      </rPr>
      <t xml:space="preserve">답이 </t>
    </r>
    <r>
      <rPr>
        <sz val="10"/>
        <rFont val="Arial"/>
        <family val="0"/>
        <charset val="1"/>
      </rPr>
      <t xml:space="preserve">OL8</t>
    </r>
    <r>
      <rPr>
        <sz val="10"/>
        <rFont val="Noto Sans CJK KR"/>
        <family val="2"/>
      </rPr>
      <t xml:space="preserve">과 같고 쓰기 거절</t>
    </r>
  </si>
  <si>
    <t xml:space="preserve">읽기 전용 연결 설정 파일</t>
  </si>
  <si>
    <t xml:space="preserve">L15</t>
  </si>
  <si>
    <t xml:space="preserve">내 업무 도구 서버 둘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</si>
  <si>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에서 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계획을 읽기만 하는 작은 도구 서버를 만들어 줘</t>
    </r>
    <r>
      <rPr>
        <sz val="10"/>
        <rFont val="Arial"/>
        <family val="0"/>
        <charset val="1"/>
      </rPr>
      <t xml:space="preserve">." → "</t>
    </r>
    <r>
      <rPr>
        <sz val="10"/>
        <rFont val="Noto Sans CJK KR"/>
        <family val="2"/>
      </rPr>
      <t xml:space="preserve">같은 뼈대로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조건을 읽는 서버도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</si>
  <si>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서버 생성 → 연결 → 도구 목록 → 호출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</t>
    </r>
  </si>
  <si>
    <r>
      <rPr>
        <sz val="10"/>
        <rFont val="Noto Sans CJK KR"/>
        <family val="2"/>
      </rPr>
      <t xml:space="preserve">도구 서버 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</t>
    </r>
    <r>
      <rPr>
        <sz val="10"/>
        <rFont val="Arial"/>
        <family val="0"/>
        <charset val="1"/>
      </rPr>
      <t xml:space="preserve">(AP5 · AP8)</t>
    </r>
  </si>
  <si>
    <r>
      <rPr>
        <sz val="10"/>
        <rFont val="Noto Sans CJK KR"/>
        <family val="2"/>
      </rPr>
      <t xml:space="preserve">포털 연결 검사 통과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쓰기 거절</t>
    </r>
  </si>
  <si>
    <r>
      <rPr>
        <sz val="10"/>
        <rFont val="Noto Sans CJK KR"/>
        <family val="2"/>
      </rPr>
      <t xml:space="preserve">작은 서버 뼈대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읽기 주소</t>
    </r>
  </si>
  <si>
    <t xml:space="preserve">L16</t>
  </si>
  <si>
    <t xml:space="preserve">작업 요령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</si>
  <si>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정기 정비를 볼 때 기한 → 허용 오차 → 생산 오더 → 인력 → 부품 순으로 확인하라는 요령 문서를 써서 붙이고 같은 질문을 다시 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</si>
  <si>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요령 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후 호출 순서 비교</t>
    </r>
  </si>
  <si>
    <r>
      <rPr>
        <sz val="10"/>
        <rFont val="Noto Sans CJK KR"/>
        <family val="2"/>
      </rPr>
      <t xml:space="preserve">요령 붙이기</t>
    </r>
    <r>
      <rPr>
        <sz val="10"/>
        <rFont val="Arial"/>
        <family val="0"/>
        <charset val="1"/>
      </rPr>
      <t xml:space="preserve">(AP2~AP8)</t>
    </r>
  </si>
  <si>
    <t xml:space="preserve">첫 호출 순서가 바뀜</t>
  </si>
  <si>
    <t xml:space="preserve">요령 문서 틀</t>
  </si>
  <si>
    <t xml:space="preserve">L17</t>
  </si>
  <si>
    <t xml:space="preserve">규칙으로 빼고 돈으로 순위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</si>
  <si>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조건 하나와 결과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제외 또는 감점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로 된 규칙을 붙이고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남은 안을 돈으로 비교해 추천 하나와 지는 안 이유를 내게 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</si>
  <si>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규칙 → 제외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감점 → 손익 계산 → 순위 → 추천</t>
    </r>
  </si>
  <si>
    <r>
      <rPr>
        <sz val="10"/>
        <rFont val="Noto Sans CJK KR"/>
        <family val="2"/>
      </rPr>
      <t xml:space="preserve">제안 카드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값 바꿔 보기</t>
    </r>
    <r>
      <rPr>
        <sz val="10"/>
        <rFont val="Arial"/>
        <family val="0"/>
        <charset val="1"/>
      </rPr>
      <t xml:space="preserve">(AP3~AP9)</t>
    </r>
  </si>
  <si>
    <t xml:space="preserve">금지 안이 빠지고 가중치를 바꾸면 순위가 바뀜</t>
  </si>
  <si>
    <r>
      <rPr>
        <sz val="10"/>
        <rFont val="Noto Sans CJK KR"/>
        <family val="2"/>
      </rPr>
      <t xml:space="preserve">규칙표 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후보 안 예</t>
    </r>
  </si>
  <si>
    <t xml:space="preserve">L18</t>
  </si>
  <si>
    <t xml:space="preserve">채점기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</si>
  <si>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와 일꾼 판단 다섯 건을 비교해 항목별 점수를 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</si>
  <si>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정답표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읽기 → 항목별 일치 → 합계</t>
    </r>
  </si>
  <si>
    <r>
      <rPr>
        <sz val="10"/>
        <rFont val="Noto Sans CJK KR"/>
        <family val="2"/>
      </rPr>
      <t xml:space="preserve">판단 채점</t>
    </r>
    <r>
      <rPr>
        <sz val="10"/>
        <rFont val="Arial"/>
        <family val="0"/>
        <charset val="1"/>
      </rPr>
      <t xml:space="preserve">(AP4)</t>
    </r>
  </si>
  <si>
    <r>
      <rPr>
        <sz val="10"/>
        <rFont val="Noto Sans CJK KR"/>
        <family val="2"/>
      </rPr>
      <t xml:space="preserve">내 점수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포털 점수</t>
    </r>
  </si>
  <si>
    <r>
      <rPr>
        <sz val="10"/>
        <rFont val="Noto Sans CJK KR"/>
        <family val="2"/>
      </rPr>
      <t xml:space="preserve">정답표 양식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학생이 채움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판단 다섯 건</t>
    </r>
  </si>
  <si>
    <t xml:space="preserve">L19</t>
  </si>
  <si>
    <t xml:space="preserve">모은 일꾼 겨루기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</si>
  <si>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지금까지 만든 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지도 연결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 서버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규칙을 한 일꾼에 모아 쿨러 사건 추천안을 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포털 기본 일꾼 결과와 비교해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</si>
  <si>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연결 목록 → 도구 호출 순서 → 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→ 비교</t>
    </r>
  </si>
  <si>
    <t xml:space="preserve">시험 실행 비교</t>
  </si>
  <si>
    <r>
      <rPr>
        <sz val="10"/>
        <rFont val="Noto Sans CJK KR"/>
        <family val="2"/>
      </rPr>
      <t xml:space="preserve">추천이 같고 근거가 붙음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다르면 이유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</si>
  <si>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AL1~AL6 </t>
    </r>
    <r>
      <rPr>
        <sz val="10"/>
        <rFont val="Noto Sans CJK KR"/>
        <family val="2"/>
      </rPr>
      <t xml:space="preserve">결과</t>
    </r>
  </si>
  <si>
    <t xml:space="preserve">L20</t>
  </si>
  <si>
    <t xml:space="preserve">말로 흐름 파일 만들기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</si>
  <si>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쿨러 경보로 시작해 원인 진단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냉각 조치 제안 → 운전원 승인 → 냉각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→ 재관측 → 유온 정상이면 정상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아니면 미달 보고로 끝나는 흐름 파일을 칸 셋으로 만들어 줘</t>
    </r>
    <r>
      <rPr>
        <sz val="10"/>
        <rFont val="Arial"/>
        <family val="0"/>
        <charset val="1"/>
      </rPr>
      <t xml:space="preserve">."</t>
    </r>
  </si>
  <si>
    <t xml:space="preserve">흐름 파일 생성 → 포털 가져오기 → 사전 검사 사유 → 고치기 지시 → 통과</t>
  </si>
  <si>
    <r>
      <rPr>
        <sz val="10"/>
        <rFont val="Noto Sans CJK KR"/>
        <family val="2"/>
      </rPr>
      <t xml:space="preserve">흐름 가져오기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사전 검사</t>
    </r>
    <r>
      <rPr>
        <sz val="10"/>
        <rFont val="Arial"/>
        <family val="0"/>
        <charset val="1"/>
      </rPr>
      <t xml:space="preserve">(BP2)</t>
    </r>
  </si>
  <si>
    <t xml:space="preserve">사전 검사 통과</t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</si>
  <si>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흐름 설명 문장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견본 파일</t>
    </r>
  </si>
  <si>
    <t xml:space="preserve">L21</t>
  </si>
  <si>
    <t xml:space="preserve">명세 먼저 검사 규칙 더하기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</si>
  <si>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명세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바꿀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바꾸면 안 될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완료 조건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대로 사전 검사에 </t>
    </r>
    <r>
      <rPr>
        <sz val="10"/>
        <rFont val="Arial"/>
        <family val="0"/>
        <charset val="1"/>
      </rPr>
      <t xml:space="preserve">'</t>
    </r>
    <r>
      <rPr>
        <sz val="10"/>
        <rFont val="Noto Sans CJK KR"/>
        <family val="2"/>
      </rPr>
      <t xml:space="preserve">타이머 뒤에는 갈림길이나 다음 일이 있어야 한다</t>
    </r>
    <r>
      <rPr>
        <sz val="10"/>
        <rFont val="Arial"/>
        <family val="0"/>
        <charset val="1"/>
      </rPr>
      <t xml:space="preserve">' </t>
    </r>
    <r>
      <rPr>
        <sz val="10"/>
        <rFont val="Noto Sans CJK KR"/>
        <family val="2"/>
      </rPr>
      <t xml:space="preserve">규칙을 더하고 기존 시험을 모두 돌려 줘</t>
    </r>
    <r>
      <rPr>
        <sz val="10"/>
        <rFont val="Arial"/>
        <family val="0"/>
        <charset val="1"/>
      </rPr>
      <t xml:space="preserve">."</t>
    </r>
  </si>
  <si>
    <t xml:space="preserve">명세 읽기 → 규칙 추가 → 잘못된 그림 거절 → 기존 시험 통과</t>
  </si>
  <si>
    <r>
      <rPr>
        <sz val="10"/>
        <rFont val="Noto Sans CJK KR"/>
        <family val="2"/>
      </rPr>
      <t xml:space="preserve">사전 검사</t>
    </r>
    <r>
      <rPr>
        <sz val="10"/>
        <rFont val="Arial"/>
        <family val="0"/>
        <charset val="1"/>
      </rPr>
      <t xml:space="preserve">(BP2~BP6)</t>
    </r>
  </si>
  <si>
    <t xml:space="preserve">새 규칙이 잡고 기존 시험 통과</t>
  </si>
  <si>
    <r>
      <rPr>
        <sz val="10"/>
        <rFont val="Noto Sans CJK KR"/>
        <family val="2"/>
      </rPr>
      <t xml:space="preserve">명세 양식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사전 검사 작은판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시험</t>
    </r>
  </si>
  <si>
    <t xml:space="preserve">L22</t>
  </si>
  <si>
    <t xml:space="preserve">사람 승인 단계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</si>
  <si>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일꾼의 추천안을 받아 담당자가 승인해야만 실행 함수를 부르는 단계를 만들고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거절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다른 담당자를 각각 돌려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</si>
  <si>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추천안 → 승인 대기 → 승인 시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거절 시 끝</t>
    </r>
  </si>
  <si>
    <r>
      <rPr>
        <sz val="10"/>
        <rFont val="Noto Sans CJK KR"/>
        <family val="2"/>
      </rPr>
      <t xml:space="preserve">내 작업함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</t>
    </r>
    <r>
      <rPr>
        <sz val="10"/>
        <rFont val="Arial"/>
        <family val="0"/>
        <charset val="1"/>
      </rPr>
      <t xml:space="preserve">(BP3~BP7)</t>
    </r>
  </si>
  <si>
    <r>
      <rPr>
        <sz val="10"/>
        <rFont val="Noto Sans CJK KR"/>
        <family val="2"/>
      </rPr>
      <t xml:space="preserve">승인 전 실행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회</t>
    </r>
  </si>
  <si>
    <r>
      <rPr>
        <sz val="10"/>
        <rFont val="Noto Sans CJK KR"/>
        <family val="2"/>
      </rPr>
      <t xml:space="preserve">추천안 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승인 단계 뼈대</t>
    </r>
  </si>
  <si>
    <t xml:space="preserve">L23</t>
  </si>
  <si>
    <t xml:space="preserve">승인 지연 알림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</si>
  <si>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승인 단계에 </t>
    </r>
    <r>
      <rPr>
        <sz val="10"/>
        <rFont val="Arial"/>
        <family val="0"/>
        <charset val="1"/>
      </rPr>
      <t xml:space="preserve">'</t>
    </r>
    <r>
      <rPr>
        <sz val="10"/>
        <rFont val="Noto Sans CJK KR"/>
        <family val="2"/>
      </rPr>
      <t xml:space="preserve">정해진 시간 안에 승인이 없으면 지연 알림을 남긴다</t>
    </r>
    <r>
      <rPr>
        <sz val="10"/>
        <rFont val="Arial"/>
        <family val="0"/>
        <charset val="1"/>
      </rPr>
      <t xml:space="preserve">'</t>
    </r>
    <r>
      <rPr>
        <sz val="10"/>
        <rFont val="Noto Sans CJK KR"/>
        <family val="2"/>
      </rPr>
      <t xml:space="preserve">를 더해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실행은 여전히 승인 뒤에만</t>
    </r>
    <r>
      <rPr>
        <sz val="10"/>
        <rFont val="Arial"/>
        <family val="0"/>
        <charset val="1"/>
      </rPr>
      <t xml:space="preserve">."</t>
    </r>
  </si>
  <si>
    <t xml:space="preserve">승인 대기 → 시간 초과 → 지연 알림 → 실행 없음 → 승인 → 실행</t>
  </si>
  <si>
    <r>
      <rPr>
        <sz val="10"/>
        <rFont val="Noto Sans CJK KR"/>
        <family val="2"/>
      </rPr>
      <t xml:space="preserve">승인 지연 타이머</t>
    </r>
    <r>
      <rPr>
        <sz val="10"/>
        <rFont val="Arial"/>
        <family val="0"/>
        <charset val="1"/>
      </rPr>
      <t xml:space="preserve">(BP3 </t>
    </r>
    <r>
      <rPr>
        <sz val="10"/>
        <rFont val="Noto Sans CJK KR"/>
        <family val="2"/>
      </rPr>
      <t xml:space="preserve">두 번째 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</si>
  <si>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지연 알림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실행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회</t>
    </r>
  </si>
  <si>
    <r>
      <rPr>
        <sz val="10"/>
        <rFont val="Arial"/>
        <family val="0"/>
        <charset val="1"/>
      </rPr>
      <t xml:space="preserve">BL3 </t>
    </r>
    <r>
      <rPr>
        <sz val="10"/>
        <rFont val="Noto Sans CJK KR"/>
        <family val="2"/>
      </rPr>
      <t xml:space="preserve">결과</t>
    </r>
  </si>
  <si>
    <t xml:space="preserve">L24</t>
  </si>
  <si>
    <t xml:space="preserve">신호로 일꾼 자동 호출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</si>
  <si>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이상 신호 메시지를 받으면 조수를 하위 프로그램으로 불러 내 일꾼 진단을 시키고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결과와 도구 호출 기록을 저장해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</si>
  <si>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신호 수신 →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호출 → 도구 호출 기록 → 결과 저장 → 다음 신호 대기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</si>
  <si>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 현황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처리 과정</t>
    </r>
  </si>
  <si>
    <r>
      <rPr>
        <sz val="10"/>
        <rFont val="Noto Sans CJK KR"/>
        <family val="2"/>
      </rPr>
      <t xml:space="preserve">신호 한 건에 한 번 실행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기록 남음</t>
    </r>
  </si>
  <si>
    <r>
      <rPr>
        <sz val="10"/>
        <rFont val="Noto Sans CJK KR"/>
        <family val="2"/>
      </rPr>
      <t xml:space="preserve">신호 메시지 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수신 주소</t>
    </r>
  </si>
  <si>
    <t xml:space="preserve">L25</t>
  </si>
  <si>
    <t xml:space="preserve">한 줄로 잇고 닫기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</si>
  <si>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자동 진단 결과를 승인 단계로 넘기고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승인되면 실행 → 재관측 → 정상이면 정상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아니면 미달 보고로 끝나게 이어 줘</t>
    </r>
    <r>
      <rPr>
        <sz val="10"/>
        <rFont val="Arial"/>
        <family val="0"/>
        <charset val="1"/>
      </rPr>
      <t xml:space="preserve">."</t>
    </r>
  </si>
  <si>
    <t xml:space="preserve">신호 → 진단 → 승인 대기 → 승인 → 실행 → 확인 → 보고</t>
  </si>
  <si>
    <r>
      <rPr>
        <sz val="10"/>
        <rFont val="Noto Sans CJK KR"/>
        <family val="2"/>
      </rPr>
      <t xml:space="preserve">처리 건 진행</t>
    </r>
    <r>
      <rPr>
        <sz val="10"/>
        <rFont val="Arial"/>
        <family val="0"/>
        <charset val="1"/>
      </rPr>
      <t xml:space="preserve">(BP3)</t>
    </r>
  </si>
  <si>
    <r>
      <rPr>
        <sz val="10"/>
        <rFont val="Noto Sans CJK KR"/>
        <family val="2"/>
      </rPr>
      <t xml:space="preserve">여섯 단계가 순서대로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미달 보고도 남음</t>
    </r>
  </si>
  <si>
    <r>
      <rPr>
        <sz val="10"/>
        <rFont val="Arial"/>
        <family val="0"/>
        <charset val="1"/>
      </rPr>
      <t xml:space="preserve">BL3 · BL5 </t>
    </r>
    <r>
      <rPr>
        <sz val="10"/>
        <rFont val="Noto Sans CJK KR"/>
        <family val="2"/>
      </rPr>
      <t xml:space="preserve">결과</t>
    </r>
  </si>
  <si>
    <r>
      <rPr>
        <sz val="10"/>
        <rFont val="Noto Sans CJK KR"/>
        <family val="2"/>
      </rPr>
      <t xml:space="preserve">랩업은 포털에서 방금 끝까지 써 본 기능을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같은 순서로 </t>
    </r>
    <r>
      <rPr>
        <sz val="10"/>
        <rFont val="Arial"/>
        <family val="0"/>
        <charset val="1"/>
      </rPr>
      <t xml:space="preserve">VS Code</t>
    </r>
    <r>
      <rPr>
        <sz val="10"/>
        <rFont val="Noto Sans CJK KR"/>
        <family val="2"/>
      </rPr>
      <t xml:space="preserve">의 조수에게 말로 시켜 다시 만들어 보는 곳이다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막마다 한 줄 트랙으로 이어지고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강사는 만드는 동안 계속 설명하며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학생이 틀린 지시를 내고 출발본으로 되돌려 고치는 시간을 넣었다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끝은 늘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포털의 같은 기능과 같은 결과인가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로 맞춰 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영상과 오프라인은 같은 행이라 </t>
    </r>
    <r>
      <rPr>
        <sz val="10"/>
        <rFont val="Arial"/>
        <family val="0"/>
        <charset val="1"/>
      </rPr>
      <t xml:space="preserve">No</t>
    </r>
    <r>
      <rPr>
        <sz val="10"/>
        <rFont val="Noto Sans CJK KR"/>
        <family val="2"/>
      </rPr>
      <t xml:space="preserve">가 같고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실전반은 빠진 행만큼 </t>
    </r>
    <r>
      <rPr>
        <sz val="10"/>
        <rFont val="Arial"/>
        <family val="0"/>
        <charset val="1"/>
      </rPr>
      <t xml:space="preserve">No</t>
    </r>
    <r>
      <rPr>
        <sz val="10"/>
        <rFont val="Noto Sans CJK KR"/>
        <family val="2"/>
      </rPr>
      <t xml:space="preserve">가 당겨진다</t>
    </r>
    <r>
      <rPr>
        <sz val="10"/>
        <rFont val="Arial"/>
        <family val="0"/>
        <charset val="1"/>
      </rPr>
      <t xml:space="preserve">.</t>
    </r>
  </si>
  <si>
    <t xml:space="preserve">순서</t>
  </si>
  <si>
    <t xml:space="preserve">단계</t>
  </si>
  <si>
    <t xml:space="preserve">내용</t>
  </si>
  <si>
    <t xml:space="preserve">1</t>
  </si>
  <si>
    <t xml:space="preserve">스키마 설계</t>
  </si>
  <si>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갈래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지표의 미니멀 틀을 만든다</t>
    </r>
  </si>
  <si>
    <t xml:space="preserve">11, 12, 23, 36</t>
  </si>
  <si>
    <t xml:space="preserve">10, 11, 22, 35</t>
  </si>
  <si>
    <t xml:space="preserve">OT4 · OT5 · OP2 · OL3</t>
  </si>
  <si>
    <t xml:space="preserve">2</t>
  </si>
  <si>
    <t xml:space="preserve">인스턴스 적재</t>
  </si>
  <si>
    <r>
      <rPr>
        <sz val="10"/>
        <rFont val="Noto Sans CJK KR"/>
        <family val="2"/>
      </rPr>
      <t xml:space="preserve">공장 뼈대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센서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중복 없이 두 번 넣어도 같게 적재한다</t>
    </r>
  </si>
  <si>
    <t xml:space="preserve">37</t>
  </si>
  <si>
    <t xml:space="preserve">36</t>
  </si>
  <si>
    <t xml:space="preserve">3</t>
  </si>
  <si>
    <t xml:space="preserve">지식 그래프 연결과 질의</t>
  </si>
  <si>
    <r>
      <rPr>
        <sz val="10"/>
        <rFont val="Noto Sans CJK KR"/>
        <family val="2"/>
      </rPr>
      <t xml:space="preserve">일꾼에 지식 지도를 규격으로 꽂아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사건의 조치는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을 질의하고 길을 따라가는 모습을 본다</t>
    </r>
  </si>
  <si>
    <t xml:space="preserve">25, 41, 58, 70</t>
  </si>
  <si>
    <t xml:space="preserve">24, 40, 56, 68</t>
  </si>
  <si>
    <t xml:space="preserve">OP4 · OL8 · AP2 · AL3</t>
  </si>
  <si>
    <t xml:space="preserve">4</t>
  </si>
  <si>
    <t xml:space="preserve">실데이터 연결</t>
  </si>
  <si>
    <r>
      <rPr>
        <sz val="10"/>
        <rFont val="Noto Sans CJK KR"/>
        <family val="2"/>
      </rPr>
      <t xml:space="preserve">지금 값은 원천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시계열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DB)</t>
    </r>
    <r>
      <rPr>
        <sz val="10"/>
        <rFont val="Noto Sans CJK KR"/>
        <family val="2"/>
      </rPr>
      <t xml:space="preserve">에서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지식에는 자리만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업무 서버는 보전용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구매용 둘</t>
    </r>
  </si>
  <si>
    <t xml:space="preserve">26, 43, 61, 64, 69, 71</t>
  </si>
  <si>
    <t xml:space="preserve">25, 42, 59, 62, 67, 69</t>
  </si>
  <si>
    <t xml:space="preserve">OP5 · OL10 · AP5 · AP8 · AL2 · AL4</t>
  </si>
  <si>
    <t xml:space="preserve">5</t>
  </si>
  <si>
    <t xml:space="preserve">상충 판단</t>
  </si>
  <si>
    <r>
      <rPr>
        <sz val="10"/>
        <rFont val="Noto Sans CJK KR"/>
        <family val="2"/>
      </rPr>
      <t xml:space="preserve">회사 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규칙으로 안들이 경쟁하고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지는 안은 실제 손익 이유로 진다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값을 바꿔 뒤집히는 경계를 본다</t>
    </r>
  </si>
  <si>
    <t xml:space="preserve">26, 59, 62, 65, 73</t>
  </si>
  <si>
    <t xml:space="preserve">25, 57, 60, 63, 71</t>
  </si>
  <si>
    <t xml:space="preserve">OP5 · AP3 · AP6 · AP9 · AL6</t>
  </si>
  <si>
    <t xml:space="preserve">6</t>
  </si>
  <si>
    <t xml:space="preserve">사람 승인</t>
  </si>
  <si>
    <r>
      <rPr>
        <sz val="10"/>
        <rFont val="Noto Sans CJK KR"/>
        <family val="2"/>
      </rPr>
      <t xml:space="preserve">담당자가 내 작업함에서 한 번 승인한다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설비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메일은 승인 뒤 시스템이</t>
    </r>
  </si>
  <si>
    <t xml:space="preserve">88, 89, 97, 98</t>
  </si>
  <si>
    <t xml:space="preserve">85, 86, 94, 95</t>
  </si>
  <si>
    <t xml:space="preserve">BP2 · BP3 · BL3 · BL4</t>
  </si>
  <si>
    <t xml:space="preserve">7</t>
  </si>
  <si>
    <t xml:space="preserve">이벤트 자동 시작</t>
  </si>
  <si>
    <r>
      <rPr>
        <sz val="10"/>
        <rFont val="Noto Sans CJK KR"/>
        <family val="2"/>
      </rPr>
      <t xml:space="preserve">신호가 오면 서버가 일꾼을 불러 진단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제안을 맡기고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결과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보고까지 한 줄로</t>
    </r>
  </si>
  <si>
    <t xml:space="preserve">99, 100</t>
  </si>
  <si>
    <t xml:space="preserve">96, 97</t>
  </si>
  <si>
    <t xml:space="preserve">BL5 · BL6</t>
  </si>
  <si>
    <t xml:space="preserve">8</t>
  </si>
  <si>
    <t xml:space="preserve">인제스천</t>
  </si>
  <si>
    <r>
      <rPr>
        <sz val="10"/>
        <rFont val="Noto Sans CJK KR"/>
        <family val="2"/>
      </rPr>
      <t xml:space="preserve">문서 → 구간 → 추출 제안 → 사람 검토 → 등록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표 구조에서 자리 연결</t>
    </r>
  </si>
  <si>
    <t xml:space="preserve">24, 27, 30, 38, 39, 40, 43</t>
  </si>
  <si>
    <t xml:space="preserve">23, 26, 29, 37, 38, 39, 42</t>
  </si>
  <si>
    <t xml:space="preserve">OP3 · OP6 · OP9 · OL5 · OL6 · OL7 · OL10</t>
  </si>
  <si>
    <t xml:space="preserve">Q</t>
  </si>
  <si>
    <t xml:space="preserve">온톨로지 품질 검증</t>
  </si>
  <si>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자동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판단 채점으로 지식과 판단을 확인한다</t>
    </r>
  </si>
  <si>
    <t xml:space="preserve">25, 42, 60, 74</t>
  </si>
  <si>
    <t xml:space="preserve">24, 41, 58, 72</t>
  </si>
  <si>
    <t xml:space="preserve">OP4 · OL9 · AP4 · AL7</t>
  </si>
  <si>
    <t xml:space="preserve">막</t>
  </si>
  <si>
    <t xml:space="preserve">부품</t>
  </si>
  <si>
    <t xml:space="preserve">구분</t>
  </si>
  <si>
    <r>
      <rPr>
        <b val="true"/>
        <sz val="10"/>
        <color rgb="FFFFFFFF"/>
        <rFont val="Noto Sans CJK KR"/>
        <family val="2"/>
      </rPr>
      <t xml:space="preserve">통합 오프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</si>
  <si>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지식 자산화가 왜 필요한가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비유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사례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</si>
  <si>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Notion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로그인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화면 둘러보기</t>
    </r>
  </si>
  <si>
    <r>
      <rPr>
        <sz val="10"/>
        <rFont val="Noto Sans CJK KR"/>
        <family val="2"/>
      </rPr>
      <t xml:space="preserve">시연</t>
    </r>
    <r>
      <rPr>
        <sz val="10"/>
        <rFont val="Arial"/>
        <family val="0"/>
        <charset val="1"/>
      </rPr>
      <t xml:space="preserve">·</t>
    </r>
    <r>
      <rPr>
        <sz val="10"/>
        <rFont val="Noto Sans CJK KR"/>
        <family val="2"/>
      </rPr>
      <t xml:space="preserve">실습</t>
    </r>
  </si>
  <si>
    <r>
      <rPr>
        <sz val="10"/>
        <rFont val="Noto Sans CJK KR"/>
        <family val="2"/>
      </rPr>
      <t xml:space="preserve">노트 틀 복제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칸 설명 따라 하기</t>
    </r>
  </si>
  <si>
    <t xml:space="preserve">첫 기록 써 보기</t>
  </si>
  <si>
    <t xml:space="preserve">막마다 노트 쓰는 법</t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</si>
  <si>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계정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초대 문제 풀기</t>
    </r>
  </si>
  <si>
    <t xml:space="preserve">앞 과정 지도 되짚기</t>
  </si>
  <si>
    <r>
      <rPr>
        <sz val="10"/>
        <rFont val="Arial"/>
        <family val="0"/>
        <charset val="1"/>
      </rPr>
      <t xml:space="preserve">SCADA </t>
    </r>
    <r>
      <rPr>
        <sz val="10"/>
        <rFont val="Noto Sans CJK KR"/>
        <family val="2"/>
      </rPr>
      <t xml:space="preserve">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실시간 모니터링에서 같은 값 찾기</t>
    </r>
  </si>
  <si>
    <r>
      <rPr>
        <sz val="10"/>
        <rFont val="Noto Sans CJK KR"/>
        <family val="2"/>
      </rPr>
      <t xml:space="preserve">우리 공장 센서 넷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운전시간 계수기 읽기</t>
    </r>
  </si>
  <si>
    <t xml:space="preserve">건물 층 비유로 보는 포털 구조</t>
  </si>
  <si>
    <t xml:space="preserve">층마다 이번 과정의 어느 막인지</t>
  </si>
  <si>
    <t xml:space="preserve">층 사이에 오가는 것</t>
  </si>
  <si>
    <t xml:space="preserve">택배 송장 비유</t>
  </si>
  <si>
    <t xml:space="preserve">출생 → 변환 → 저장 → 소비</t>
  </si>
  <si>
    <r>
      <rPr>
        <sz val="10"/>
        <rFont val="Arial"/>
        <family val="0"/>
        <charset val="1"/>
      </rPr>
      <t xml:space="preserve">TS1 </t>
    </r>
    <r>
      <rPr>
        <sz val="10"/>
        <rFont val="Noto Sans CJK KR"/>
        <family val="2"/>
      </rPr>
      <t xml:space="preserve">하나의 길 따라가기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짝으로 종이에 그리기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</si>
  <si>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분기</t>
    </r>
  </si>
  <si>
    <r>
      <rPr>
        <sz val="10"/>
        <rFont val="Noto Sans CJK KR"/>
        <family val="2"/>
      </rPr>
      <t xml:space="preserve">세 사건 한 줄 이야기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누가 알려 주나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누가 승인하나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</si>
  <si>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시연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쿨러 열화 주입 → 경보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</si>
  <si>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 진행 동안 화면 설명</t>
    </r>
  </si>
  <si>
    <r>
      <rPr>
        <sz val="10"/>
        <rFont val="Noto Sans CJK KR"/>
        <family val="2"/>
      </rPr>
      <t xml:space="preserve">제안 카드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운전원 승인</t>
    </r>
  </si>
  <si>
    <t xml:space="preserve">명령 → 재관측 → 결과 보고</t>
  </si>
  <si>
    <t xml:space="preserve">이번 과정에서 할 일</t>
  </si>
  <si>
    <t xml:space="preserve">포털 메뉴 둘러보기</t>
  </si>
  <si>
    <t xml:space="preserve">기준으로 되돌리기 직접 해 보기</t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</si>
  <si>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접속 막힘 풀기</t>
    </r>
  </si>
  <si>
    <t xml:space="preserve">막 여는 이야기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</si>
  <si>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책을 많이 읽은 신입</t>
    </r>
  </si>
  <si>
    <r>
      <rPr>
        <sz val="10"/>
        <rFont val="Noto Sans CJK KR"/>
        <family val="2"/>
      </rPr>
      <t xml:space="preserve">무엇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말 맞히기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배운 것만 안다</t>
    </r>
  </si>
  <si>
    <t xml:space="preserve">왜 그럴듯하게 틀리나 — 사례 화면</t>
  </si>
  <si>
    <t xml:space="preserve">공장에서 틀리면 생기는 일</t>
  </si>
  <si>
    <t xml:space="preserve">질문 받기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</si>
  <si>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도서관 사서</t>
    </r>
  </si>
  <si>
    <t xml:space="preserve">찾아 붙여 답하는 순서</t>
  </si>
  <si>
    <r>
      <rPr>
        <sz val="10"/>
        <rFont val="Noto Sans CJK KR"/>
        <family val="2"/>
      </rPr>
      <t xml:space="preserve">잘하는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약한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연결 질문 예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</si>
  <si>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지하철 노선도</t>
    </r>
  </si>
  <si>
    <r>
      <rPr>
        <sz val="10"/>
        <rFont val="Noto Sans CJK KR"/>
        <family val="2"/>
      </rPr>
      <t xml:space="preserve">무엇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지도</t>
    </r>
  </si>
  <si>
    <r>
      <rPr>
        <sz val="10"/>
        <rFont val="Noto Sans CJK KR"/>
        <family val="2"/>
      </rPr>
      <t xml:space="preserve">문서 검색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지도 비교 예</t>
    </r>
  </si>
  <si>
    <t xml:space="preserve">공장에 쓰면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</si>
  <si>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주소록 양식</t>
    </r>
  </si>
  <si>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틀과 내용</t>
    </r>
  </si>
  <si>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관계</t>
    </r>
  </si>
  <si>
    <r>
      <rPr>
        <sz val="10"/>
        <rFont val="Arial"/>
        <family val="0"/>
        <charset val="1"/>
      </rPr>
      <t xml:space="preserve">arrows.app </t>
    </r>
    <r>
      <rPr>
        <sz val="10"/>
        <rFont val="Noto Sans CJK KR"/>
        <family val="2"/>
      </rPr>
      <t xml:space="preserve">첫 사용 따라 하기</t>
    </r>
  </si>
  <si>
    <r>
      <rPr>
        <sz val="10"/>
        <rFont val="Noto Sans CJK KR"/>
        <family val="2"/>
      </rPr>
      <t xml:space="preserve">카페 관계도 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짝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</si>
  <si>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그리기 막힌 학생 돕기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</si>
  <si>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병원 진료</t>
    </r>
  </si>
  <si>
    <r>
      <rPr>
        <sz val="10"/>
        <rFont val="Noto Sans CJK KR"/>
        <family val="2"/>
      </rPr>
      <t xml:space="preserve">다섯 단계와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</si>
  <si>
    <r>
      <rPr>
        <sz val="10"/>
        <rFont val="Noto Sans CJK KR"/>
        <family val="2"/>
      </rPr>
      <t xml:space="preserve">자전거 카드 놓기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</si>
  <si>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카드 풀이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모둠 발표</t>
    </r>
    <r>
      <rPr>
        <sz val="10"/>
        <rFont val="Arial"/>
        <family val="0"/>
        <charset val="1"/>
      </rPr>
      <t xml:space="preserve">)</t>
    </r>
  </si>
  <si>
    <t xml:space="preserve">미리 알아채는 간격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</si>
  <si>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감기 — 세 갈래 조치</t>
    </r>
  </si>
  <si>
    <t xml:space="preserve">세 사건이 어디에 닿나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</si>
  <si>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할인표</t>
    </r>
  </si>
  <si>
    <t xml:space="preserve">절차의 모양</t>
  </si>
  <si>
    <t xml:space="preserve">규칙표의 모양</t>
  </si>
  <si>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할인 규칙 세 줄 표로 쓰기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</si>
  <si>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 카드</t>
    </r>
  </si>
  <si>
    <t xml:space="preserve">다섯 단계</t>
  </si>
  <si>
    <t xml:space="preserve">왜 나누나</t>
  </si>
  <si>
    <r>
      <rPr>
        <sz val="10"/>
        <rFont val="Noto Sans CJK KR"/>
        <family val="2"/>
      </rPr>
      <t xml:space="preserve">형광펜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개인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</si>
  <si>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뽑힌 표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원문 대조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종이 연습</t>
    </r>
    <r>
      <rPr>
        <sz val="10"/>
        <rFont val="Arial"/>
        <family val="0"/>
        <charset val="1"/>
      </rPr>
      <t xml:space="preserve">)</t>
    </r>
  </si>
  <si>
    <t xml:space="preserve">왜 사람이 확인하나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</si>
  <si>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길찾기 앱</t>
    </r>
  </si>
  <si>
    <r>
      <rPr>
        <sz val="10"/>
        <rFont val="Noto Sans CJK KR"/>
        <family val="2"/>
      </rPr>
      <t xml:space="preserve">질문의 모양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그림으로 묻기</t>
    </r>
  </si>
  <si>
    <t xml:space="preserve">내 관계도에서 질문 따라가기</t>
  </si>
  <si>
    <t xml:space="preserve">표로 찾을 때와 비교</t>
  </si>
  <si>
    <r>
      <rPr>
        <sz val="10"/>
        <rFont val="Noto Sans CJK KR"/>
        <family val="2"/>
      </rPr>
      <t xml:space="preserve">근거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지나간 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</t>
    </r>
  </si>
  <si>
    <t xml:space="preserve">꼭 답할 질문 먼저 쓰기</t>
  </si>
  <si>
    <r>
      <rPr>
        <sz val="10"/>
        <rFont val="Noto Sans CJK KR"/>
        <family val="2"/>
      </rPr>
      <t xml:space="preserve">관계 하나 지우면 답이 바뀌나</t>
    </r>
    <r>
      <rPr>
        <sz val="10"/>
        <rFont val="Arial"/>
        <family val="0"/>
        <charset val="1"/>
      </rPr>
      <t xml:space="preserve">(arrows.app)</t>
    </r>
  </si>
  <si>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색인 카드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</si>
  <si>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주문표 칸 찾기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</si>
  <si>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건강검진</t>
    </r>
  </si>
  <si>
    <t xml:space="preserve">네 관점과 화살표</t>
  </si>
  <si>
    <t xml:space="preserve">카페 전략맵 읽기</t>
  </si>
  <si>
    <r>
      <rPr>
        <sz val="10"/>
        <rFont val="Noto Sans CJK KR"/>
        <family val="2"/>
      </rPr>
      <t xml:space="preserve">종이 전략맵 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)</t>
    </r>
  </si>
  <si>
    <t xml:space="preserve">상충 찾기</t>
  </si>
  <si>
    <t xml:space="preserve">세 사건 지표 미리보기</t>
  </si>
  <si>
    <t xml:space="preserve">지식 관리 화면 안내</t>
  </si>
  <si>
    <t xml:space="preserve">지식 지도 조작법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</si>
  <si>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</si>
  <si>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출발 노드 찾기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</si>
  <si>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비어 있는 칸 — 문서가 채울 곳</t>
    </r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</si>
  <si>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지도 조작 맞추기</t>
    </r>
  </si>
  <si>
    <r>
      <rPr>
        <sz val="10"/>
        <rFont val="Noto Sans CJK KR"/>
        <family val="2"/>
      </rPr>
      <t xml:space="preserve">적재 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쿨러 열화 주입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보류 사유</t>
    </r>
  </si>
  <si>
    <r>
      <rPr>
        <sz val="10"/>
        <rFont val="Noto Sans CJK KR"/>
        <family val="2"/>
      </rPr>
      <t xml:space="preserve">보류 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약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</si>
  <si>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근거가 없으면 왜 멈추나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</si>
  <si>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문서 함께 읽기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</si>
  <si>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문서의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틀의 칸</t>
    </r>
  </si>
  <si>
    <r>
      <rPr>
        <sz val="10"/>
        <rFont val="Noto Sans CJK KR"/>
        <family val="2"/>
      </rPr>
      <t xml:space="preserve">올리기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출처 선택</t>
    </r>
  </si>
  <si>
    <t xml:space="preserve">구간 나누기 결과 보기</t>
  </si>
  <si>
    <r>
      <rPr>
        <sz val="10"/>
        <rFont val="Noto Sans CJK KR"/>
        <family val="2"/>
      </rPr>
      <t xml:space="preserve">추출 대기 동안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뽑기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틀 검사 화면</t>
    </r>
  </si>
  <si>
    <r>
      <rPr>
        <sz val="10"/>
        <rFont val="Noto Sans CJK KR"/>
        <family val="2"/>
      </rPr>
      <t xml:space="preserve">검토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자동 표시 항목만 원문 대조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약 </t>
    </r>
    <r>
      <rPr>
        <sz val="10"/>
        <rFont val="Arial"/>
        <family val="0"/>
        <charset val="1"/>
      </rPr>
      <t xml:space="preserve">6</t>
    </r>
    <r>
      <rPr>
        <sz val="10"/>
        <rFont val="Noto Sans CJK KR"/>
        <family val="2"/>
      </rPr>
      <t xml:space="preserve">항목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</si>
  <si>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사람이 확인하는 이유</t>
    </r>
  </si>
  <si>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새 노드 확인</t>
    </r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</si>
  <si>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화면 따라오기 맞추기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</si>
  <si>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지도에 묻기</t>
    </r>
  </si>
  <si>
    <t xml:space="preserve">경보 → 증상 → 원인 → 증거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</si>
  <si>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진료 순서로 다시</t>
    </r>
  </si>
  <si>
    <r>
      <rPr>
        <sz val="10"/>
        <rFont val="Noto Sans CJK KR"/>
        <family val="2"/>
      </rPr>
      <t xml:space="preserve">원인 → 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 → 명령 값</t>
    </r>
  </si>
  <si>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넣기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답과 근거 읽기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</si>
  <si>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근거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</t>
    </r>
  </si>
  <si>
    <t xml:space="preserve">업무 데이터 연결 화면 안내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</si>
  <si>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값은 자리만</t>
    </r>
  </si>
  <si>
    <r>
      <rPr>
        <sz val="10"/>
        <rFont val="Noto Sans CJK KR"/>
        <family val="2"/>
      </rPr>
      <t xml:space="preserve">유온 시계열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 납기 자리 잇기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조회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</si>
  <si>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전략맵 화살표</t>
    </r>
  </si>
  <si>
    <r>
      <rPr>
        <sz val="10"/>
        <rFont val="Noto Sans CJK KR"/>
        <family val="2"/>
      </rPr>
      <t xml:space="preserve">즉시 완화 → 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전력비 → 영업이익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팬 수명과 부딪힘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</si>
  <si>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상충이 제안의 재료가 된다</t>
    </r>
  </si>
  <si>
    <t xml:space="preserve">되돌리기 안내</t>
  </si>
  <si>
    <t xml:space="preserve">여유</t>
  </si>
  <si>
    <r>
      <rPr>
        <sz val="10"/>
        <rFont val="Noto Sans CJK KR"/>
        <family val="2"/>
      </rPr>
      <t xml:space="preserve">출발 노드</t>
    </r>
    <r>
      <rPr>
        <sz val="10"/>
        <rFont val="Arial"/>
        <family val="0"/>
        <charset val="1"/>
      </rPr>
      <t xml:space="preserve">: HYD-02 · </t>
    </r>
    <r>
      <rPr>
        <sz val="10"/>
        <rFont val="Noto Sans CJK KR"/>
        <family val="2"/>
      </rPr>
      <t xml:space="preserve">운전시간 계수기</t>
    </r>
  </si>
  <si>
    <r>
      <rPr>
        <sz val="10"/>
        <rFont val="Noto Sans CJK KR"/>
        <family val="2"/>
      </rPr>
      <t xml:space="preserve">적재 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운전시간 </t>
    </r>
    <r>
      <rPr>
        <sz val="10"/>
        <rFont val="Arial"/>
        <family val="0"/>
        <charset val="1"/>
      </rPr>
      <t xml:space="preserve">+300 h · </t>
    </r>
    <r>
      <rPr>
        <sz val="10"/>
        <rFont val="Noto Sans CJK KR"/>
        <family val="2"/>
      </rPr>
      <t xml:space="preserve">보류 사유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</si>
  <si>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문서 읽기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</si>
  <si>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패키지</t>
    </r>
  </si>
  <si>
    <r>
      <rPr>
        <sz val="10"/>
        <rFont val="Noto Sans CJK KR"/>
        <family val="2"/>
      </rPr>
      <t xml:space="preserve">올리기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추출 대기</t>
    </r>
  </si>
  <si>
    <r>
      <rPr>
        <sz val="10"/>
        <rFont val="Noto Sans CJK KR"/>
        <family val="2"/>
      </rPr>
      <t xml:space="preserve">검토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잔압 해제 금지 포함</t>
    </r>
    <r>
      <rPr>
        <sz val="10"/>
        <rFont val="Arial"/>
        <family val="0"/>
        <charset val="1"/>
      </rPr>
      <t xml:space="preserve">)</t>
    </r>
  </si>
  <si>
    <t xml:space="preserve">등록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</si>
  <si>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예방 조치 —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의 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조치와 나란히</t>
    </r>
  </si>
  <si>
    <r>
      <rPr>
        <sz val="10"/>
        <rFont val="Noto Sans CJK KR"/>
        <family val="2"/>
      </rPr>
      <t xml:space="preserve">정비 도래 → 패키지 → 단계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 → 부품 → 막는 고장</t>
    </r>
  </si>
  <si>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</si>
  <si>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예방 조치의 길은 고장 앞에서</t>
    </r>
  </si>
  <si>
    <r>
      <rPr>
        <sz val="10"/>
        <rFont val="Noto Sans CJK KR"/>
        <family val="2"/>
      </rPr>
      <t xml:space="preserve">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인력 자리</t>
    </r>
  </si>
  <si>
    <r>
      <rPr>
        <sz val="10"/>
        <rFont val="Noto Sans CJK KR"/>
        <family val="2"/>
      </rPr>
      <t xml:space="preserve">예방 정비 → 기한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계획 정비 비율 ↔ 생산 손실</t>
    </r>
  </si>
  <si>
    <r>
      <rPr>
        <sz val="10"/>
        <rFont val="Noto Sans CJK KR"/>
        <family val="2"/>
      </rPr>
      <t xml:space="preserve">출발 노드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씰 키트</t>
    </r>
    <r>
      <rPr>
        <sz val="10"/>
        <rFont val="Arial"/>
        <family val="0"/>
        <charset val="1"/>
      </rPr>
      <t xml:space="preserve">(HYD-01~03</t>
    </r>
    <r>
      <rPr>
        <sz val="10"/>
        <rFont val="Noto Sans CJK KR"/>
        <family val="2"/>
      </rPr>
      <t xml:space="preserve">에 들어감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</si>
  <si>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적재 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씰 키트 −</t>
    </r>
    <r>
      <rPr>
        <sz val="10"/>
        <rFont val="Arial"/>
        <family val="0"/>
        <charset val="1"/>
      </rPr>
      <t xml:space="preserve">2 · </t>
    </r>
    <r>
      <rPr>
        <sz val="10"/>
        <rFont val="Noto Sans CJK KR"/>
        <family val="2"/>
      </rPr>
      <t xml:space="preserve">보류 사유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</si>
  <si>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문서 읽기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</si>
  <si>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재주문점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총비용</t>
    </r>
  </si>
  <si>
    <r>
      <rPr>
        <sz val="10"/>
        <rFont val="Noto Sans CJK KR"/>
        <family val="2"/>
      </rPr>
      <t xml:space="preserve">검토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비승인 공급사 금지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</si>
  <si>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씰 키트 — </t>
    </r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가 쓰고 </t>
    </r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가 채운다</t>
    </r>
  </si>
  <si>
    <r>
      <rPr>
        <sz val="10"/>
        <rFont val="Noto Sans CJK KR"/>
        <family val="2"/>
      </rPr>
      <t xml:space="preserve">씰 키트 → 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→ 공급사 셋 → 금지 → 발주 절차</t>
    </r>
  </si>
  <si>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 자리</t>
    </r>
  </si>
  <si>
    <r>
      <rPr>
        <sz val="10"/>
        <rFont val="Noto Sans CJK KR"/>
        <family val="2"/>
      </rPr>
      <t xml:space="preserve">발주 → 결품 </t>
    </r>
    <r>
      <rPr>
        <sz val="10"/>
        <rFont val="Arial"/>
        <family val="0"/>
        <charset val="1"/>
      </rPr>
      <t xml:space="preserve">0 ↔ </t>
    </r>
    <r>
      <rPr>
        <sz val="10"/>
        <rFont val="Noto Sans CJK KR"/>
        <family val="2"/>
      </rPr>
      <t xml:space="preserve">총 구매비 ↔ 공급사 품질</t>
    </r>
  </si>
  <si>
    <t xml:space="preserve">세 지식 지도 나란히 열기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</si>
  <si>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틀은 같고 내용이 다르다</t>
    </r>
  </si>
  <si>
    <r>
      <rPr>
        <sz val="10"/>
        <rFont val="Noto Sans CJK KR"/>
        <family val="2"/>
      </rPr>
      <t xml:space="preserve">왜 만들어 보나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포털의 기능이 이렇게 만들어진다</t>
    </r>
  </si>
  <si>
    <r>
      <rPr>
        <sz val="10"/>
        <rFont val="Arial"/>
        <family val="0"/>
        <charset val="1"/>
      </rPr>
      <t xml:space="preserve">VS Code </t>
    </r>
    <r>
      <rPr>
        <sz val="10"/>
        <rFont val="Noto Sans CJK KR"/>
        <family val="2"/>
      </rPr>
      <t xml:space="preserve">화면 둘러보기</t>
    </r>
  </si>
  <si>
    <r>
      <rPr>
        <sz val="10"/>
        <rFont val="Noto Sans CJK KR"/>
        <family val="2"/>
      </rPr>
      <t xml:space="preserve">터미널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조수 시작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수업에서 준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열쇠</t>
    </r>
    <r>
      <rPr>
        <sz val="10"/>
        <rFont val="Arial"/>
        <family val="0"/>
        <charset val="1"/>
      </rPr>
      <t xml:space="preserve">(API </t>
    </r>
    <r>
      <rPr>
        <sz val="10"/>
        <rFont val="Noto Sans CJK KR"/>
        <family val="2"/>
      </rPr>
      <t xml:space="preserve">키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확인</t>
    </r>
  </si>
  <si>
    <r>
      <rPr>
        <sz val="10"/>
        <rFont val="Noto Sans CJK KR"/>
        <family val="2"/>
      </rPr>
      <t xml:space="preserve">첫 지시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사건 질문 묻고 답 남기기 → 대기 → 읽기</t>
    </r>
  </si>
  <si>
    <r>
      <rPr>
        <sz val="10"/>
        <rFont val="Noto Sans CJK KR"/>
        <family val="2"/>
      </rPr>
      <t xml:space="preserve">답 읽기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우리 공장 사실이 없다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</si>
  <si>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고쳐도 되나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물음 읽는 법</t>
    </r>
  </si>
  <si>
    <r>
      <rPr>
        <sz val="10"/>
        <rFont val="Noto Sans CJK KR"/>
        <family val="2"/>
      </rPr>
      <t xml:space="preserve">되돌리는 법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</si>
  <si>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복구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처음 막히는 곳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폴더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권한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</si>
  <si>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접속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화면 안내</t>
    </r>
  </si>
  <si>
    <t xml:space="preserve">카페 관계도 내보내기 → 붙여 넣어 실행</t>
  </si>
  <si>
    <r>
      <rPr>
        <sz val="10"/>
        <rFont val="Noto Sans CJK KR"/>
        <family val="2"/>
      </rPr>
      <t xml:space="preserve">그림 읽기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누르기</t>
    </r>
  </si>
  <si>
    <r>
      <rPr>
        <sz val="10"/>
        <rFont val="Noto Sans CJK KR"/>
        <family val="2"/>
      </rPr>
      <t xml:space="preserve">만들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포털의 어느 기능인가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</si>
  <si>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 랩업에서 다시 짚는 개념</t>
    </r>
  </si>
  <si>
    <r>
      <rPr>
        <sz val="10"/>
        <rFont val="Noto Sans CJK KR"/>
        <family val="2"/>
      </rPr>
      <t xml:space="preserve">강사 시연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지시문을 왜 이렇게 쓰나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</si>
  <si>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생성 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지시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번</t>
    </r>
    <r>
      <rPr>
        <sz val="10"/>
        <rFont val="Arial"/>
        <family val="0"/>
        <charset val="1"/>
      </rPr>
      <t xml:space="preserve">)</t>
    </r>
  </si>
  <si>
    <t xml:space="preserve">만들어진 것을 쉬운 말로 읽기</t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</si>
  <si>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창에서 틀 그림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제약</t>
    </r>
  </si>
  <si>
    <r>
      <rPr>
        <sz val="10"/>
        <rFont val="Noto Sans CJK KR"/>
        <family val="2"/>
      </rPr>
      <t xml:space="preserve">학생 따라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멈추고 해 보기 지점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기대 화면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함께 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확인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강사 설명 계속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</si>
  <si>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복구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틀린 지시 → 출발본으로 되돌려 고치기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자주 틀리는 곳 장면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학생 오류 풀기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</si>
  <si>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두 번 넣고 노드 수 비교</t>
    </r>
  </si>
  <si>
    <t xml:space="preserve">실행 결과 확인</t>
  </si>
  <si>
    <r>
      <rPr>
        <sz val="10"/>
        <rFont val="Noto Sans CJK KR"/>
        <family val="2"/>
      </rPr>
      <t xml:space="preserve">실물 </t>
    </r>
    <r>
      <rPr>
        <sz val="10"/>
        <rFont val="Arial"/>
        <family val="0"/>
        <charset val="1"/>
      </rPr>
      <t xml:space="preserve">80</t>
    </r>
    <r>
      <rPr>
        <sz val="10"/>
        <rFont val="Noto Sans CJK KR"/>
        <family val="2"/>
      </rPr>
      <t xml:space="preserve">쪽 매뉴얼이 나뉘는 모습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녹화 압축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</si>
  <si>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추출 실행 대기</t>
    </r>
    <r>
      <rPr>
        <sz val="10"/>
        <rFont val="Arial"/>
        <family val="0"/>
        <charset val="1"/>
      </rPr>
      <t xml:space="preserve">(1</t>
    </r>
    <r>
      <rPr>
        <sz val="10"/>
        <rFont val="Noto Sans CJK KR"/>
        <family val="2"/>
      </rPr>
      <t xml:space="preserve">쪽 문서 셋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</si>
  <si>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생성 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지시 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검토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되돌리기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</si>
  <si>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안 한 항목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세 문서 지식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</si>
  <si>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문서만 찾은 답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지도 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 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질문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</si>
  <si>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일부러 끊어 실패 → 고쳐 통과</t>
    </r>
  </si>
  <si>
    <r>
      <rPr>
        <sz val="10"/>
        <rFont val="Noto Sans CJK KR"/>
        <family val="2"/>
      </rPr>
      <t xml:space="preserve">트랙 한눈에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처음부터 만든 것 잇기</t>
    </r>
  </si>
  <si>
    <r>
      <rPr>
        <sz val="10"/>
        <rFont val="Noto Sans CJK KR"/>
        <family val="2"/>
      </rPr>
      <t xml:space="preserve">과정 노트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막 노트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</si>
  <si>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일하는 비서</t>
    </r>
  </si>
  <si>
    <t xml:space="preserve">네 부분</t>
  </si>
  <si>
    <r>
      <rPr>
        <sz val="10"/>
        <rFont val="Noto Sans CJK KR"/>
        <family val="2"/>
      </rPr>
      <t xml:space="preserve">답만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도구 부르기 사례 그림</t>
    </r>
  </si>
  <si>
    <t xml:space="preserve">공장에 필요한 이유</t>
  </si>
  <si>
    <t xml:space="preserve">되풀이 고리 설명</t>
  </si>
  <si>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녹화 보기</t>
    </r>
    <r>
      <rPr>
        <sz val="10"/>
        <rFont val="Arial"/>
        <family val="0"/>
        <charset val="1"/>
      </rPr>
      <t xml:space="preserve">)</t>
    </r>
  </si>
  <si>
    <t xml:space="preserve">역할극 준비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</si>
  <si>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라운드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</si>
  <si>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라운드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하나 빼기</t>
    </r>
  </si>
  <si>
    <r>
      <rPr>
        <sz val="10"/>
        <rFont val="Noto Sans CJK KR"/>
        <family val="2"/>
      </rPr>
      <t xml:space="preserve">기록지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발표</t>
    </r>
  </si>
  <si>
    <t xml:space="preserve">도구 네 칸</t>
  </si>
  <si>
    <r>
      <rPr>
        <sz val="10"/>
        <rFont val="Noto Sans CJK KR"/>
        <family val="2"/>
      </rPr>
      <t xml:space="preserve">도구 카드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</si>
  <si>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콘센트 규격</t>
    </r>
  </si>
  <si>
    <t xml:space="preserve">규격이 필요한 이유</t>
  </si>
  <si>
    <t xml:space="preserve">연결 모양 그림</t>
  </si>
  <si>
    <t xml:space="preserve">일꾼마다 필요한 손만 — 업무 서버 둘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</si>
  <si>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냉장고</t>
    </r>
  </si>
  <si>
    <r>
      <rPr>
        <sz val="10"/>
        <rFont val="Noto Sans CJK KR"/>
        <family val="2"/>
      </rPr>
      <t xml:space="preserve">고정 지식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지금 값</t>
    </r>
  </si>
  <si>
    <r>
      <rPr>
        <sz val="10"/>
        <rFont val="Noto Sans CJK KR"/>
        <family val="2"/>
      </rPr>
      <t xml:space="preserve">원천 고르기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</si>
  <si>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읽기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바꾸기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</si>
  <si>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체크리스트</t>
    </r>
  </si>
  <si>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도구</t>
    </r>
  </si>
  <si>
    <r>
      <rPr>
        <sz val="10"/>
        <rFont val="Noto Sans CJK KR"/>
        <family val="2"/>
      </rPr>
      <t xml:space="preserve">순서가 바뀌는 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그림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</si>
  <si>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다섯 줄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개인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</si>
  <si>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발표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</si>
  <si>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신호등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경비 규정</t>
    </r>
  </si>
  <si>
    <r>
      <rPr>
        <sz val="10"/>
        <rFont val="Noto Sans CJK KR"/>
        <family val="2"/>
      </rPr>
      <t xml:space="preserve">규칙과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의 역할</t>
    </r>
  </si>
  <si>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감점</t>
    </r>
  </si>
  <si>
    <t xml:space="preserve">근거 없으면 멈추기</t>
  </si>
  <si>
    <r>
      <rPr>
        <sz val="10"/>
        <rFont val="Noto Sans CJK KR"/>
        <family val="2"/>
      </rPr>
      <t xml:space="preserve">규칙표 첫 사용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경비 규정 세 줄 만들기</t>
    </r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</si>
  <si>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표 만들기 막힘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</si>
  <si>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내비 경로</t>
    </r>
  </si>
  <si>
    <t xml:space="preserve">돈으로 비교</t>
  </si>
  <si>
    <r>
      <rPr>
        <sz val="10"/>
        <rFont val="Noto Sans CJK KR"/>
        <family val="2"/>
      </rPr>
      <t xml:space="preserve">경계값 찾기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 계산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</si>
  <si>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예측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지금 값과 추세로 앞을 본다</t>
    </r>
  </si>
  <si>
    <t xml:space="preserve">흔들림 사례 그림</t>
  </si>
  <si>
    <t xml:space="preserve">왜 흔들리나</t>
  </si>
  <si>
    <t xml:space="preserve">정답표 쓰기</t>
  </si>
  <si>
    <t xml:space="preserve">에이전트 화면 안내</t>
  </si>
  <si>
    <t xml:space="preserve">기본 복제</t>
  </si>
  <si>
    <r>
      <rPr>
        <sz val="10"/>
        <rFont val="Noto Sans CJK KR"/>
        <family val="2"/>
      </rPr>
      <t xml:space="preserve">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목표 입력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</si>
  <si>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부분</t>
    </r>
  </si>
  <si>
    <t xml:space="preserve">지식 지도 도구 고르기</t>
  </si>
  <si>
    <r>
      <rPr>
        <sz val="10"/>
        <rFont val="Noto Sans CJK KR"/>
        <family val="2"/>
      </rPr>
      <t xml:space="preserve">센서 시계열 </t>
    </r>
    <r>
      <rPr>
        <sz val="10"/>
        <rFont val="Arial"/>
        <family val="0"/>
        <charset val="1"/>
      </rPr>
      <t xml:space="preserve">· SCADA </t>
    </r>
    <r>
      <rPr>
        <sz val="10"/>
        <rFont val="Noto Sans CJK KR"/>
        <family val="2"/>
      </rPr>
      <t xml:space="preserve">도구 서버 고르기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</si>
  <si>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읽기만</t>
    </r>
  </si>
  <si>
    <t xml:space="preserve">요령 붙이기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</si>
  <si>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체크리스트</t>
    </r>
  </si>
  <si>
    <r>
      <rPr>
        <sz val="10"/>
        <rFont val="Noto Sans CJK KR"/>
        <family val="2"/>
      </rPr>
      <t xml:space="preserve">질문하기 두 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도구 호출 보기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</si>
  <si>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되풀이 고리</t>
    </r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</si>
  <si>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입력 맞추기</t>
    </r>
  </si>
  <si>
    <t xml:space="preserve">시험 실행 시작</t>
  </si>
  <si>
    <r>
      <rPr>
        <sz val="10"/>
        <rFont val="Arial"/>
        <family val="0"/>
        <charset val="1"/>
      </rPr>
      <t xml:space="preserve">4</t>
    </r>
    <r>
      <rPr>
        <sz val="10"/>
        <rFont val="Noto Sans CJK KR"/>
        <family val="2"/>
      </rPr>
      <t xml:space="preserve">단계 대기 동안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진단 → 후보 → 규칙 → 순위</t>
    </r>
  </si>
  <si>
    <r>
      <rPr>
        <sz val="10"/>
        <rFont val="Noto Sans CJK KR"/>
        <family val="2"/>
      </rPr>
      <t xml:space="preserve">제안 카드 읽기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요약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하나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이유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</si>
  <si>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지는 안이 왜 지나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</si>
  <si>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값 바꿔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</si>
  <si>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경계값</t>
    </r>
  </si>
  <si>
    <t xml:space="preserve">대기 편차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</si>
  <si>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흔들림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</t>
    </r>
  </si>
  <si>
    <r>
      <rPr>
        <sz val="10"/>
        <rFont val="Noto Sans CJK KR"/>
        <family val="2"/>
      </rPr>
      <t xml:space="preserve">채점 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흔들린 항목 읽기</t>
    </r>
  </si>
  <si>
    <r>
      <rPr>
        <sz val="10"/>
        <rFont val="Noto Sans CJK KR"/>
        <family val="2"/>
      </rPr>
      <t xml:space="preserve">복제해 바꾸기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목표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</si>
  <si>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보전용 업무 서버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</si>
  <si>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업무 서버를 둘로 나눈 까닭</t>
    </r>
  </si>
  <si>
    <t xml:space="preserve">질문하기 두 개</t>
  </si>
  <si>
    <r>
      <rPr>
        <sz val="10"/>
        <rFont val="Noto Sans CJK KR"/>
        <family val="2"/>
      </rPr>
      <t xml:space="preserve">시험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동안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근거</t>
    </r>
  </si>
  <si>
    <t xml:space="preserve">제안 카드 읽기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</si>
  <si>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규칙으로 빠진 안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감점된 안</t>
    </r>
  </si>
  <si>
    <r>
      <rPr>
        <sz val="10"/>
        <rFont val="Noto Sans CJK KR"/>
        <family val="2"/>
      </rPr>
      <t xml:space="preserve">값 바꿔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정비 인력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</si>
  <si>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예측 — 한계에 언제 닿나</t>
    </r>
  </si>
  <si>
    <r>
      <rPr>
        <sz val="10"/>
        <rFont val="Noto Sans CJK KR"/>
        <family val="2"/>
      </rPr>
      <t xml:space="preserve">정답표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채점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</t>
    </r>
  </si>
  <si>
    <t xml:space="preserve">복제해 바꾸기</t>
  </si>
  <si>
    <r>
      <rPr>
        <sz val="10"/>
        <rFont val="Noto Sans CJK KR"/>
        <family val="2"/>
      </rPr>
      <t xml:space="preserve">구매용 업무 서버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</si>
  <si>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지도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</t>
    </r>
  </si>
  <si>
    <r>
      <rPr>
        <sz val="10"/>
        <rFont val="Noto Sans CJK KR"/>
        <family val="2"/>
      </rPr>
      <t xml:space="preserve">시험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동안 설명</t>
    </r>
  </si>
  <si>
    <r>
      <rPr>
        <sz val="10"/>
        <rFont val="Noto Sans CJK KR"/>
        <family val="2"/>
      </rPr>
      <t xml:space="preserve">제안 카드 읽기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공급사 비교표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</si>
  <si>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총비용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단가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불량 기대비용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비승인 제외</t>
    </r>
  </si>
  <si>
    <r>
      <rPr>
        <sz val="10"/>
        <rFont val="Noto Sans CJK KR"/>
        <family val="2"/>
      </rPr>
      <t xml:space="preserve">값 바꿔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불량률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단가</t>
    </r>
  </si>
  <si>
    <r>
      <rPr>
        <sz val="10"/>
        <rFont val="Noto Sans CJK KR"/>
        <family val="2"/>
      </rPr>
      <t xml:space="preserve">세 일꾼 설정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카드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 나란히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</si>
  <si>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무엇이 판단을 바꿨나</t>
    </r>
  </si>
  <si>
    <r>
      <rPr>
        <sz val="10"/>
        <rFont val="Noto Sans CJK KR"/>
        <family val="2"/>
      </rPr>
      <t xml:space="preserve">콘솔 기록 읽는 법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</si>
  <si>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실시간 화면 값과 같은가</t>
    </r>
  </si>
  <si>
    <r>
      <rPr>
        <sz val="10"/>
        <rFont val="Noto Sans CJK KR"/>
        <family val="2"/>
      </rPr>
      <t xml:space="preserve">지식 그래프 연결 설정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확인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</si>
  <si>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생성 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지시 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보전용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구매용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</si>
  <si>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포털에 둘 다 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</t>
    </r>
  </si>
  <si>
    <t xml:space="preserve">만들어진 요령 문서를 쉬운 말로 읽기</t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</si>
  <si>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요령 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후 두 번 돌려 호출 순서 비교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</si>
  <si>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금지 안 제외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가중치 바꿔 순위 변화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</si>
  <si>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점수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포털 점수인가</t>
    </r>
  </si>
  <si>
    <r>
      <rPr>
        <sz val="10"/>
        <rFont val="Noto Sans CJK KR"/>
        <family val="2"/>
      </rPr>
      <t xml:space="preserve">시험 실행 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내 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기본 일꾼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</si>
  <si>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요리</t>
    </r>
  </si>
  <si>
    <t xml:space="preserve">정의와 실제 한 건</t>
  </si>
  <si>
    <t xml:space="preserve">기호 다섯 개</t>
  </si>
  <si>
    <r>
      <rPr>
        <sz val="10"/>
        <rFont val="Arial"/>
        <family val="0"/>
        <charset val="1"/>
      </rPr>
      <t xml:space="preserve">bpmn.io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주문 흐름</t>
    </r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</si>
  <si>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그리기 막힘</t>
    </r>
  </si>
  <si>
    <r>
      <rPr>
        <sz val="10"/>
        <rFont val="Noto Sans CJK KR"/>
        <family val="2"/>
      </rPr>
      <t xml:space="preserve">무엇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</t>
    </r>
  </si>
  <si>
    <t xml:space="preserve">배달 주문 사건 붙이기</t>
  </si>
  <si>
    <r>
      <rPr>
        <sz val="10"/>
        <rFont val="Noto Sans CJK KR"/>
        <family val="2"/>
      </rPr>
      <t xml:space="preserve">담당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넘기는 것</t>
    </r>
  </si>
  <si>
    <t xml:space="preserve">일을 나누는 기준</t>
  </si>
  <si>
    <t xml:space="preserve">발표</t>
  </si>
  <si>
    <t xml:space="preserve">시작 종류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</si>
  <si>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결재 도장</t>
    </r>
  </si>
  <si>
    <t xml:space="preserve">제안과 실행 나누기</t>
  </si>
  <si>
    <t xml:space="preserve">담당자가 한 번 승인한다</t>
  </si>
  <si>
    <t xml:space="preserve">승인 흐름 그림 보기</t>
  </si>
  <si>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녹화</t>
    </r>
    <r>
      <rPr>
        <sz val="10"/>
        <rFont val="Arial"/>
        <family val="0"/>
        <charset val="1"/>
      </rPr>
      <t xml:space="preserve">)</t>
    </r>
  </si>
  <si>
    <t xml:space="preserve">기한 넘김</t>
  </si>
  <si>
    <r>
      <rPr>
        <sz val="10"/>
        <rFont val="Noto Sans CJK KR"/>
        <family val="2"/>
      </rPr>
      <t xml:space="preserve">예정 시간까지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입고까지 기다림</t>
    </r>
  </si>
  <si>
    <t xml:space="preserve">기다린 뒤의 갈림길</t>
  </si>
  <si>
    <r>
      <rPr>
        <sz val="10"/>
        <rFont val="Arial"/>
        <family val="0"/>
        <charset val="1"/>
      </rPr>
      <t xml:space="preserve">bpmn.io </t>
    </r>
    <r>
      <rPr>
        <sz val="10"/>
        <rFont val="Noto Sans CJK KR"/>
        <family val="2"/>
      </rPr>
      <t xml:space="preserve">타이머 그리기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</si>
  <si>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수령 확인</t>
    </r>
  </si>
  <si>
    <t xml:space="preserve">세 가지 자동 확인</t>
  </si>
  <si>
    <r>
      <rPr>
        <sz val="10"/>
        <rFont val="Noto Sans CJK KR"/>
        <family val="2"/>
      </rPr>
      <t xml:space="preserve">미달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지연도 결과 보고로 닫는다</t>
    </r>
  </si>
  <si>
    <t xml:space="preserve">판본 비유</t>
  </si>
  <si>
    <r>
      <rPr>
        <sz val="10"/>
        <rFont val="Noto Sans CJK KR"/>
        <family val="2"/>
      </rPr>
      <t xml:space="preserve">배포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</t>
    </r>
  </si>
  <si>
    <t xml:space="preserve">지표</t>
  </si>
  <si>
    <r>
      <rPr>
        <sz val="10"/>
        <rFont val="Noto Sans CJK KR"/>
        <family val="2"/>
      </rPr>
      <t xml:space="preserve">매출표에서 미달 원인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</si>
  <si>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도면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명세 세 줄</t>
    </r>
  </si>
  <si>
    <r>
      <rPr>
        <sz val="10"/>
        <rFont val="Noto Sans CJK KR"/>
        <family val="2"/>
      </rPr>
      <t xml:space="preserve">명세 세 줄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</t>
    </r>
  </si>
  <si>
    <t xml:space="preserve">우리 사건을 말로 펼치기</t>
  </si>
  <si>
    <r>
      <rPr>
        <sz val="10"/>
        <rFont val="Arial"/>
        <family val="0"/>
        <charset val="1"/>
      </rPr>
      <t xml:space="preserve">bpmn.io</t>
    </r>
    <r>
      <rPr>
        <sz val="10"/>
        <rFont val="Noto Sans CJK KR"/>
        <family val="2"/>
      </rPr>
      <t xml:space="preserve">에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일 </t>
    </r>
    <r>
      <rPr>
        <sz val="10"/>
        <rFont val="Arial"/>
        <family val="0"/>
        <charset val="1"/>
      </rPr>
      <t xml:space="preserve">5~6 · 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타이머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갈림길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</si>
  <si>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담당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일을 나누는 기준</t>
    </r>
  </si>
  <si>
    <r>
      <rPr>
        <sz val="10"/>
        <rFont val="Noto Sans CJK KR"/>
        <family val="2"/>
      </rPr>
      <t xml:space="preserve">내보내기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가져오기</t>
    </r>
  </si>
  <si>
    <r>
      <rPr>
        <sz val="10"/>
        <rFont val="Noto Sans CJK KR"/>
        <family val="2"/>
      </rPr>
      <t xml:space="preserve">일마다 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담당 정하기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</si>
  <si>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에이전트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시스템 일</t>
    </r>
  </si>
  <si>
    <t xml:space="preserve">사전 검사 거절 → 고치기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</si>
  <si>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없이는 실행 못 하게</t>
    </r>
  </si>
  <si>
    <t xml:space="preserve">배포</t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</si>
  <si>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그리기 막힌 학생</t>
    </r>
  </si>
  <si>
    <r>
      <rPr>
        <sz val="10"/>
        <rFont val="Noto Sans CJK KR"/>
        <family val="2"/>
      </rPr>
      <t xml:space="preserve">사건 일으키기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경보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</si>
  <si>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 진행 보기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</si>
  <si>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한 건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처리 건</t>
    </r>
  </si>
  <si>
    <t xml:space="preserve">내 작업함에서 운전원으로 승인</t>
  </si>
  <si>
    <r>
      <rPr>
        <sz val="10"/>
        <rFont val="Noto Sans CJK KR"/>
        <family val="2"/>
      </rPr>
      <t xml:space="preserve">냉각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재관측</t>
    </r>
  </si>
  <si>
    <r>
      <rPr>
        <sz val="10"/>
        <rFont val="Noto Sans CJK KR"/>
        <family val="2"/>
      </rPr>
      <t xml:space="preserve">결과 보고 읽기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정상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</si>
  <si>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확인은 시스템이 자동으로</t>
    </r>
  </si>
  <si>
    <r>
      <rPr>
        <sz val="10"/>
        <rFont val="Noto Sans CJK KR"/>
        <family val="2"/>
      </rPr>
      <t xml:space="preserve">일을 눌러 받은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넘긴 값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</si>
  <si>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바통</t>
    </r>
  </si>
  <si>
    <r>
      <rPr>
        <sz val="10"/>
        <rFont val="Noto Sans CJK KR"/>
        <family val="2"/>
      </rPr>
      <t xml:space="preserve">두 번째 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미루기 → 지연 알림 → 미달 보고</t>
    </r>
  </si>
  <si>
    <t xml:space="preserve">되돌리기</t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</si>
  <si>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그림 복사해 바꾸기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기다림 타이머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시운전 갈림길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</si>
  <si>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예정 시간까지 기다림</t>
    </r>
  </si>
  <si>
    <r>
      <rPr>
        <sz val="10"/>
        <rFont val="Noto Sans CJK KR"/>
        <family val="2"/>
      </rPr>
      <t xml:space="preserve">매핑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사전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</t>
    </r>
  </si>
  <si>
    <r>
      <rPr>
        <sz val="10"/>
        <rFont val="Noto Sans CJK KR"/>
        <family val="2"/>
      </rPr>
      <t xml:space="preserve">운전시간 </t>
    </r>
    <r>
      <rPr>
        <sz val="10"/>
        <rFont val="Arial"/>
        <family val="0"/>
        <charset val="1"/>
      </rPr>
      <t xml:space="preserve">+300 h · </t>
    </r>
    <r>
      <rPr>
        <sz val="10"/>
        <rFont val="Noto Sans CJK KR"/>
        <family val="2"/>
      </rPr>
      <t xml:space="preserve">정비 도래</t>
    </r>
  </si>
  <si>
    <t xml:space="preserve">일꾼 제안 대기</t>
  </si>
  <si>
    <t xml:space="preserve">설비보전팀장으로 승인</t>
  </si>
  <si>
    <r>
      <rPr>
        <sz val="10"/>
        <rFont val="Noto Sans CJK KR"/>
        <family val="2"/>
      </rPr>
      <t xml:space="preserve">정비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생산팀 공지 메일</t>
    </r>
  </si>
  <si>
    <r>
      <rPr>
        <sz val="10"/>
        <rFont val="Noto Sans CJK KR"/>
        <family val="2"/>
      </rPr>
      <t xml:space="preserve">예정된 정비 시간까지 기다림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 압축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</si>
  <si>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기다림과 닫힘 조건</t>
    </r>
  </si>
  <si>
    <r>
      <rPr>
        <sz val="10"/>
        <rFont val="Noto Sans CJK KR"/>
        <family val="2"/>
      </rPr>
      <t xml:space="preserve">정비 수행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시운전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 리셋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</t>
    </r>
  </si>
  <si>
    <r>
      <rPr>
        <sz val="10"/>
        <rFont val="Noto Sans CJK KR"/>
        <family val="2"/>
      </rPr>
      <t xml:space="preserve">두 번째 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시운전 미달 → 미달 보고</t>
    </r>
  </si>
  <si>
    <r>
      <rPr>
        <sz val="10"/>
        <rFont val="Noto Sans CJK KR"/>
        <family val="2"/>
      </rPr>
      <t xml:space="preserve">복사해 바꾸기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입고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갈림길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</si>
  <si>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흐름의 같은 뼈대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다른 기다림</t>
    </r>
  </si>
  <si>
    <r>
      <rPr>
        <sz val="10"/>
        <rFont val="Noto Sans CJK KR"/>
        <family val="2"/>
      </rPr>
      <t xml:space="preserve">씰 키트 −</t>
    </r>
    <r>
      <rPr>
        <sz val="10"/>
        <rFont val="Arial"/>
        <family val="0"/>
        <charset val="1"/>
      </rPr>
      <t xml:space="preserve">2 · </t>
    </r>
    <r>
      <rPr>
        <sz val="10"/>
        <rFont val="Noto Sans CJK KR"/>
        <family val="2"/>
      </rPr>
      <t xml:space="preserve">재고 경보</t>
    </r>
  </si>
  <si>
    <t xml:space="preserve">일꾼 발주안 대기</t>
  </si>
  <si>
    <t xml:space="preserve">구매 담당으로 승인</t>
  </si>
  <si>
    <r>
      <rPr>
        <sz val="10"/>
        <rFont val="Noto Sans CJK KR"/>
        <family val="2"/>
      </rPr>
      <t xml:space="preserve">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메일</t>
    </r>
  </si>
  <si>
    <r>
      <rPr>
        <sz val="10"/>
        <rFont val="Noto Sans CJK KR"/>
        <family val="2"/>
      </rPr>
      <t xml:space="preserve">입고 기다림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 압축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</si>
  <si>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입고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</t>
    </r>
  </si>
  <si>
    <r>
      <rPr>
        <sz val="10"/>
        <rFont val="Noto Sans CJK KR"/>
        <family val="2"/>
      </rPr>
      <t xml:space="preserve">두 번째 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납기 초과 → 지연 보고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</si>
  <si>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한 공장의 한 주로 잇기</t>
    </r>
  </si>
  <si>
    <t xml:space="preserve">세 처리 건 지표 나란히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</si>
  <si>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어디서 오래 기다렸나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</si>
  <si>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사전 검사 거절 → 고쳐 통과</t>
    </r>
  </si>
  <si>
    <r>
      <rPr>
        <sz val="10"/>
        <rFont val="Arial"/>
        <family val="0"/>
        <charset val="1"/>
      </rPr>
      <t xml:space="preserve">bpmn.io</t>
    </r>
    <r>
      <rPr>
        <sz val="10"/>
        <rFont val="Noto Sans CJK KR"/>
        <family val="2"/>
      </rPr>
      <t xml:space="preserve">로 열어 그림 확인</t>
    </r>
  </si>
  <si>
    <t xml:space="preserve">명세 먼저 쓰기</t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</si>
  <si>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새 규칙이 잡고 기존 시험은 통과</t>
    </r>
  </si>
  <si>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생성 대기</t>
    </r>
  </si>
  <si>
    <r>
      <rPr>
        <sz val="10"/>
        <rFont val="Noto Sans CJK KR"/>
        <family val="2"/>
      </rPr>
      <t xml:space="preserve">지연 알림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실행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회 확인</t>
    </r>
  </si>
  <si>
    <t xml:space="preserve">학생 따라 만들기</t>
  </si>
  <si>
    <r>
      <rPr>
        <sz val="10"/>
        <rFont val="Noto Sans CJK KR"/>
        <family val="2"/>
      </rPr>
      <t xml:space="preserve">실수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복구</t>
    </r>
  </si>
  <si>
    <t xml:space="preserve">일꾼 진단 대기</t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</si>
  <si>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일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콘솔 도구 호출</t>
    </r>
  </si>
  <si>
    <r>
      <rPr>
        <sz val="10"/>
        <rFont val="Noto Sans CJK KR"/>
        <family val="2"/>
      </rPr>
      <t xml:space="preserve">한 건 실행 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진단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</si>
  <si>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앞 출력 → 다음 입력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미달 보고</t>
    </r>
  </si>
  <si>
    <r>
      <rPr>
        <sz val="10"/>
        <rFont val="Arial"/>
        <family val="0"/>
        <charset val="1"/>
      </rPr>
      <t xml:space="preserve">ProcessGPT </t>
    </r>
    <r>
      <rPr>
        <sz val="10"/>
        <rFont val="Noto Sans CJK KR"/>
        <family val="2"/>
      </rPr>
      <t xml:space="preserve">소개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무엇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누가 쓰나</t>
    </r>
  </si>
  <si>
    <r>
      <rPr>
        <sz val="10"/>
        <rFont val="Noto Sans CJK KR"/>
        <family val="2"/>
      </rPr>
      <t xml:space="preserve">시연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제품으로 끝까지</t>
    </r>
  </si>
  <si>
    <t xml:space="preserve">내가 만든 것의 자리</t>
  </si>
  <si>
    <t xml:space="preserve">제품이 더하는 것</t>
  </si>
  <si>
    <t xml:space="preserve">읽는 법</t>
  </si>
  <si>
    <r>
      <rPr>
        <sz val="10"/>
        <rFont val="Noto Sans CJK KR"/>
        <family val="2"/>
      </rPr>
      <t xml:space="preserve">통합반 분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이 시트 부품의 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파란 글씨를 고치면 </t>
    </r>
    <r>
      <rPr>
        <sz val="10"/>
        <rFont val="Arial"/>
        <family val="0"/>
        <charset val="1"/>
      </rPr>
      <t xml:space="preserve">01 · 02 </t>
    </r>
    <r>
      <rPr>
        <sz val="10"/>
        <rFont val="Noto Sans CJK KR"/>
        <family val="2"/>
      </rPr>
      <t xml:space="preserve">시트와 </t>
    </r>
    <r>
      <rPr>
        <sz val="10"/>
        <rFont val="Arial"/>
        <family val="0"/>
        <charset val="1"/>
      </rPr>
      <t xml:space="preserve">08 </t>
    </r>
    <r>
      <rPr>
        <sz val="10"/>
        <rFont val="Noto Sans CJK KR"/>
        <family val="2"/>
      </rPr>
      <t xml:space="preserve">합계가 따라 바뀜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구분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개념 설명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은 영상의 개념 설명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), "</t>
    </r>
    <r>
      <rPr>
        <sz val="10"/>
        <rFont val="Noto Sans CJK KR"/>
        <family val="2"/>
      </rPr>
      <t xml:space="preserve">시연</t>
    </r>
    <r>
      <rPr>
        <sz val="10"/>
        <rFont val="Arial"/>
        <family val="0"/>
        <charset val="1"/>
      </rPr>
      <t xml:space="preserve">·</t>
    </r>
    <r>
      <rPr>
        <sz val="10"/>
        <rFont val="Noto Sans CJK KR"/>
        <family val="2"/>
      </rPr>
      <t xml:space="preserve">실습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은 시연</t>
    </r>
    <r>
      <rPr>
        <sz val="10"/>
        <rFont val="Arial"/>
        <family val="0"/>
        <charset val="1"/>
      </rPr>
      <t xml:space="preserve">·</t>
    </r>
    <r>
      <rPr>
        <sz val="10"/>
        <rFont val="Noto Sans CJK KR"/>
        <family val="2"/>
      </rPr>
      <t xml:space="preserve">랩업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으로 간다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이름이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여유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복구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편차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로 시작하는 부품은 오프라인에서 반 전체를 기다리고 막힌 학생을 돕는 시간이고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영상은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분이다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영상은 학생을 기다리지 않고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지점을 둔다</t>
    </r>
    <r>
      <rPr>
        <sz val="10"/>
        <rFont val="Arial"/>
        <family val="0"/>
        <charset val="1"/>
      </rPr>
      <t xml:space="preserve">).</t>
    </r>
  </si>
  <si>
    <t xml:space="preserve">통합 영상</t>
  </si>
  <si>
    <t xml:space="preserve">통합 오프</t>
  </si>
  <si>
    <t xml:space="preserve">실전 영상</t>
  </si>
  <si>
    <t xml:space="preserve">실전 오프</t>
  </si>
  <si>
    <t xml:space="preserve">막 합계</t>
  </si>
  <si>
    <t xml:space="preserve">전체 합계</t>
  </si>
  <si>
    <t xml:space="preserve">고정 합계</t>
  </si>
  <si>
    <r>
      <rPr>
        <b val="true"/>
        <sz val="10"/>
        <rFont val="Noto Sans CJK KR"/>
        <family val="2"/>
      </rPr>
      <t xml:space="preserve">검산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시트 합계와 같은가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</si>
  <si>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세 막 비율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목표 온톨로지 </t>
    </r>
    <r>
      <rPr>
        <b val="true"/>
        <sz val="10"/>
        <rFont val="Arial"/>
        <family val="0"/>
        <charset val="1"/>
      </rPr>
      <t xml:space="preserve">40 : </t>
    </r>
    <r>
      <rPr>
        <b val="true"/>
        <sz val="10"/>
        <rFont val="Noto Sans CJK KR"/>
        <family val="2"/>
      </rPr>
      <t xml:space="preserve">에이전트 </t>
    </r>
    <r>
      <rPr>
        <b val="true"/>
        <sz val="10"/>
        <rFont val="Arial"/>
        <family val="0"/>
        <charset val="1"/>
      </rPr>
      <t xml:space="preserve">35 : BPMN 25)</t>
    </r>
  </si>
  <si>
    <r>
      <rPr>
        <b val="true"/>
        <sz val="10"/>
        <rFont val="Noto Sans CJK KR"/>
        <family val="2"/>
      </rPr>
      <t xml:space="preserve">오프라인 여유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반 기다림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Noto Sans CJK KR"/>
        <family val="2"/>
      </rPr>
      <t xml:space="preserve">막힌 학생 돕기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Noto Sans CJK KR"/>
        <family val="2"/>
      </rPr>
      <t xml:space="preserve">실수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Noto Sans CJK KR"/>
        <family val="2"/>
      </rPr>
      <t xml:space="preserve">복구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</si>
  <si>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고정 합계는 사용자 확정값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통합 영상 </t>
    </r>
    <r>
      <rPr>
        <sz val="10"/>
        <rFont val="Arial"/>
        <family val="0"/>
        <charset val="1"/>
      </rPr>
      <t xml:space="preserve">2640 · </t>
    </r>
    <r>
      <rPr>
        <sz val="10"/>
        <rFont val="Noto Sans CJK KR"/>
        <family val="2"/>
      </rPr>
      <t xml:space="preserve">통합 오프 </t>
    </r>
    <r>
      <rPr>
        <sz val="10"/>
        <rFont val="Arial"/>
        <family val="0"/>
        <charset val="1"/>
      </rPr>
      <t xml:space="preserve">2520 · </t>
    </r>
    <r>
      <rPr>
        <sz val="10"/>
        <rFont val="Noto Sans CJK KR"/>
        <family val="2"/>
      </rPr>
      <t xml:space="preserve">실전 영상 </t>
    </r>
    <r>
      <rPr>
        <sz val="10"/>
        <rFont val="Arial"/>
        <family val="0"/>
        <charset val="1"/>
      </rPr>
      <t xml:space="preserve">1920 · </t>
    </r>
    <r>
      <rPr>
        <sz val="10"/>
        <rFont val="Noto Sans CJK KR"/>
        <family val="2"/>
      </rPr>
      <t xml:space="preserve">실전 오프 </t>
    </r>
    <r>
      <rPr>
        <sz val="10"/>
        <rFont val="Arial"/>
        <family val="0"/>
        <charset val="1"/>
      </rPr>
      <t xml:space="preserve">2280). </t>
    </r>
    <r>
      <rPr>
        <sz val="10"/>
        <rFont val="Noto Sans CJK KR"/>
        <family val="2"/>
      </rPr>
      <t xml:space="preserve">이 안은 내용대로 매겨 고정 합계에 억지로 맞추지 않았다 — 차이 줄을 그대로 보인다</t>
    </r>
    <r>
      <rPr>
        <sz val="10"/>
        <rFont val="Arial"/>
        <family val="0"/>
        <charset val="1"/>
      </rPr>
      <t xml:space="preserve">.</t>
    </r>
  </si>
  <si>
    <t xml:space="preserve">약칭</t>
  </si>
  <si>
    <t xml:space="preserve">값과 출처</t>
  </si>
  <si>
    <t xml:space="preserve">쓰인 행</t>
  </si>
  <si>
    <t xml:space="preserve">RAISE</t>
  </si>
  <si>
    <r>
      <rPr>
        <sz val="10"/>
        <rFont val="Noto Sans CJK KR"/>
        <family val="2"/>
      </rPr>
      <t xml:space="preserve">경보 발생 </t>
    </r>
    <r>
      <rPr>
        <sz val="10"/>
        <rFont val="Arial"/>
        <family val="0"/>
        <charset val="1"/>
      </rPr>
      <t xml:space="preserve">16~33 s, </t>
    </r>
    <r>
      <rPr>
        <sz val="10"/>
        <rFont val="Noto Sans CJK KR"/>
        <family val="2"/>
      </rPr>
      <t xml:space="preserve">쿨러 </t>
    </r>
    <r>
      <rPr>
        <sz val="10"/>
        <rFont val="Arial"/>
        <family val="0"/>
        <charset val="1"/>
      </rPr>
      <t xml:space="preserve">32.7 s — HANDOFF.md A128(10-07~08)</t>
    </r>
  </si>
  <si>
    <t xml:space="preserve">S5, OP3, BP3</t>
  </si>
  <si>
    <t xml:space="preserve">W4</t>
  </si>
  <si>
    <r>
      <rPr>
        <sz val="10"/>
        <rFont val="Noto Sans CJK KR"/>
        <family val="2"/>
      </rPr>
      <t xml:space="preserve">실제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4</t>
    </r>
    <r>
      <rPr>
        <sz val="10"/>
        <rFont val="Noto Sans CJK KR"/>
        <family val="2"/>
      </rPr>
      <t xml:space="preserve">단계 </t>
    </r>
    <r>
      <rPr>
        <sz val="10"/>
        <rFont val="Arial"/>
        <family val="0"/>
        <charset val="1"/>
      </rPr>
      <t xml:space="preserve">3~4</t>
    </r>
    <r>
      <rPr>
        <sz val="10"/>
        <rFont val="Noto Sans CJK KR"/>
        <family val="2"/>
      </rPr>
      <t xml:space="preserve">분 — </t>
    </r>
    <r>
      <rPr>
        <sz val="10"/>
        <rFont val="Arial"/>
        <family val="0"/>
        <charset val="1"/>
      </rPr>
      <t xml:space="preserve">HANDOFF.md A158(.evidence/a158/scenarios/)</t>
    </r>
  </si>
  <si>
    <t xml:space="preserve">S5, AP3, AP4, AP6, AP7, AP9, AP10, AL8, BP3, BP5, BP7, BL5, BL6</t>
  </si>
  <si>
    <t xml:space="preserve">CASE</t>
  </si>
  <si>
    <r>
      <rPr>
        <sz val="10"/>
        <rFont val="Noto Sans CJK KR"/>
        <family val="2"/>
      </rPr>
      <t xml:space="preserve">쿨러 처리 건 전체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4</t>
    </r>
    <r>
      <rPr>
        <sz val="10"/>
        <rFont val="Noto Sans CJK KR"/>
        <family val="2"/>
      </rPr>
      <t xml:space="preserve">작업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종결</t>
    </r>
    <r>
      <rPr>
        <sz val="10"/>
        <rFont val="Arial"/>
        <family val="0"/>
        <charset val="1"/>
      </rPr>
      <t xml:space="preserve">) 4</t>
    </r>
    <r>
      <rPr>
        <sz val="10"/>
        <rFont val="Noto Sans CJK KR"/>
        <family val="2"/>
      </rPr>
      <t xml:space="preserve">분 </t>
    </r>
    <r>
      <rPr>
        <sz val="10"/>
        <rFont val="Arial"/>
        <family val="0"/>
        <charset val="1"/>
      </rPr>
      <t xml:space="preserve">55</t>
    </r>
    <r>
      <rPr>
        <sz val="10"/>
        <rFont val="Noto Sans CJK KR"/>
        <family val="2"/>
      </rPr>
      <t xml:space="preserve">초 — </t>
    </r>
    <r>
      <rPr>
        <sz val="10"/>
        <rFont val="Arial"/>
        <family val="0"/>
        <charset val="1"/>
      </rPr>
      <t xml:space="preserve">HANDOFF.md A154 0.4(.evidence/cloud0/)</t>
    </r>
  </si>
  <si>
    <t xml:space="preserve">S5, BP3, E1</t>
  </si>
  <si>
    <t xml:space="preserve">EXT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</si>
  <si>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쪽 문서 추출 </t>
    </r>
    <r>
      <rPr>
        <sz val="10"/>
        <rFont val="Arial"/>
        <family val="0"/>
        <charset val="1"/>
      </rPr>
      <t xml:space="preserve">127~158 s — HANDOFF.md A098, MANUAL_INGESTION.md:14(A128, .evidence/sessions/09/live/)</t>
    </r>
  </si>
  <si>
    <t xml:space="preserve">OP3, OP6, OP9, OL6</t>
  </si>
  <si>
    <t xml:space="preserve">GQ</t>
  </si>
  <si>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 일꾼 답 </t>
    </r>
    <r>
      <rPr>
        <sz val="10"/>
        <rFont val="Arial"/>
        <family val="0"/>
        <charset val="1"/>
      </rPr>
      <t xml:space="preserve">45 s — HANDOFF.md A118</t>
    </r>
  </si>
  <si>
    <t xml:space="preserve">OP4, OP7, OP10, OL8, OL9, AP2, AP5, AP8</t>
  </si>
  <si>
    <t xml:space="preserve">LONG</t>
  </si>
  <si>
    <r>
      <rPr>
        <sz val="10"/>
        <rFont val="Arial"/>
        <family val="0"/>
        <charset val="1"/>
      </rPr>
      <t xml:space="preserve">80</t>
    </r>
    <r>
      <rPr>
        <sz val="10"/>
        <rFont val="Noto Sans CJK KR"/>
        <family val="2"/>
      </rPr>
      <t xml:space="preserve">쪽 실물 매뉴얼 </t>
    </r>
    <r>
      <rPr>
        <sz val="10"/>
        <rFont val="Arial"/>
        <family val="0"/>
        <charset val="1"/>
      </rPr>
      <t xml:space="preserve">612 s · </t>
    </r>
    <r>
      <rPr>
        <sz val="10"/>
        <rFont val="Noto Sans CJK KR"/>
        <family val="2"/>
      </rPr>
      <t xml:space="preserve">구간 </t>
    </r>
    <r>
      <rPr>
        <sz val="10"/>
        <rFont val="Arial"/>
        <family val="0"/>
        <charset val="1"/>
      </rPr>
      <t xml:space="preserve">2 — MANUAL_INGESTION.md:13 · 54(A119)</t>
    </r>
  </si>
  <si>
    <t xml:space="preserve">MCP</t>
  </si>
  <si>
    <r>
      <rPr>
        <sz val="10"/>
        <rFont val="Noto Sans CJK KR"/>
        <family val="2"/>
      </rPr>
      <t xml:space="preserve">도구 서버 시작</t>
    </r>
    <r>
      <rPr>
        <sz val="10"/>
        <rFont val="Arial"/>
        <family val="0"/>
        <charset val="1"/>
      </rPr>
      <t xml:space="preserve">(stdio initialize) 17.18 s — HANDOFF.md A032(a032-neo4j-stdio.json)</t>
    </r>
  </si>
  <si>
    <t xml:space="preserve">AP2, AP5, AP8, AL3, AL4</t>
  </si>
  <si>
    <t xml:space="preserve">REOBS</t>
  </si>
  <si>
    <r>
      <rPr>
        <sz val="10"/>
        <rFont val="Noto Sans CJK KR"/>
        <family val="2"/>
      </rPr>
      <t xml:space="preserve">재관측 </t>
    </r>
    <r>
      <rPr>
        <sz val="10"/>
        <rFont val="Arial"/>
        <family val="0"/>
        <charset val="1"/>
      </rPr>
      <t xml:space="preserve">15</t>
    </r>
    <r>
      <rPr>
        <sz val="10"/>
        <rFont val="Noto Sans CJK KR"/>
        <family val="2"/>
      </rPr>
      <t xml:space="preserve">분 </t>
    </r>
    <r>
      <rPr>
        <sz val="10"/>
        <rFont val="Arial"/>
        <family val="0"/>
        <charset val="1"/>
      </rPr>
      <t xml:space="preserve">÷ </t>
    </r>
    <r>
      <rPr>
        <sz val="10"/>
        <rFont val="Noto Sans CJK KR"/>
        <family val="2"/>
      </rPr>
      <t xml:space="preserve">배속 </t>
    </r>
    <r>
      <rPr>
        <sz val="10"/>
        <rFont val="Arial"/>
        <family val="0"/>
        <charset val="1"/>
      </rPr>
      <t xml:space="preserve">20 = 45 s — CLAUDE.md §3, scenario-research.md §9</t>
    </r>
  </si>
  <si>
    <t xml:space="preserve">S5, BP3</t>
  </si>
  <si>
    <t xml:space="preserve">WAITB</t>
  </si>
  <si>
    <r>
      <rPr>
        <sz val="10"/>
        <rFont val="Noto Sans CJK KR"/>
        <family val="2"/>
      </rPr>
      <t xml:space="preserve">예정된 정비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입고까지 기다림</t>
    </r>
    <r>
      <rPr>
        <sz val="10"/>
        <rFont val="Arial"/>
        <family val="0"/>
        <charset val="1"/>
      </rPr>
      <t xml:space="preserve">: 20</t>
    </r>
    <r>
      <rPr>
        <sz val="10"/>
        <rFont val="Noto Sans CJK KR"/>
        <family val="2"/>
      </rPr>
      <t xml:space="preserve">배속에서도 예정 시간까지 </t>
    </r>
    <r>
      <rPr>
        <sz val="10"/>
        <rFont val="Arial"/>
        <family val="0"/>
        <charset val="1"/>
      </rPr>
      <t xml:space="preserve">2 h → 6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일 → </t>
    </r>
    <r>
      <rPr>
        <sz val="10"/>
        <rFont val="Arial"/>
        <family val="0"/>
        <charset val="1"/>
      </rPr>
      <t xml:space="preserve">2.4 h — scenario-research.md §9. </t>
    </r>
    <r>
      <rPr>
        <sz val="10"/>
        <rFont val="Noto Sans CJK KR"/>
        <family val="2"/>
      </rPr>
      <t xml:space="preserve">수업에서는 몇 분으로 줄인다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시나리오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 문서</t>
    </r>
    <r>
      <rPr>
        <sz val="10"/>
        <rFont val="Arial"/>
        <family val="0"/>
        <charset val="1"/>
      </rPr>
      <t xml:space="preserve">). 3</t>
    </r>
    <r>
      <rPr>
        <sz val="10"/>
        <rFont val="Noto Sans CJK KR"/>
        <family val="2"/>
      </rPr>
      <t xml:space="preserve">분으로 가정</t>
    </r>
  </si>
  <si>
    <t xml:space="preserve">BP5, BP7</t>
  </si>
  <si>
    <t xml:space="preserve">CC</t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</si>
  <si>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(Claude Code) </t>
    </r>
    <r>
      <rPr>
        <sz val="10"/>
        <rFont val="Noto Sans CJK KR"/>
        <family val="2"/>
      </rPr>
      <t xml:space="preserve">작은 생성 </t>
    </r>
    <r>
      <rPr>
        <sz val="10"/>
        <rFont val="Arial"/>
        <family val="0"/>
        <charset val="1"/>
      </rPr>
      <t xml:space="preserve">1~3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/</t>
    </r>
    <r>
      <rPr>
        <sz val="10"/>
        <rFont val="Noto Sans CJK KR"/>
        <family val="2"/>
      </rPr>
      <t xml:space="preserve">지시 — 실측 없음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가까운 근거</t>
    </r>
    <r>
      <rPr>
        <sz val="10"/>
        <rFont val="Arial"/>
        <family val="0"/>
        <charset val="1"/>
      </rPr>
      <t xml:space="preserve">: 1</t>
    </r>
    <r>
      <rPr>
        <sz val="10"/>
        <rFont val="Noto Sans CJK KR"/>
        <family val="2"/>
      </rPr>
      <t xml:space="preserve">쪽 추출 </t>
    </r>
    <r>
      <rPr>
        <sz val="10"/>
        <rFont val="Arial"/>
        <family val="0"/>
        <charset val="1"/>
      </rPr>
      <t xml:space="preserve">127~158 s(A098 · A128), </t>
    </r>
    <r>
      <rPr>
        <sz val="10"/>
        <rFont val="Noto Sans CJK KR"/>
        <family val="2"/>
      </rPr>
      <t xml:space="preserve">질문 답 </t>
    </r>
    <r>
      <rPr>
        <sz val="10"/>
        <rFont val="Arial"/>
        <family val="0"/>
        <charset val="1"/>
      </rPr>
      <t xml:space="preserve">45 s(A118)</t>
    </r>
  </si>
  <si>
    <t xml:space="preserve">OL1, OL3, OL4, OL5, OL6, OL7, OL8, OL9, OL10, OL11, AL1, AL2, AL3, AL4, AL5, AL6, AL7, AL8, BL1, BL2, BL3, BL4, BL5, BL6</t>
  </si>
  <si>
    <t xml:space="preserve">HOLD</t>
  </si>
  <si>
    <r>
      <rPr>
        <sz val="10"/>
        <rFont val="Noto Sans CJK KR"/>
        <family val="2"/>
      </rPr>
      <t xml:space="preserve">근거 없음 보류까지 일꾼 첫 단계 약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분 — 가정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사람 입력 근거 진단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단계 </t>
    </r>
    <r>
      <rPr>
        <sz val="10"/>
        <rFont val="Arial"/>
        <family val="0"/>
        <charset val="1"/>
      </rPr>
      <t xml:space="preserve">49 s, HANDOFF.md B7 </t>
    </r>
    <r>
      <rPr>
        <sz val="10"/>
        <rFont val="Noto Sans CJK KR"/>
        <family val="2"/>
      </rPr>
      <t xml:space="preserve">라이브와 비슷하다고 봄</t>
    </r>
    <r>
      <rPr>
        <sz val="10"/>
        <rFont val="Arial"/>
        <family val="0"/>
        <charset val="1"/>
      </rPr>
      <t xml:space="preserve">)</t>
    </r>
  </si>
  <si>
    <t xml:space="preserve">OP3, OP6, OP9</t>
  </si>
  <si>
    <t xml:space="preserve">BOOT</t>
  </si>
  <si>
    <r>
      <rPr>
        <sz val="10"/>
        <rFont val="Noto Sans CJK KR"/>
        <family val="2"/>
      </rPr>
      <t xml:space="preserve">스택 기동 </t>
    </r>
    <r>
      <rPr>
        <sz val="10"/>
        <rFont val="Arial"/>
        <family val="0"/>
        <charset val="1"/>
      </rPr>
      <t xml:space="preserve">268 s — HANDOFF.md A148(</t>
    </r>
    <r>
      <rPr>
        <sz val="10"/>
        <rFont val="Noto Sans CJK KR"/>
        <family val="2"/>
      </rPr>
      <t xml:space="preserve">학생은 미리 켜 둔 상태로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수업 시간에 안 넣음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</si>
  <si>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— (</t>
    </r>
    <r>
      <rPr>
        <sz val="10"/>
        <rFont val="Noto Sans CJK KR"/>
        <family val="2"/>
      </rPr>
      <t xml:space="preserve">수업 시간에 넣지 않음</t>
    </r>
    <r>
      <rPr>
        <sz val="10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</si>
</sst>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Noto Sans CJK KR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Noto Sans CJK KR"/>
      <family val="2"/>
    </font>
    <font>
      <sz val="10"/>
      <name val="Noto Sans CJK KR"/>
      <family val="2"/>
    </font>
    <font>
      <sz val="10"/>
      <name val="Arial"/>
      <family val="0"/>
      <charset val="1"/>
    </font>
    <font>
      <b val="true"/>
      <sz val="10"/>
      <color rgb="FFFFFFFF"/>
      <name val="Noto Sans CJK KR"/>
      <family val="2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4858"/>
        <bgColor rgb="FF333399"/>
      </patternFill>
    </fill>
    <fill>
      <patternFill patternType="solid">
        <fgColor rgb="FFBDD7EE"/>
        <bgColor rgb="FFC8C8C8"/>
      </patternFill>
    </fill>
    <fill>
      <patternFill patternType="solid">
        <fgColor rgb="FFEDEDED"/>
        <bgColor rgb="FFEAF2FB"/>
      </patternFill>
    </fill>
    <fill>
      <patternFill patternType="solid">
        <fgColor rgb="FFEAF2FB"/>
        <bgColor rgb="FFEAF7EE"/>
      </patternFill>
    </fill>
    <fill>
      <patternFill patternType="solid">
        <fgColor rgb="FFEAF7EE"/>
        <bgColor rgb="FFEAF2FB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F4858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EAF2FB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C8"/>
      <rgbColor rgb="FF808080"/>
      <rgbColor rgb="FF9999FF"/>
      <rgbColor rgb="FF993366"/>
      <rgbColor rgb="FFFFF2CC"/>
      <rgbColor rgb="FFEAF7EE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B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85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5.46"/>
    <col collapsed="false" customWidth="true" hidden="false" outlineLevel="0" max="2" min="2" style="0" width="16.38"/>
    <col collapsed="false" customWidth="true" hidden="false" outlineLevel="0" max="3" min="3" style="0" width="36.39"/>
    <col collapsed="false" customWidth="true" hidden="false" outlineLevel="0" max="4" min="4" style="0" width="45.49"/>
    <col collapsed="false" customWidth="true" hidden="false" outlineLevel="0" max="5" min="5" style="0" width="40.03"/>
    <col collapsed="false" customWidth="true" hidden="false" outlineLevel="0" max="9" min="6" style="0" width="10.92"/>
  </cols>
  <sheetData>
    <row r="1" customFormat="false" ht="30" hidden="false" customHeight="true" outlineLevel="0" collapsed="false">
      <c r="B1" s="1" t="s">
        <v>0</v>
      </c>
      <c r="C1" s="2" t="s">
        <v>1</v>
      </c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B2" s="1" t="s">
        <v>2</v>
      </c>
      <c r="C2" s="2" t="s">
        <v>3</v>
      </c>
      <c r="D2" s="2"/>
      <c r="E2" s="2"/>
      <c r="F2" s="2"/>
      <c r="G2" s="2"/>
      <c r="H2" s="2"/>
      <c r="I2" s="2"/>
    </row>
    <row r="3" customFormat="false" ht="48" hidden="false" customHeight="true" outlineLevel="0" collapsed="false">
      <c r="B3" s="1" t="s">
        <v>4</v>
      </c>
      <c r="C3" s="2" t="str">
        <f aca="false">"통합반 영상 "&amp;ROUND('08_막별 합계'!C18/60,1)&amp;"H · 통합반 오프라인 "&amp;ROUND('08_막별 합계'!D18/60,1)&amp;"H / 실전반 영상 "&amp;ROUND('08_막별 합계'!E18/60,1)&amp;"H · 실전반 오프라인 "&amp;ROUND('08_막별 합계'!F18/60,1)&amp;"H (행 시간의 합. 고정 44 · 42 · 32 · 38H와의 차이는 08_막별 합계)"</f>
        <v>통합반 영상 36.7H · 통합반 오프라인 44.9H / 실전반 영상 29.2H · 실전반 오프라인 37.3H (행 시간의 합. 고정 44 · 42 · 32 · 38H와의 차이는 08_막별 합계)</v>
      </c>
      <c r="D3" s="2"/>
      <c r="E3" s="2"/>
      <c r="F3" s="2"/>
      <c r="G3" s="2"/>
      <c r="H3" s="2"/>
      <c r="I3" s="2"/>
    </row>
    <row r="4" customFormat="false" ht="30" hidden="false" customHeight="true" outlineLevel="0" collapsed="false">
      <c r="B4" s="1" t="s">
        <v>5</v>
      </c>
      <c r="C4" s="2" t="s">
        <v>6</v>
      </c>
      <c r="D4" s="2"/>
      <c r="E4" s="2"/>
      <c r="F4" s="2"/>
      <c r="G4" s="2"/>
      <c r="H4" s="2"/>
      <c r="I4" s="2"/>
    </row>
    <row r="5" customFormat="false" ht="48" hidden="false" customHeight="true" outlineLevel="0" collapsed="false">
      <c r="B5" s="1" t="s">
        <v>7</v>
      </c>
      <c r="C5" s="2" t="s">
        <v>8</v>
      </c>
      <c r="D5" s="2"/>
      <c r="E5" s="2"/>
      <c r="F5" s="2"/>
      <c r="G5" s="2"/>
      <c r="H5" s="2"/>
      <c r="I5" s="2"/>
    </row>
    <row r="6" customFormat="false" ht="48" hidden="false" customHeight="true" outlineLevel="0" collapsed="false">
      <c r="B6" s="1" t="s">
        <v>9</v>
      </c>
      <c r="C6" s="2" t="s">
        <v>10</v>
      </c>
      <c r="D6" s="2"/>
      <c r="E6" s="2"/>
      <c r="F6" s="2"/>
      <c r="G6" s="2"/>
      <c r="H6" s="2"/>
      <c r="I6" s="2"/>
    </row>
    <row r="7" customFormat="false" ht="30" hidden="false" customHeight="true" outlineLevel="0" collapsed="false">
      <c r="B7" s="1" t="s">
        <v>11</v>
      </c>
      <c r="C7" s="2" t="s">
        <v>12</v>
      </c>
      <c r="D7" s="2"/>
      <c r="E7" s="2"/>
      <c r="F7" s="2"/>
      <c r="G7" s="2"/>
      <c r="H7" s="2"/>
      <c r="I7" s="2"/>
    </row>
    <row r="8" customFormat="false" ht="48" hidden="false" customHeight="true" outlineLevel="0" collapsed="false">
      <c r="B8" s="1" t="s">
        <v>13</v>
      </c>
      <c r="C8" s="3" t="s">
        <v>14</v>
      </c>
      <c r="D8" s="3"/>
      <c r="E8" s="3"/>
      <c r="F8" s="3"/>
      <c r="G8" s="3"/>
      <c r="H8" s="3"/>
      <c r="I8" s="3"/>
    </row>
    <row r="9" customFormat="false" ht="30" hidden="false" customHeight="true" outlineLevel="0" collapsed="false">
      <c r="B9" s="1" t="s">
        <v>15</v>
      </c>
      <c r="C9" s="2" t="s">
        <v>16</v>
      </c>
      <c r="D9" s="2"/>
      <c r="E9" s="2"/>
      <c r="F9" s="2"/>
      <c r="G9" s="2"/>
      <c r="H9" s="2"/>
      <c r="I9" s="2"/>
    </row>
    <row r="10" customFormat="false" ht="48" hidden="false" customHeight="true" outlineLevel="0" collapsed="false">
      <c r="B10" s="1" t="s">
        <v>17</v>
      </c>
      <c r="C10" s="2" t="s">
        <v>18</v>
      </c>
      <c r="D10" s="2"/>
      <c r="E10" s="2"/>
      <c r="F10" s="2"/>
      <c r="G10" s="2"/>
      <c r="H10" s="2"/>
      <c r="I10" s="2"/>
    </row>
    <row r="11" customFormat="false" ht="30" hidden="false" customHeight="true" outlineLevel="0" collapsed="false">
      <c r="B11" s="1" t="s">
        <v>19</v>
      </c>
      <c r="C11" s="2" t="s">
        <v>20</v>
      </c>
      <c r="D11" s="2"/>
      <c r="E11" s="2"/>
      <c r="F11" s="2"/>
      <c r="G11" s="2"/>
      <c r="H11" s="2"/>
      <c r="I11" s="2"/>
    </row>
    <row r="13" customFormat="false" ht="29.85" hidden="false" customHeight="false" outlineLevel="0" collapsed="false">
      <c r="A13" s="4" t="s">
        <v>21</v>
      </c>
      <c r="B13" s="4" t="s">
        <v>22</v>
      </c>
      <c r="C13" s="4" t="s">
        <v>23</v>
      </c>
      <c r="D13" s="4" t="s">
        <v>24</v>
      </c>
      <c r="E13" s="4" t="s">
        <v>25</v>
      </c>
      <c r="F13" s="4" t="s">
        <v>26</v>
      </c>
      <c r="G13" s="4" t="s">
        <v>27</v>
      </c>
      <c r="H13" s="4" t="s">
        <v>28</v>
      </c>
      <c r="I13" s="4" t="s">
        <v>29</v>
      </c>
    </row>
    <row r="14" customFormat="false" ht="75" hidden="false" customHeight="true" outlineLevel="0" collapsed="false">
      <c r="A14" s="5" t="n">
        <v>1</v>
      </c>
      <c r="B14" s="2" t="s">
        <v>30</v>
      </c>
      <c r="C14" s="2" t="s">
        <v>31</v>
      </c>
      <c r="D14" s="2" t="s">
        <v>32</v>
      </c>
      <c r="E14" s="5" t="s">
        <v>33</v>
      </c>
      <c r="F14" s="5" t="n">
        <f aca="false">'08_막별 합계'!C3</f>
        <v>140</v>
      </c>
      <c r="G14" s="5" t="n">
        <f aca="false">'08_막별 합계'!D3</f>
        <v>148</v>
      </c>
      <c r="H14" s="5" t="n">
        <f aca="false">'08_막별 합계'!E3</f>
        <v>107</v>
      </c>
      <c r="I14" s="5" t="n">
        <f aca="false">'08_막별 합계'!F3</f>
        <v>119</v>
      </c>
    </row>
    <row r="15" customFormat="false" ht="75" hidden="false" customHeight="true" outlineLevel="0" collapsed="false">
      <c r="A15" s="5" t="n">
        <v>2</v>
      </c>
      <c r="B15" s="2" t="s">
        <v>34</v>
      </c>
      <c r="C15" s="2" t="s">
        <v>35</v>
      </c>
      <c r="D15" s="2" t="s">
        <v>36</v>
      </c>
      <c r="E15" s="5" t="s">
        <v>37</v>
      </c>
      <c r="F15" s="5" t="n">
        <f aca="false">'08_막별 합계'!C7</f>
        <v>833</v>
      </c>
      <c r="G15" s="5" t="n">
        <f aca="false">'08_막별 합계'!D7</f>
        <v>1037</v>
      </c>
      <c r="H15" s="5" t="n">
        <f aca="false">'08_막별 합계'!E7</f>
        <v>661</v>
      </c>
      <c r="I15" s="5" t="n">
        <f aca="false">'08_막별 합계'!F7</f>
        <v>859</v>
      </c>
    </row>
    <row r="16" customFormat="false" ht="75" hidden="false" customHeight="true" outlineLevel="0" collapsed="false">
      <c r="A16" s="5" t="n">
        <v>3</v>
      </c>
      <c r="B16" s="2" t="s">
        <v>38</v>
      </c>
      <c r="C16" s="2" t="s">
        <v>39</v>
      </c>
      <c r="D16" s="2" t="s">
        <v>40</v>
      </c>
      <c r="E16" s="5" t="s">
        <v>37</v>
      </c>
      <c r="F16" s="5" t="n">
        <f aca="false">'08_막별 합계'!C11</f>
        <v>667</v>
      </c>
      <c r="G16" s="5" t="n">
        <f aca="false">'08_막별 합계'!D11</f>
        <v>799</v>
      </c>
      <c r="H16" s="5" t="n">
        <f aca="false">'08_막별 합계'!E11</f>
        <v>531</v>
      </c>
      <c r="I16" s="5" t="n">
        <f aca="false">'08_막별 합계'!F11</f>
        <v>671</v>
      </c>
    </row>
    <row r="17" customFormat="false" ht="75" hidden="false" customHeight="true" outlineLevel="0" collapsed="false">
      <c r="A17" s="5" t="n">
        <v>4</v>
      </c>
      <c r="B17" s="3" t="s">
        <v>41</v>
      </c>
      <c r="C17" s="2" t="s">
        <v>42</v>
      </c>
      <c r="D17" s="2" t="s">
        <v>43</v>
      </c>
      <c r="E17" s="5" t="s">
        <v>37</v>
      </c>
      <c r="F17" s="5" t="n">
        <f aca="false">'08_막별 합계'!C15</f>
        <v>521</v>
      </c>
      <c r="G17" s="5" t="n">
        <f aca="false">'08_막별 합계'!D15</f>
        <v>665</v>
      </c>
      <c r="H17" s="5" t="n">
        <f aca="false">'08_막별 합계'!E15</f>
        <v>420</v>
      </c>
      <c r="I17" s="5" t="n">
        <f aca="false">'08_막별 합계'!F15</f>
        <v>552</v>
      </c>
    </row>
    <row r="18" customFormat="false" ht="75" hidden="false" customHeight="true" outlineLevel="0" collapsed="false">
      <c r="A18" s="5" t="n">
        <v>5</v>
      </c>
      <c r="B18" s="2" t="s">
        <v>44</v>
      </c>
      <c r="C18" s="2" t="s">
        <v>45</v>
      </c>
      <c r="D18" s="2" t="s">
        <v>46</v>
      </c>
      <c r="E18" s="5" t="s">
        <v>33</v>
      </c>
      <c r="F18" s="5" t="n">
        <f aca="false">'08_막별 합계'!C17</f>
        <v>40</v>
      </c>
      <c r="G18" s="5" t="n">
        <f aca="false">'08_막별 합계'!D17</f>
        <v>45</v>
      </c>
      <c r="H18" s="5" t="n">
        <f aca="false">'08_막별 합계'!E17</f>
        <v>32</v>
      </c>
      <c r="I18" s="5" t="n">
        <f aca="false">'08_막별 합계'!F17</f>
        <v>37</v>
      </c>
    </row>
    <row r="19" customFormat="false" ht="15" hidden="false" customHeight="false" outlineLevel="0" collapsed="false">
      <c r="B19" s="1" t="s">
        <v>47</v>
      </c>
      <c r="F19" s="6" t="n">
        <f aca="false">SUM(F14:F18)</f>
        <v>2201</v>
      </c>
      <c r="G19" s="6" t="n">
        <f aca="false">SUM(G14:G18)</f>
        <v>2694</v>
      </c>
      <c r="H19" s="6" t="n">
        <f aca="false">SUM(H14:H18)</f>
        <v>1751</v>
      </c>
      <c r="I19" s="6" t="n">
        <f aca="false">SUM(I14:I18)</f>
        <v>2238</v>
      </c>
    </row>
    <row r="20" customFormat="false" ht="15" hidden="false" customHeight="false" outlineLevel="0" collapsed="false">
      <c r="B20" s="1" t="s">
        <v>48</v>
      </c>
      <c r="F20" s="6" t="n">
        <f aca="false">ROUND(F19/60,1)</f>
        <v>36.7</v>
      </c>
      <c r="G20" s="6" t="n">
        <f aca="false">ROUND(G19/60,1)</f>
        <v>44.9</v>
      </c>
      <c r="H20" s="6" t="n">
        <f aca="false">ROUND(H19/60,1)</f>
        <v>29.2</v>
      </c>
      <c r="I20" s="6" t="n">
        <f aca="false">ROUND(I19/60,1)</f>
        <v>37.3</v>
      </c>
    </row>
    <row r="21" customFormat="false" ht="15" hidden="false" customHeight="false" outlineLevel="0" collapsed="false">
      <c r="B21" s="1" t="s">
        <v>49</v>
      </c>
      <c r="F21" s="7" t="n">
        <v>2640</v>
      </c>
      <c r="G21" s="7" t="n">
        <v>2520</v>
      </c>
      <c r="H21" s="7" t="n">
        <v>1920</v>
      </c>
      <c r="I21" s="7" t="n">
        <v>2280</v>
      </c>
    </row>
    <row r="22" customFormat="false" ht="15" hidden="false" customHeight="false" outlineLevel="0" collapsed="false">
      <c r="B22" s="1" t="s">
        <v>50</v>
      </c>
      <c r="F22" s="6" t="n">
        <f aca="false">F19-F21</f>
        <v>-439</v>
      </c>
      <c r="G22" s="6" t="n">
        <f aca="false">G19-G21</f>
        <v>174</v>
      </c>
      <c r="H22" s="6" t="n">
        <f aca="false">H19-H21</f>
        <v>-169</v>
      </c>
      <c r="I22" s="6" t="n">
        <f aca="false">I19-I21</f>
        <v>-42</v>
      </c>
    </row>
    <row r="24" customFormat="false" ht="39.75" hidden="false" customHeight="true" outlineLevel="0" collapsed="false">
      <c r="B24" s="1" t="s">
        <v>51</v>
      </c>
      <c r="C24" s="3" t="s">
        <v>52</v>
      </c>
      <c r="D24" s="3"/>
      <c r="E24" s="3"/>
      <c r="F24" s="3"/>
      <c r="G24" s="3"/>
      <c r="H24" s="3"/>
      <c r="I24" s="3"/>
    </row>
  </sheetData>
  <mergeCells count="12">
    <mergeCell ref="C1:I1"/>
    <mergeCell ref="C2:I2"/>
    <mergeCell ref="C3:I3"/>
    <mergeCell ref="C4:I4"/>
    <mergeCell ref="C5:I5"/>
    <mergeCell ref="C6:I6"/>
    <mergeCell ref="C7:I7"/>
    <mergeCell ref="C8:I8"/>
    <mergeCell ref="C9:I9"/>
    <mergeCell ref="C10:I10"/>
    <mergeCell ref="C11:I11"/>
    <mergeCell ref="C24:I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4.55"/>
    <col collapsed="false" customWidth="true" hidden="false" outlineLevel="0" max="2" min="2" style="0" width="8.19"/>
    <col collapsed="false" customWidth="true" hidden="false" outlineLevel="0" max="3" min="3" style="0" width="5.46"/>
    <col collapsed="false" customWidth="true" hidden="false" outlineLevel="0" max="5" min="4" style="0" width="6.37"/>
    <col collapsed="false" customWidth="true" hidden="false" outlineLevel="0" max="6" min="6" style="0" width="36.39"/>
    <col collapsed="false" customWidth="true" hidden="false" outlineLevel="0" max="7" min="7" style="0" width="63.69"/>
    <col collapsed="false" customWidth="true" hidden="false" outlineLevel="0" max="8" min="8" style="0" width="21.84"/>
    <col collapsed="false" customWidth="true" hidden="false" outlineLevel="0" max="9" min="9" style="0" width="16.38"/>
    <col collapsed="false" customWidth="true" hidden="false" outlineLevel="0" max="11" min="10" style="0" width="8.19"/>
    <col collapsed="false" customWidth="true" hidden="false" outlineLevel="0" max="12" min="12" style="0" width="7.28"/>
    <col collapsed="false" customWidth="true" hidden="false" outlineLevel="0" max="13" min="13" style="0" width="27.3"/>
  </cols>
  <sheetData>
    <row r="1" customFormat="false" ht="44" hidden="false" customHeight="false" outlineLevel="0" collapsed="false">
      <c r="A1" s="8" t="s">
        <v>53</v>
      </c>
      <c r="B1" s="4" t="s">
        <v>21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62</v>
      </c>
      <c r="L1" s="4" t="s">
        <v>63</v>
      </c>
      <c r="M1" s="4" t="s">
        <v>64</v>
      </c>
    </row>
    <row r="2" customFormat="false" ht="15" hidden="false" customHeight="false" outlineLevel="0" collapsed="false">
      <c r="A2" s="9" t="str">
        <f aca="false">"1. 시작 — 공장의 값이 업무가 되기까지, 우리가 끝까지 만들 것을 먼저 본다  ("&amp;SUM(L3:L9)&amp;"분)"</f>
        <v>1. 시작 — 공장의 값이 업무가 되기까지, 우리가 끝까지 만들 것을 먼저 본다  (140분)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customFormat="false" ht="29.85" hidden="false" customHeight="false" outlineLevel="0" collapsed="false">
      <c r="A3" s="10" t="n">
        <v>1</v>
      </c>
      <c r="B3" s="11" t="s">
        <v>65</v>
      </c>
      <c r="C3" s="11" t="s">
        <v>65</v>
      </c>
      <c r="D3" s="11"/>
      <c r="E3" s="10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5" t="n">
        <f aca="false">SUMIFS('07_시간 근거'!$F$2:$F$552,'07_시간 근거'!$A$2:$A$552,$E3,'07_시간 근거'!$E$2:$E$552,"개념 설명")</f>
        <v>8</v>
      </c>
      <c r="K3" s="5" t="n">
        <f aca="false">SUMIFS('07_시간 근거'!$F$2:$F$552,'07_시간 근거'!$A$2:$A$552,$E3,'07_시간 근거'!$E$2:$E$552,"시연·실습")</f>
        <v>0</v>
      </c>
      <c r="L3" s="5" t="n">
        <f aca="false">J3+K3</f>
        <v>8</v>
      </c>
      <c r="M3" s="2"/>
    </row>
    <row r="4" customFormat="false" ht="29.85" hidden="false" customHeight="false" outlineLevel="0" collapsed="false">
      <c r="A4" s="11" t="n">
        <v>2</v>
      </c>
      <c r="B4" s="11" t="s">
        <v>65</v>
      </c>
      <c r="C4" s="11" t="s">
        <v>65</v>
      </c>
      <c r="D4" s="11"/>
      <c r="E4" s="10" t="s">
        <v>71</v>
      </c>
      <c r="F4" s="2" t="s">
        <v>72</v>
      </c>
      <c r="G4" s="3" t="s">
        <v>73</v>
      </c>
      <c r="H4" s="3" t="s">
        <v>74</v>
      </c>
      <c r="I4" s="2" t="s">
        <v>75</v>
      </c>
      <c r="J4" s="5" t="n">
        <f aca="false">SUMIFS('07_시간 근거'!$F$2:$F$552,'07_시간 근거'!$A$2:$A$552,$E4,'07_시간 근거'!$E$2:$E$552,"개념 설명")</f>
        <v>4</v>
      </c>
      <c r="K4" s="5" t="n">
        <f aca="false">SUMIFS('07_시간 근거'!$F$2:$F$552,'07_시간 근거'!$A$2:$A$552,$E4,'07_시간 근거'!$E$2:$E$552,"시연·실습")</f>
        <v>18</v>
      </c>
      <c r="L4" s="5" t="n">
        <f aca="false">J4+K4</f>
        <v>22</v>
      </c>
      <c r="M4" s="2"/>
    </row>
    <row r="5" customFormat="false" ht="44" hidden="false" customHeight="false" outlineLevel="0" collapsed="false">
      <c r="A5" s="11" t="n">
        <v>3</v>
      </c>
      <c r="B5" s="11" t="s">
        <v>65</v>
      </c>
      <c r="C5" s="11" t="s">
        <v>65</v>
      </c>
      <c r="D5" s="11"/>
      <c r="E5" s="10" t="s">
        <v>76</v>
      </c>
      <c r="F5" s="2" t="s">
        <v>77</v>
      </c>
      <c r="G5" s="2" t="s">
        <v>78</v>
      </c>
      <c r="H5" s="3" t="s">
        <v>79</v>
      </c>
      <c r="I5" s="2" t="s">
        <v>80</v>
      </c>
      <c r="J5" s="5" t="n">
        <f aca="false">SUMIFS('07_시간 근거'!$F$2:$F$552,'07_시간 근거'!$A$2:$A$552,$E5,'07_시간 근거'!$E$2:$E$552,"개념 설명")</f>
        <v>17</v>
      </c>
      <c r="K5" s="5" t="n">
        <f aca="false">SUMIFS('07_시간 근거'!$F$2:$F$552,'07_시간 근거'!$A$2:$A$552,$E5,'07_시간 근거'!$E$2:$E$552,"시연·실습")</f>
        <v>10</v>
      </c>
      <c r="L5" s="5" t="n">
        <f aca="false">J5+K5</f>
        <v>27</v>
      </c>
      <c r="M5" s="2"/>
    </row>
    <row r="6" customFormat="false" ht="29.85" hidden="false" customHeight="false" outlineLevel="0" collapsed="false">
      <c r="A6" s="11" t="n">
        <v>4</v>
      </c>
      <c r="B6" s="11" t="s">
        <v>65</v>
      </c>
      <c r="C6" s="11" t="s">
        <v>65</v>
      </c>
      <c r="D6" s="11"/>
      <c r="E6" s="10" t="s">
        <v>81</v>
      </c>
      <c r="F6" s="2" t="s">
        <v>82</v>
      </c>
      <c r="G6" s="2" t="s">
        <v>83</v>
      </c>
      <c r="H6" s="2" t="s">
        <v>84</v>
      </c>
      <c r="I6" s="2" t="s">
        <v>70</v>
      </c>
      <c r="J6" s="5" t="n">
        <f aca="false">SUMIFS('07_시간 근거'!$F$2:$F$552,'07_시간 근거'!$A$2:$A$552,$E6,'07_시간 근거'!$E$2:$E$552,"개념 설명")</f>
        <v>25</v>
      </c>
      <c r="K6" s="5" t="n">
        <f aca="false">SUMIFS('07_시간 근거'!$F$2:$F$552,'07_시간 근거'!$A$2:$A$552,$E6,'07_시간 근거'!$E$2:$E$552,"시연·실습")</f>
        <v>0</v>
      </c>
      <c r="L6" s="5" t="n">
        <f aca="false">J6+K6</f>
        <v>25</v>
      </c>
      <c r="M6" s="2"/>
    </row>
    <row r="7" customFormat="false" ht="29.85" hidden="false" customHeight="false" outlineLevel="0" collapsed="false">
      <c r="A7" s="11" t="n">
        <v>5</v>
      </c>
      <c r="B7" s="11" t="s">
        <v>65</v>
      </c>
      <c r="C7" s="11" t="s">
        <v>65</v>
      </c>
      <c r="D7" s="11"/>
      <c r="E7" s="10" t="s">
        <v>85</v>
      </c>
      <c r="F7" s="2" t="s">
        <v>86</v>
      </c>
      <c r="G7" s="2" t="s">
        <v>87</v>
      </c>
      <c r="H7" s="2" t="s">
        <v>88</v>
      </c>
      <c r="I7" s="2" t="s">
        <v>89</v>
      </c>
      <c r="J7" s="5" t="n">
        <f aca="false">SUMIFS('07_시간 근거'!$F$2:$F$552,'07_시간 근거'!$A$2:$A$552,$E7,'07_시간 근거'!$E$2:$E$552,"개념 설명")</f>
        <v>19</v>
      </c>
      <c r="K7" s="5" t="n">
        <f aca="false">SUMIFS('07_시간 근거'!$F$2:$F$552,'07_시간 근거'!$A$2:$A$552,$E7,'07_시간 근거'!$E$2:$E$552,"시연·실습")</f>
        <v>8</v>
      </c>
      <c r="L7" s="5" t="n">
        <f aca="false">J7+K7</f>
        <v>27</v>
      </c>
      <c r="M7" s="2"/>
    </row>
    <row r="8" customFormat="false" ht="72.35" hidden="false" customHeight="false" outlineLevel="0" collapsed="false">
      <c r="A8" s="11" t="n">
        <v>6</v>
      </c>
      <c r="B8" s="11" t="s">
        <v>65</v>
      </c>
      <c r="C8" s="11" t="s">
        <v>65</v>
      </c>
      <c r="D8" s="11"/>
      <c r="E8" s="10" t="s">
        <v>90</v>
      </c>
      <c r="F8" s="2" t="s">
        <v>91</v>
      </c>
      <c r="G8" s="2" t="s">
        <v>92</v>
      </c>
      <c r="H8" s="2" t="s">
        <v>93</v>
      </c>
      <c r="I8" s="2" t="s">
        <v>46</v>
      </c>
      <c r="J8" s="5" t="n">
        <f aca="false">SUMIFS('07_시간 근거'!$F$2:$F$552,'07_시간 근거'!$A$2:$A$552,$E8,'07_시간 근거'!$E$2:$E$552,"개념 설명")</f>
        <v>16</v>
      </c>
      <c r="K8" s="5" t="n">
        <f aca="false">SUMIFS('07_시간 근거'!$F$2:$F$552,'07_시간 근거'!$A$2:$A$552,$E8,'07_시간 근거'!$E$2:$E$552,"시연·실습")</f>
        <v>6</v>
      </c>
      <c r="L8" s="5" t="n">
        <f aca="false">J8+K8</f>
        <v>22</v>
      </c>
      <c r="M8" s="3" t="s">
        <v>94</v>
      </c>
    </row>
    <row r="9" customFormat="false" ht="29.85" hidden="false" customHeight="false" outlineLevel="0" collapsed="false">
      <c r="A9" s="11" t="n">
        <v>7</v>
      </c>
      <c r="B9" s="11" t="s">
        <v>65</v>
      </c>
      <c r="C9" s="11" t="s">
        <v>65</v>
      </c>
      <c r="D9" s="11"/>
      <c r="E9" s="10" t="s">
        <v>95</v>
      </c>
      <c r="F9" s="2" t="s">
        <v>96</v>
      </c>
      <c r="G9" s="2" t="s">
        <v>97</v>
      </c>
      <c r="H9" s="2" t="s">
        <v>98</v>
      </c>
      <c r="I9" s="2" t="s">
        <v>99</v>
      </c>
      <c r="J9" s="5" t="n">
        <f aca="false">SUMIFS('07_시간 근거'!$F$2:$F$552,'07_시간 근거'!$A$2:$A$552,$E9,'07_시간 근거'!$E$2:$E$552,"개념 설명")</f>
        <v>0</v>
      </c>
      <c r="K9" s="5" t="n">
        <f aca="false">SUMIFS('07_시간 근거'!$F$2:$F$552,'07_시간 근거'!$A$2:$A$552,$E9,'07_시간 근거'!$E$2:$E$552,"시연·실습")</f>
        <v>9</v>
      </c>
      <c r="L9" s="5" t="n">
        <f aca="false">J9+K9</f>
        <v>9</v>
      </c>
      <c r="M9" s="2"/>
    </row>
    <row r="10" customFormat="false" ht="15" hidden="false" customHeight="false" outlineLevel="0" collapsed="false">
      <c r="A10" s="9" t="str">
        <f aca="false">"2. 온톨로지 — 문서를 공장의 지식 지도로 만들면 AI가 근거를 들고 답한다  ("&amp;SUM(L11:L48)&amp;"분)"</f>
        <v>2. 온톨로지 — 문서를 공장의 지식 지도로 만들면 AI가 근거를 들고 답한다  (833분)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customFormat="false" ht="72.35" hidden="false" customHeight="false" outlineLevel="0" collapsed="false">
      <c r="A11" s="12" t="n">
        <v>8</v>
      </c>
      <c r="B11" s="13" t="s">
        <v>100</v>
      </c>
      <c r="C11" s="13" t="s">
        <v>7</v>
      </c>
      <c r="D11" s="13"/>
      <c r="E11" s="12" t="s">
        <v>101</v>
      </c>
      <c r="F11" s="3" t="s">
        <v>102</v>
      </c>
      <c r="G11" s="2" t="s">
        <v>103</v>
      </c>
      <c r="H11" s="2" t="s">
        <v>104</v>
      </c>
      <c r="I11" s="2" t="s">
        <v>70</v>
      </c>
      <c r="J11" s="5" t="n">
        <f aca="false">SUMIFS('07_시간 근거'!$F$2:$F$552,'07_시간 근거'!$A$2:$A$552,$E11,'07_시간 근거'!$E$2:$E$552,"개념 설명")</f>
        <v>29</v>
      </c>
      <c r="K11" s="5" t="n">
        <f aca="false">SUMIFS('07_시간 근거'!$F$2:$F$552,'07_시간 근거'!$A$2:$A$552,$E11,'07_시간 근거'!$E$2:$E$552,"시연·실습")</f>
        <v>0</v>
      </c>
      <c r="L11" s="5" t="n">
        <f aca="false">J11+K11</f>
        <v>29</v>
      </c>
      <c r="M11" s="2"/>
    </row>
    <row r="12" customFormat="false" ht="86.55" hidden="false" customHeight="false" outlineLevel="0" collapsed="false">
      <c r="A12" s="13" t="n">
        <v>9</v>
      </c>
      <c r="B12" s="13" t="s">
        <v>100</v>
      </c>
      <c r="C12" s="13" t="s">
        <v>7</v>
      </c>
      <c r="D12" s="13"/>
      <c r="E12" s="12" t="s">
        <v>105</v>
      </c>
      <c r="F12" s="2" t="s">
        <v>106</v>
      </c>
      <c r="G12" s="2" t="s">
        <v>107</v>
      </c>
      <c r="H12" s="2" t="s">
        <v>108</v>
      </c>
      <c r="I12" s="2" t="s">
        <v>70</v>
      </c>
      <c r="J12" s="5" t="n">
        <f aca="false">SUMIFS('07_시간 근거'!$F$2:$F$552,'07_시간 근거'!$A$2:$A$552,$E12,'07_시간 근거'!$E$2:$E$552,"개념 설명")</f>
        <v>15</v>
      </c>
      <c r="K12" s="5" t="n">
        <f aca="false">SUMIFS('07_시간 근거'!$F$2:$F$552,'07_시간 근거'!$A$2:$A$552,$E12,'07_시간 근거'!$E$2:$E$552,"시연·실습")</f>
        <v>0</v>
      </c>
      <c r="L12" s="5" t="n">
        <f aca="false">J12+K12</f>
        <v>15</v>
      </c>
      <c r="M12" s="2"/>
    </row>
    <row r="13" customFormat="false" ht="58.2" hidden="false" customHeight="false" outlineLevel="0" collapsed="false">
      <c r="A13" s="13" t="n">
        <v>10</v>
      </c>
      <c r="B13" s="13" t="s">
        <v>100</v>
      </c>
      <c r="C13" s="13" t="s">
        <v>7</v>
      </c>
      <c r="D13" s="13"/>
      <c r="E13" s="12" t="s">
        <v>109</v>
      </c>
      <c r="F13" s="2" t="s">
        <v>110</v>
      </c>
      <c r="G13" s="2" t="s">
        <v>111</v>
      </c>
      <c r="H13" s="2" t="s">
        <v>112</v>
      </c>
      <c r="I13" s="2" t="s">
        <v>70</v>
      </c>
      <c r="J13" s="5" t="n">
        <f aca="false">SUMIFS('07_시간 근거'!$F$2:$F$552,'07_시간 근거'!$A$2:$A$552,$E13,'07_시간 근거'!$E$2:$E$552,"개념 설명")</f>
        <v>27</v>
      </c>
      <c r="K13" s="5" t="n">
        <f aca="false">SUMIFS('07_시간 근거'!$F$2:$F$552,'07_시간 근거'!$A$2:$A$552,$E13,'07_시간 근거'!$E$2:$E$552,"시연·실습")</f>
        <v>0</v>
      </c>
      <c r="L13" s="5" t="n">
        <f aca="false">J13+K13</f>
        <v>27</v>
      </c>
      <c r="M13" s="2"/>
    </row>
    <row r="14" customFormat="false" ht="58.2" hidden="false" customHeight="false" outlineLevel="0" collapsed="false">
      <c r="A14" s="13" t="n">
        <v>11</v>
      </c>
      <c r="B14" s="13" t="s">
        <v>100</v>
      </c>
      <c r="C14" s="13" t="s">
        <v>7</v>
      </c>
      <c r="D14" s="13"/>
      <c r="E14" s="12" t="s">
        <v>113</v>
      </c>
      <c r="F14" s="2" t="s">
        <v>114</v>
      </c>
      <c r="G14" s="2" t="s">
        <v>115</v>
      </c>
      <c r="H14" s="2" t="s">
        <v>116</v>
      </c>
      <c r="I14" s="2" t="s">
        <v>70</v>
      </c>
      <c r="J14" s="5" t="n">
        <f aca="false">SUMIFS('07_시간 근거'!$F$2:$F$552,'07_시간 근거'!$A$2:$A$552,$E14,'07_시간 근거'!$E$2:$E$552,"개념 설명")</f>
        <v>16</v>
      </c>
      <c r="K14" s="5" t="n">
        <f aca="false">SUMIFS('07_시간 근거'!$F$2:$F$552,'07_시간 근거'!$A$2:$A$552,$E14,'07_시간 근거'!$E$2:$E$552,"시연·실습")</f>
        <v>0</v>
      </c>
      <c r="L14" s="5" t="n">
        <f aca="false">J14+K14</f>
        <v>16</v>
      </c>
      <c r="M14" s="2"/>
    </row>
    <row r="15" customFormat="false" ht="55.2" hidden="false" customHeight="false" outlineLevel="0" collapsed="false">
      <c r="A15" s="13" t="n">
        <v>12</v>
      </c>
      <c r="B15" s="13" t="s">
        <v>100</v>
      </c>
      <c r="C15" s="13" t="s">
        <v>7</v>
      </c>
      <c r="D15" s="13"/>
      <c r="E15" s="12" t="s">
        <v>117</v>
      </c>
      <c r="F15" s="2" t="s">
        <v>118</v>
      </c>
      <c r="G15" s="2" t="s">
        <v>119</v>
      </c>
      <c r="H15" s="3" t="s">
        <v>120</v>
      </c>
      <c r="I15" s="2" t="s">
        <v>121</v>
      </c>
      <c r="J15" s="5" t="n">
        <f aca="false">SUMIFS('07_시간 근거'!$F$2:$F$552,'07_시간 근거'!$A$2:$A$552,$E15,'07_시간 근거'!$E$2:$E$552,"개념 설명")</f>
        <v>0</v>
      </c>
      <c r="K15" s="5" t="n">
        <f aca="false">SUMIFS('07_시간 근거'!$F$2:$F$552,'07_시간 근거'!$A$2:$A$552,$E15,'07_시간 근거'!$E$2:$E$552,"시연·실습")</f>
        <v>16</v>
      </c>
      <c r="L15" s="5" t="n">
        <f aca="false">J15+K15</f>
        <v>16</v>
      </c>
      <c r="M15" s="2"/>
    </row>
    <row r="16" customFormat="false" ht="58.2" hidden="false" customHeight="false" outlineLevel="0" collapsed="false">
      <c r="A16" s="13" t="n">
        <v>13</v>
      </c>
      <c r="B16" s="13" t="s">
        <v>100</v>
      </c>
      <c r="C16" s="13" t="s">
        <v>7</v>
      </c>
      <c r="D16" s="13"/>
      <c r="E16" s="12" t="s">
        <v>122</v>
      </c>
      <c r="F16" s="2" t="s">
        <v>123</v>
      </c>
      <c r="G16" s="2" t="s">
        <v>124</v>
      </c>
      <c r="H16" s="2" t="s">
        <v>125</v>
      </c>
      <c r="I16" s="2" t="s">
        <v>89</v>
      </c>
      <c r="J16" s="5" t="n">
        <f aca="false">SUMIFS('07_시간 근거'!$F$2:$F$552,'07_시간 근거'!$A$2:$A$552,$E16,'07_시간 근거'!$E$2:$E$552,"개념 설명")</f>
        <v>14</v>
      </c>
      <c r="K16" s="5" t="n">
        <f aca="false">SUMIFS('07_시간 근거'!$F$2:$F$552,'07_시간 근거'!$A$2:$A$552,$E16,'07_시간 근거'!$E$2:$E$552,"시연·실습")</f>
        <v>8</v>
      </c>
      <c r="L16" s="5" t="n">
        <f aca="false">J16+K16</f>
        <v>22</v>
      </c>
      <c r="M16" s="2"/>
    </row>
    <row r="17" customFormat="false" ht="86.55" hidden="false" customHeight="false" outlineLevel="0" collapsed="false">
      <c r="A17" s="13" t="n">
        <v>14</v>
      </c>
      <c r="B17" s="13" t="s">
        <v>100</v>
      </c>
      <c r="C17" s="13" t="s">
        <v>7</v>
      </c>
      <c r="D17" s="13"/>
      <c r="E17" s="12" t="s">
        <v>126</v>
      </c>
      <c r="F17" s="2" t="s">
        <v>127</v>
      </c>
      <c r="G17" s="2" t="s">
        <v>128</v>
      </c>
      <c r="H17" s="2" t="s">
        <v>129</v>
      </c>
      <c r="I17" s="2" t="s">
        <v>70</v>
      </c>
      <c r="J17" s="5" t="n">
        <f aca="false">SUMIFS('07_시간 근거'!$F$2:$F$552,'07_시간 근거'!$A$2:$A$552,$E17,'07_시간 근거'!$E$2:$E$552,"개념 설명")</f>
        <v>16</v>
      </c>
      <c r="K17" s="5" t="n">
        <f aca="false">SUMIFS('07_시간 근거'!$F$2:$F$552,'07_시간 근거'!$A$2:$A$552,$E17,'07_시간 근거'!$E$2:$E$552,"시연·실습")</f>
        <v>0</v>
      </c>
      <c r="L17" s="5" t="n">
        <f aca="false">J17+K17</f>
        <v>16</v>
      </c>
      <c r="M17" s="2"/>
    </row>
    <row r="18" customFormat="false" ht="58.2" hidden="false" customHeight="false" outlineLevel="0" collapsed="false">
      <c r="A18" s="13" t="n">
        <v>15</v>
      </c>
      <c r="B18" s="13" t="s">
        <v>100</v>
      </c>
      <c r="C18" s="13" t="s">
        <v>7</v>
      </c>
      <c r="D18" s="13"/>
      <c r="E18" s="12" t="s">
        <v>130</v>
      </c>
      <c r="F18" s="2" t="s">
        <v>131</v>
      </c>
      <c r="G18" s="2" t="s">
        <v>132</v>
      </c>
      <c r="H18" s="2" t="s">
        <v>133</v>
      </c>
      <c r="I18" s="2" t="s">
        <v>89</v>
      </c>
      <c r="J18" s="5" t="n">
        <f aca="false">SUMIFS('07_시간 근거'!$F$2:$F$552,'07_시간 근거'!$A$2:$A$552,$E18,'07_시간 근거'!$E$2:$E$552,"개념 설명")</f>
        <v>15</v>
      </c>
      <c r="K18" s="5" t="n">
        <f aca="false">SUMIFS('07_시간 근거'!$F$2:$F$552,'07_시간 근거'!$A$2:$A$552,$E18,'07_시간 근거'!$E$2:$E$552,"시연·실습")</f>
        <v>3</v>
      </c>
      <c r="L18" s="5" t="n">
        <f aca="false">J18+K18</f>
        <v>18</v>
      </c>
      <c r="M18" s="2"/>
    </row>
    <row r="19" customFormat="false" ht="72.35" hidden="false" customHeight="false" outlineLevel="0" collapsed="false">
      <c r="A19" s="13" t="n">
        <v>16</v>
      </c>
      <c r="B19" s="13" t="s">
        <v>100</v>
      </c>
      <c r="C19" s="13" t="s">
        <v>7</v>
      </c>
      <c r="D19" s="13"/>
      <c r="E19" s="12" t="s">
        <v>134</v>
      </c>
      <c r="F19" s="2" t="s">
        <v>135</v>
      </c>
      <c r="G19" s="2" t="s">
        <v>136</v>
      </c>
      <c r="H19" s="2" t="s">
        <v>137</v>
      </c>
      <c r="I19" s="2" t="s">
        <v>89</v>
      </c>
      <c r="J19" s="5" t="n">
        <f aca="false">SUMIFS('07_시간 근거'!$F$2:$F$552,'07_시간 근거'!$A$2:$A$552,$E19,'07_시간 근거'!$E$2:$E$552,"개념 설명")</f>
        <v>21</v>
      </c>
      <c r="K19" s="5" t="n">
        <f aca="false">SUMIFS('07_시간 근거'!$F$2:$F$552,'07_시간 근거'!$A$2:$A$552,$E19,'07_시간 근거'!$E$2:$E$552,"시연·실습")</f>
        <v>10</v>
      </c>
      <c r="L19" s="5" t="n">
        <f aca="false">J19+K19</f>
        <v>31</v>
      </c>
      <c r="M19" s="2"/>
    </row>
    <row r="20" customFormat="false" ht="72.35" hidden="false" customHeight="false" outlineLevel="0" collapsed="false">
      <c r="A20" s="13" t="n">
        <v>17</v>
      </c>
      <c r="B20" s="13" t="s">
        <v>100</v>
      </c>
      <c r="C20" s="13" t="s">
        <v>7</v>
      </c>
      <c r="D20" s="13"/>
      <c r="E20" s="12" t="s">
        <v>138</v>
      </c>
      <c r="F20" s="2" t="s">
        <v>139</v>
      </c>
      <c r="G20" s="2" t="s">
        <v>140</v>
      </c>
      <c r="H20" s="2" t="s">
        <v>141</v>
      </c>
      <c r="I20" s="2" t="s">
        <v>142</v>
      </c>
      <c r="J20" s="5" t="n">
        <f aca="false">SUMIFS('07_시간 근거'!$F$2:$F$552,'07_시간 근거'!$A$2:$A$552,$E20,'07_시간 근거'!$E$2:$E$552,"개념 설명")</f>
        <v>24</v>
      </c>
      <c r="K20" s="5" t="n">
        <f aca="false">SUMIFS('07_시간 근거'!$F$2:$F$552,'07_시간 근거'!$A$2:$A$552,$E20,'07_시간 근거'!$E$2:$E$552,"시연·실습")</f>
        <v>6</v>
      </c>
      <c r="L20" s="5" t="n">
        <f aca="false">J20+K20</f>
        <v>30</v>
      </c>
      <c r="M20" s="2"/>
    </row>
    <row r="21" customFormat="false" ht="55.2" hidden="false" customHeight="false" outlineLevel="0" collapsed="false">
      <c r="A21" s="13" t="n">
        <v>18</v>
      </c>
      <c r="B21" s="13" t="s">
        <v>100</v>
      </c>
      <c r="C21" s="13" t="s">
        <v>7</v>
      </c>
      <c r="D21" s="13"/>
      <c r="E21" s="12" t="s">
        <v>143</v>
      </c>
      <c r="F21" s="2" t="s">
        <v>144</v>
      </c>
      <c r="G21" s="2" t="s">
        <v>145</v>
      </c>
      <c r="H21" s="2" t="s">
        <v>146</v>
      </c>
      <c r="I21" s="2" t="s">
        <v>142</v>
      </c>
      <c r="J21" s="5" t="n">
        <f aca="false">SUMIFS('07_시간 근거'!$F$2:$F$552,'07_시간 근거'!$A$2:$A$552,$E21,'07_시간 근거'!$E$2:$E$552,"개념 설명")</f>
        <v>8</v>
      </c>
      <c r="K21" s="5" t="n">
        <f aca="false">SUMIFS('07_시간 근거'!$F$2:$F$552,'07_시간 근거'!$A$2:$A$552,$E21,'07_시간 근거'!$E$2:$E$552,"시연·실습")</f>
        <v>7</v>
      </c>
      <c r="L21" s="5" t="n">
        <f aca="false">J21+K21</f>
        <v>15</v>
      </c>
      <c r="M21" s="2"/>
    </row>
    <row r="22" customFormat="false" ht="72.35" hidden="false" customHeight="false" outlineLevel="0" collapsed="false">
      <c r="A22" s="13" t="n">
        <v>19</v>
      </c>
      <c r="B22" s="13" t="s">
        <v>100</v>
      </c>
      <c r="C22" s="13" t="s">
        <v>7</v>
      </c>
      <c r="D22" s="13"/>
      <c r="E22" s="12" t="s">
        <v>147</v>
      </c>
      <c r="F22" s="2" t="s">
        <v>148</v>
      </c>
      <c r="G22" s="2" t="s">
        <v>149</v>
      </c>
      <c r="H22" s="2" t="s">
        <v>150</v>
      </c>
      <c r="I22" s="2" t="s">
        <v>89</v>
      </c>
      <c r="J22" s="5" t="n">
        <f aca="false">SUMIFS('07_시간 근거'!$F$2:$F$552,'07_시간 근거'!$A$2:$A$552,$E22,'07_시간 근거'!$E$2:$E$552,"개념 설명")</f>
        <v>0</v>
      </c>
      <c r="K22" s="5" t="n">
        <f aca="false">SUMIFS('07_시간 근거'!$F$2:$F$552,'07_시간 근거'!$A$2:$A$552,$E22,'07_시간 근거'!$E$2:$E$552,"시연·실습")</f>
        <v>10</v>
      </c>
      <c r="L22" s="5" t="n">
        <f aca="false">J22+K22</f>
        <v>10</v>
      </c>
      <c r="M22" s="2"/>
    </row>
    <row r="23" customFormat="false" ht="55.2" hidden="false" customHeight="false" outlineLevel="0" collapsed="false">
      <c r="A23" s="13" t="n">
        <v>20</v>
      </c>
      <c r="B23" s="13" t="s">
        <v>100</v>
      </c>
      <c r="C23" s="13" t="s">
        <v>7</v>
      </c>
      <c r="D23" s="13"/>
      <c r="E23" s="12" t="s">
        <v>151</v>
      </c>
      <c r="F23" s="2" t="s">
        <v>152</v>
      </c>
      <c r="G23" s="2" t="s">
        <v>153</v>
      </c>
      <c r="H23" s="2" t="s">
        <v>154</v>
      </c>
      <c r="I23" s="2" t="s">
        <v>89</v>
      </c>
      <c r="J23" s="5" t="n">
        <f aca="false">SUMIFS('07_시간 근거'!$F$2:$F$552,'07_시간 근거'!$A$2:$A$552,$E23,'07_시간 근거'!$E$2:$E$552,"개념 설명")</f>
        <v>19</v>
      </c>
      <c r="K23" s="5" t="n">
        <f aca="false">SUMIFS('07_시간 근거'!$F$2:$F$552,'07_시간 근거'!$A$2:$A$552,$E23,'07_시간 근거'!$E$2:$E$552,"시연·실습")</f>
        <v>0</v>
      </c>
      <c r="L23" s="5" t="n">
        <f aca="false">J23+K23</f>
        <v>19</v>
      </c>
      <c r="M23" s="2"/>
    </row>
    <row r="24" customFormat="false" ht="72.35" hidden="false" customHeight="false" outlineLevel="0" collapsed="false">
      <c r="A24" s="13" t="n">
        <v>21</v>
      </c>
      <c r="B24" s="13" t="s">
        <v>100</v>
      </c>
      <c r="C24" s="13" t="s">
        <v>7</v>
      </c>
      <c r="D24" s="13"/>
      <c r="E24" s="12" t="s">
        <v>155</v>
      </c>
      <c r="F24" s="2" t="s">
        <v>156</v>
      </c>
      <c r="G24" s="2" t="s">
        <v>157</v>
      </c>
      <c r="H24" s="2" t="s">
        <v>158</v>
      </c>
      <c r="I24" s="2" t="s">
        <v>70</v>
      </c>
      <c r="J24" s="5" t="n">
        <f aca="false">SUMIFS('07_시간 근거'!$F$2:$F$552,'07_시간 근거'!$A$2:$A$552,$E24,'07_시간 근거'!$E$2:$E$552,"개념 설명")</f>
        <v>0</v>
      </c>
      <c r="K24" s="5" t="n">
        <f aca="false">SUMIFS('07_시간 근거'!$F$2:$F$552,'07_시간 근거'!$A$2:$A$552,$E24,'07_시간 근거'!$E$2:$E$552,"시연·실습")</f>
        <v>12</v>
      </c>
      <c r="L24" s="5" t="n">
        <f aca="false">J24+K24</f>
        <v>12</v>
      </c>
      <c r="M24" s="2"/>
    </row>
    <row r="25" customFormat="false" ht="58.2" hidden="false" customHeight="false" outlineLevel="0" collapsed="false">
      <c r="A25" s="14" t="n">
        <v>22</v>
      </c>
      <c r="B25" s="15" t="s">
        <v>100</v>
      </c>
      <c r="C25" s="15" t="s">
        <v>9</v>
      </c>
      <c r="D25" s="15" t="s">
        <v>159</v>
      </c>
      <c r="E25" s="14" t="s">
        <v>160</v>
      </c>
      <c r="F25" s="2" t="s">
        <v>161</v>
      </c>
      <c r="G25" s="2" t="s">
        <v>162</v>
      </c>
      <c r="H25" s="2" t="s">
        <v>163</v>
      </c>
      <c r="I25" s="2" t="s">
        <v>164</v>
      </c>
      <c r="J25" s="5" t="n">
        <f aca="false">SUMIFS('07_시간 근거'!$F$2:$F$552,'07_시간 근거'!$A$2:$A$552,$E25,'07_시간 근거'!$E$2:$E$552,"개념 설명")</f>
        <v>10</v>
      </c>
      <c r="K25" s="5" t="n">
        <f aca="false">SUMIFS('07_시간 근거'!$F$2:$F$552,'07_시간 근거'!$A$2:$A$552,$E25,'07_시간 근거'!$E$2:$E$552,"시연·실습")</f>
        <v>0</v>
      </c>
      <c r="L25" s="5" t="n">
        <f aca="false">J25+K25</f>
        <v>10</v>
      </c>
      <c r="M25" s="2"/>
    </row>
    <row r="26" customFormat="false" ht="44" hidden="false" customHeight="false" outlineLevel="0" collapsed="false">
      <c r="A26" s="15" t="n">
        <v>23</v>
      </c>
      <c r="B26" s="15" t="s">
        <v>100</v>
      </c>
      <c r="C26" s="15" t="s">
        <v>9</v>
      </c>
      <c r="D26" s="14" t="s">
        <v>33</v>
      </c>
      <c r="E26" s="14" t="s">
        <v>165</v>
      </c>
      <c r="F26" s="2" t="s">
        <v>166</v>
      </c>
      <c r="G26" s="2" t="s">
        <v>167</v>
      </c>
      <c r="H26" s="2" t="s">
        <v>168</v>
      </c>
      <c r="I26" s="2" t="s">
        <v>99</v>
      </c>
      <c r="J26" s="5" t="n">
        <f aca="false">SUMIFS('07_시간 근거'!$F$2:$F$552,'07_시간 근거'!$A$2:$A$552,$E26,'07_시간 근거'!$E$2:$E$552,"개념 설명")</f>
        <v>6</v>
      </c>
      <c r="K26" s="5" t="n">
        <f aca="false">SUMIFS('07_시간 근거'!$F$2:$F$552,'07_시간 근거'!$A$2:$A$552,$E26,'07_시간 근거'!$E$2:$E$552,"시연·실습")</f>
        <v>10</v>
      </c>
      <c r="L26" s="5" t="n">
        <f aca="false">J26+K26</f>
        <v>16</v>
      </c>
      <c r="M26" s="2" t="s">
        <v>169</v>
      </c>
    </row>
    <row r="27" customFormat="false" ht="72.35" hidden="false" customHeight="false" outlineLevel="0" collapsed="false">
      <c r="A27" s="15" t="n">
        <v>24</v>
      </c>
      <c r="B27" s="15" t="s">
        <v>100</v>
      </c>
      <c r="C27" s="15" t="s">
        <v>9</v>
      </c>
      <c r="D27" s="14" t="s">
        <v>33</v>
      </c>
      <c r="E27" s="14" t="s">
        <v>170</v>
      </c>
      <c r="F27" s="2" t="s">
        <v>171</v>
      </c>
      <c r="G27" s="3" t="s">
        <v>172</v>
      </c>
      <c r="H27" s="2" t="s">
        <v>173</v>
      </c>
      <c r="I27" s="2" t="s">
        <v>99</v>
      </c>
      <c r="J27" s="5" t="n">
        <f aca="false">SUMIFS('07_시간 근거'!$F$2:$F$552,'07_시간 근거'!$A$2:$A$552,$E27,'07_시간 근거'!$E$2:$E$552,"개념 설명")</f>
        <v>7</v>
      </c>
      <c r="K27" s="5" t="n">
        <f aca="false">SUMIFS('07_시간 근거'!$F$2:$F$552,'07_시간 근거'!$A$2:$A$552,$E27,'07_시간 근거'!$E$2:$E$552,"시연·실습")</f>
        <v>23</v>
      </c>
      <c r="L27" s="5" t="n">
        <f aca="false">J27+K27</f>
        <v>30</v>
      </c>
      <c r="M27" s="3" t="s">
        <v>174</v>
      </c>
    </row>
    <row r="28" customFormat="false" ht="44" hidden="false" customHeight="false" outlineLevel="0" collapsed="false">
      <c r="A28" s="15" t="n">
        <v>25</v>
      </c>
      <c r="B28" s="15" t="s">
        <v>100</v>
      </c>
      <c r="C28" s="15" t="s">
        <v>9</v>
      </c>
      <c r="D28" s="14" t="s">
        <v>33</v>
      </c>
      <c r="E28" s="14" t="s">
        <v>175</v>
      </c>
      <c r="F28" s="2" t="s">
        <v>176</v>
      </c>
      <c r="G28" s="3" t="s">
        <v>177</v>
      </c>
      <c r="H28" s="2" t="s">
        <v>178</v>
      </c>
      <c r="I28" s="2" t="s">
        <v>99</v>
      </c>
      <c r="J28" s="5" t="n">
        <f aca="false">SUMIFS('07_시간 근거'!$F$2:$F$552,'07_시간 근거'!$A$2:$A$552,$E28,'07_시간 근거'!$E$2:$E$552,"개념 설명")</f>
        <v>6</v>
      </c>
      <c r="K28" s="5" t="n">
        <f aca="false">SUMIFS('07_시간 근거'!$F$2:$F$552,'07_시간 근거'!$A$2:$A$552,$E28,'07_시간 근거'!$E$2:$E$552,"시연·실습")</f>
        <v>14</v>
      </c>
      <c r="L28" s="5" t="n">
        <f aca="false">J28+K28</f>
        <v>20</v>
      </c>
      <c r="M28" s="3" t="s">
        <v>179</v>
      </c>
    </row>
    <row r="29" customFormat="false" ht="44" hidden="false" customHeight="false" outlineLevel="0" collapsed="false">
      <c r="A29" s="15" t="n">
        <v>26</v>
      </c>
      <c r="B29" s="15" t="s">
        <v>100</v>
      </c>
      <c r="C29" s="15" t="s">
        <v>9</v>
      </c>
      <c r="D29" s="14" t="s">
        <v>33</v>
      </c>
      <c r="E29" s="14" t="s">
        <v>180</v>
      </c>
      <c r="F29" s="2" t="s">
        <v>181</v>
      </c>
      <c r="G29" s="3" t="s">
        <v>182</v>
      </c>
      <c r="H29" s="2" t="s">
        <v>183</v>
      </c>
      <c r="I29" s="2" t="s">
        <v>99</v>
      </c>
      <c r="J29" s="5" t="n">
        <f aca="false">SUMIFS('07_시간 근거'!$F$2:$F$552,'07_시간 근거'!$A$2:$A$552,$E29,'07_시간 근거'!$E$2:$E$552,"개념 설명")</f>
        <v>6</v>
      </c>
      <c r="K29" s="5" t="n">
        <f aca="false">SUMIFS('07_시간 근거'!$F$2:$F$552,'07_시간 근거'!$A$2:$A$552,$E29,'07_시간 근거'!$E$2:$E$552,"시연·실습")</f>
        <v>13</v>
      </c>
      <c r="L29" s="5" t="n">
        <f aca="false">J29+K29</f>
        <v>19</v>
      </c>
      <c r="M29" s="2" t="s">
        <v>169</v>
      </c>
    </row>
    <row r="30" customFormat="false" ht="72.35" hidden="false" customHeight="false" outlineLevel="0" collapsed="false">
      <c r="A30" s="15" t="n">
        <v>27</v>
      </c>
      <c r="B30" s="15" t="s">
        <v>100</v>
      </c>
      <c r="C30" s="15" t="s">
        <v>9</v>
      </c>
      <c r="D30" s="14" t="s">
        <v>184</v>
      </c>
      <c r="E30" s="14" t="s">
        <v>185</v>
      </c>
      <c r="F30" s="2" t="s">
        <v>186</v>
      </c>
      <c r="G30" s="3" t="s">
        <v>187</v>
      </c>
      <c r="H30" s="2" t="s">
        <v>188</v>
      </c>
      <c r="I30" s="2" t="s">
        <v>99</v>
      </c>
      <c r="J30" s="5" t="n">
        <f aca="false">SUMIFS('07_시간 근거'!$F$2:$F$552,'07_시간 근거'!$A$2:$A$552,$E30,'07_시간 근거'!$E$2:$E$552,"개념 설명")</f>
        <v>7</v>
      </c>
      <c r="K30" s="5" t="n">
        <f aca="false">SUMIFS('07_시간 근거'!$F$2:$F$552,'07_시간 근거'!$A$2:$A$552,$E30,'07_시간 근거'!$E$2:$E$552,"시연·실습")</f>
        <v>16</v>
      </c>
      <c r="L30" s="5" t="n">
        <f aca="false">J30+K30</f>
        <v>23</v>
      </c>
      <c r="M30" s="3" t="s">
        <v>189</v>
      </c>
    </row>
    <row r="31" customFormat="false" ht="44" hidden="false" customHeight="false" outlineLevel="0" collapsed="false">
      <c r="A31" s="15" t="n">
        <v>28</v>
      </c>
      <c r="B31" s="15" t="s">
        <v>100</v>
      </c>
      <c r="C31" s="15" t="s">
        <v>9</v>
      </c>
      <c r="D31" s="14" t="s">
        <v>184</v>
      </c>
      <c r="E31" s="14" t="s">
        <v>190</v>
      </c>
      <c r="F31" s="2" t="s">
        <v>191</v>
      </c>
      <c r="G31" s="3" t="s">
        <v>192</v>
      </c>
      <c r="H31" s="2" t="s">
        <v>193</v>
      </c>
      <c r="I31" s="2" t="s">
        <v>99</v>
      </c>
      <c r="J31" s="5" t="n">
        <f aca="false">SUMIFS('07_시간 근거'!$F$2:$F$552,'07_시간 근거'!$A$2:$A$552,$E31,'07_시간 근거'!$E$2:$E$552,"개념 설명")</f>
        <v>2</v>
      </c>
      <c r="K31" s="5" t="n">
        <f aca="false">SUMIFS('07_시간 근거'!$F$2:$F$552,'07_시간 근거'!$A$2:$A$552,$E31,'07_시간 근거'!$E$2:$E$552,"시연·실습")</f>
        <v>9</v>
      </c>
      <c r="L31" s="5" t="n">
        <f aca="false">J31+K31</f>
        <v>11</v>
      </c>
      <c r="M31" s="3" t="s">
        <v>194</v>
      </c>
    </row>
    <row r="32" customFormat="false" ht="44" hidden="false" customHeight="false" outlineLevel="0" collapsed="false">
      <c r="A32" s="15" t="n">
        <v>29</v>
      </c>
      <c r="B32" s="15" t="s">
        <v>100</v>
      </c>
      <c r="C32" s="15" t="s">
        <v>9</v>
      </c>
      <c r="D32" s="14" t="s">
        <v>184</v>
      </c>
      <c r="E32" s="14" t="s">
        <v>195</v>
      </c>
      <c r="F32" s="2" t="s">
        <v>196</v>
      </c>
      <c r="G32" s="3" t="s">
        <v>197</v>
      </c>
      <c r="H32" s="2" t="s">
        <v>198</v>
      </c>
      <c r="I32" s="2" t="s">
        <v>99</v>
      </c>
      <c r="J32" s="5" t="n">
        <f aca="false">SUMIFS('07_시간 근거'!$F$2:$F$552,'07_시간 근거'!$A$2:$A$552,$E32,'07_시간 근거'!$E$2:$E$552,"개념 설명")</f>
        <v>0</v>
      </c>
      <c r="K32" s="5" t="n">
        <f aca="false">SUMIFS('07_시간 근거'!$F$2:$F$552,'07_시간 근거'!$A$2:$A$552,$E32,'07_시간 근거'!$E$2:$E$552,"시연·실습")</f>
        <v>9</v>
      </c>
      <c r="L32" s="5" t="n">
        <f aca="false">J32+K32</f>
        <v>9</v>
      </c>
      <c r="M32" s="2" t="s">
        <v>199</v>
      </c>
    </row>
    <row r="33" customFormat="false" ht="58.2" hidden="false" customHeight="false" outlineLevel="0" collapsed="false">
      <c r="A33" s="15" t="n">
        <v>30</v>
      </c>
      <c r="B33" s="15" t="s">
        <v>100</v>
      </c>
      <c r="C33" s="15" t="s">
        <v>9</v>
      </c>
      <c r="D33" s="14" t="s">
        <v>200</v>
      </c>
      <c r="E33" s="14" t="s">
        <v>201</v>
      </c>
      <c r="F33" s="2" t="s">
        <v>202</v>
      </c>
      <c r="G33" s="3" t="s">
        <v>203</v>
      </c>
      <c r="H33" s="2" t="s">
        <v>204</v>
      </c>
      <c r="I33" s="2" t="s">
        <v>99</v>
      </c>
      <c r="J33" s="5" t="n">
        <f aca="false">SUMIFS('07_시간 근거'!$F$2:$F$552,'07_시간 근거'!$A$2:$A$552,$E33,'07_시간 근거'!$E$2:$E$552,"개념 설명")</f>
        <v>5</v>
      </c>
      <c r="K33" s="5" t="n">
        <f aca="false">SUMIFS('07_시간 근거'!$F$2:$F$552,'07_시간 근거'!$A$2:$A$552,$E33,'07_시간 근거'!$E$2:$E$552,"시연·실습")</f>
        <v>15</v>
      </c>
      <c r="L33" s="5" t="n">
        <f aca="false">J33+K33</f>
        <v>20</v>
      </c>
      <c r="M33" s="3" t="s">
        <v>205</v>
      </c>
    </row>
    <row r="34" customFormat="false" ht="29.85" hidden="false" customHeight="false" outlineLevel="0" collapsed="false">
      <c r="A34" s="15" t="n">
        <v>31</v>
      </c>
      <c r="B34" s="15" t="s">
        <v>100</v>
      </c>
      <c r="C34" s="15" t="s">
        <v>9</v>
      </c>
      <c r="D34" s="14" t="s">
        <v>200</v>
      </c>
      <c r="E34" s="14" t="s">
        <v>206</v>
      </c>
      <c r="F34" s="2" t="s">
        <v>207</v>
      </c>
      <c r="G34" s="3" t="s">
        <v>208</v>
      </c>
      <c r="H34" s="2" t="s">
        <v>209</v>
      </c>
      <c r="I34" s="2" t="s">
        <v>99</v>
      </c>
      <c r="J34" s="5" t="n">
        <f aca="false">SUMIFS('07_시간 근거'!$F$2:$F$552,'07_시간 근거'!$A$2:$A$552,$E34,'07_시간 근거'!$E$2:$E$552,"개념 설명")</f>
        <v>0</v>
      </c>
      <c r="K34" s="5" t="n">
        <f aca="false">SUMIFS('07_시간 근거'!$F$2:$F$552,'07_시간 근거'!$A$2:$A$552,$E34,'07_시간 근거'!$E$2:$E$552,"시연·실습")</f>
        <v>9</v>
      </c>
      <c r="L34" s="5" t="n">
        <f aca="false">J34+K34</f>
        <v>9</v>
      </c>
      <c r="M34" s="3" t="s">
        <v>210</v>
      </c>
    </row>
    <row r="35" customFormat="false" ht="29.85" hidden="false" customHeight="false" outlineLevel="0" collapsed="false">
      <c r="A35" s="15" t="n">
        <v>32</v>
      </c>
      <c r="B35" s="15" t="s">
        <v>100</v>
      </c>
      <c r="C35" s="15" t="s">
        <v>9</v>
      </c>
      <c r="D35" s="14" t="s">
        <v>200</v>
      </c>
      <c r="E35" s="14" t="s">
        <v>211</v>
      </c>
      <c r="F35" s="2" t="s">
        <v>212</v>
      </c>
      <c r="G35" s="3" t="s">
        <v>213</v>
      </c>
      <c r="H35" s="2" t="s">
        <v>198</v>
      </c>
      <c r="I35" s="2" t="s">
        <v>99</v>
      </c>
      <c r="J35" s="5" t="n">
        <f aca="false">SUMIFS('07_시간 근거'!$F$2:$F$552,'07_시간 근거'!$A$2:$A$552,$E35,'07_시간 근거'!$E$2:$E$552,"개념 설명")</f>
        <v>0</v>
      </c>
      <c r="K35" s="5" t="n">
        <f aca="false">SUMIFS('07_시간 근거'!$F$2:$F$552,'07_시간 근거'!$A$2:$A$552,$E35,'07_시간 근거'!$E$2:$E$552,"시연·실습")</f>
        <v>8</v>
      </c>
      <c r="L35" s="5" t="n">
        <f aca="false">J35+K35</f>
        <v>8</v>
      </c>
      <c r="M35" s="2" t="s">
        <v>214</v>
      </c>
    </row>
    <row r="36" customFormat="false" ht="29.85" hidden="false" customHeight="false" outlineLevel="0" collapsed="false">
      <c r="A36" s="15" t="n">
        <v>33</v>
      </c>
      <c r="B36" s="15" t="s">
        <v>100</v>
      </c>
      <c r="C36" s="15" t="s">
        <v>9</v>
      </c>
      <c r="D36" s="15" t="s">
        <v>215</v>
      </c>
      <c r="E36" s="14" t="s">
        <v>216</v>
      </c>
      <c r="F36" s="2" t="s">
        <v>217</v>
      </c>
      <c r="G36" s="3" t="s">
        <v>218</v>
      </c>
      <c r="H36" s="2" t="s">
        <v>219</v>
      </c>
      <c r="I36" s="2" t="s">
        <v>99</v>
      </c>
      <c r="J36" s="5" t="n">
        <f aca="false">SUMIFS('07_시간 근거'!$F$2:$F$552,'07_시간 근거'!$A$2:$A$552,$E36,'07_시간 근거'!$E$2:$E$552,"개념 설명")</f>
        <v>3</v>
      </c>
      <c r="K36" s="5" t="n">
        <f aca="false">SUMIFS('07_시간 근거'!$F$2:$F$552,'07_시간 근거'!$A$2:$A$552,$E36,'07_시간 근거'!$E$2:$E$552,"시연·실습")</f>
        <v>2</v>
      </c>
      <c r="L36" s="5" t="n">
        <f aca="false">J36+K36</f>
        <v>5</v>
      </c>
      <c r="M36" s="2" t="s">
        <v>215</v>
      </c>
    </row>
    <row r="37" customFormat="false" ht="44" hidden="false" customHeight="false" outlineLevel="0" collapsed="false">
      <c r="A37" s="16" t="n">
        <v>34</v>
      </c>
      <c r="B37" s="17" t="s">
        <v>100</v>
      </c>
      <c r="C37" s="17" t="s">
        <v>11</v>
      </c>
      <c r="D37" s="17"/>
      <c r="E37" s="16" t="s">
        <v>220</v>
      </c>
      <c r="F37" s="2" t="s">
        <v>221</v>
      </c>
      <c r="G37" s="2" t="s">
        <v>222</v>
      </c>
      <c r="H37" s="2" t="s">
        <v>223</v>
      </c>
      <c r="I37" s="2" t="s">
        <v>224</v>
      </c>
      <c r="J37" s="5" t="n">
        <f aca="false">SUMIFS('07_시간 근거'!$F$2:$F$552,'07_시간 근거'!$A$2:$A$552,$E37,'07_시간 근거'!$E$2:$E$552,"개념 설명")</f>
        <v>5</v>
      </c>
      <c r="K37" s="5" t="n">
        <f aca="false">SUMIFS('07_시간 근거'!$F$2:$F$552,'07_시간 근거'!$A$2:$A$552,$E37,'07_시간 근거'!$E$2:$E$552,"시연·실습")</f>
        <v>38</v>
      </c>
      <c r="L37" s="5" t="n">
        <f aca="false">J37+K37</f>
        <v>43</v>
      </c>
      <c r="M37" s="3" t="s">
        <v>225</v>
      </c>
    </row>
    <row r="38" customFormat="false" ht="44" hidden="false" customHeight="false" outlineLevel="0" collapsed="false">
      <c r="A38" s="17" t="n">
        <v>35</v>
      </c>
      <c r="B38" s="17" t="s">
        <v>100</v>
      </c>
      <c r="C38" s="17" t="s">
        <v>11</v>
      </c>
      <c r="D38" s="17"/>
      <c r="E38" s="16" t="s">
        <v>226</v>
      </c>
      <c r="F38" s="2" t="s">
        <v>227</v>
      </c>
      <c r="G38" s="3" t="s">
        <v>228</v>
      </c>
      <c r="H38" s="2" t="s">
        <v>229</v>
      </c>
      <c r="I38" s="2" t="s">
        <v>230</v>
      </c>
      <c r="J38" s="5" t="n">
        <f aca="false">SUMIFS('07_시간 근거'!$F$2:$F$552,'07_시간 근거'!$A$2:$A$552,$E38,'07_시간 근거'!$E$2:$E$552,"개념 설명")</f>
        <v>0</v>
      </c>
      <c r="K38" s="5" t="n">
        <f aca="false">SUMIFS('07_시간 근거'!$F$2:$F$552,'07_시간 근거'!$A$2:$A$552,$E38,'07_시간 근거'!$E$2:$E$552,"시연·실습")</f>
        <v>8</v>
      </c>
      <c r="L38" s="5" t="n">
        <f aca="false">J38+K38</f>
        <v>8</v>
      </c>
      <c r="M38" s="2" t="s">
        <v>231</v>
      </c>
    </row>
    <row r="39" customFormat="false" ht="58.2" hidden="false" customHeight="false" outlineLevel="0" collapsed="false">
      <c r="A39" s="17" t="n">
        <v>36</v>
      </c>
      <c r="B39" s="17" t="s">
        <v>100</v>
      </c>
      <c r="C39" s="17" t="s">
        <v>11</v>
      </c>
      <c r="D39" s="17"/>
      <c r="E39" s="16" t="s">
        <v>232</v>
      </c>
      <c r="F39" s="2" t="s">
        <v>233</v>
      </c>
      <c r="G39" s="2" t="s">
        <v>234</v>
      </c>
      <c r="H39" s="2" t="s">
        <v>235</v>
      </c>
      <c r="I39" s="2" t="s">
        <v>224</v>
      </c>
      <c r="J39" s="5" t="n">
        <f aca="false">SUMIFS('07_시간 근거'!$F$2:$F$552,'07_시간 근거'!$A$2:$A$552,$E39,'07_시간 근거'!$E$2:$E$552,"개념 설명")</f>
        <v>8</v>
      </c>
      <c r="K39" s="5" t="n">
        <f aca="false">SUMIFS('07_시간 근거'!$F$2:$F$552,'07_시간 근거'!$A$2:$A$552,$E39,'07_시간 근거'!$E$2:$E$552,"시연·실습")</f>
        <v>26</v>
      </c>
      <c r="L39" s="5" t="n">
        <f aca="false">J39+K39</f>
        <v>34</v>
      </c>
      <c r="M39" s="3" t="s">
        <v>236</v>
      </c>
    </row>
    <row r="40" customFormat="false" ht="44" hidden="false" customHeight="false" outlineLevel="0" collapsed="false">
      <c r="A40" s="17" t="n">
        <v>37</v>
      </c>
      <c r="B40" s="17" t="s">
        <v>100</v>
      </c>
      <c r="C40" s="17" t="s">
        <v>11</v>
      </c>
      <c r="D40" s="17"/>
      <c r="E40" s="16" t="s">
        <v>237</v>
      </c>
      <c r="F40" s="2" t="s">
        <v>238</v>
      </c>
      <c r="G40" s="2" t="s">
        <v>239</v>
      </c>
      <c r="H40" s="2" t="s">
        <v>240</v>
      </c>
      <c r="I40" s="2" t="s">
        <v>224</v>
      </c>
      <c r="J40" s="5" t="n">
        <f aca="false">SUMIFS('07_시간 근거'!$F$2:$F$552,'07_시간 근거'!$A$2:$A$552,$E40,'07_시간 근거'!$E$2:$E$552,"개념 설명")</f>
        <v>6</v>
      </c>
      <c r="K40" s="5" t="n">
        <f aca="false">SUMIFS('07_시간 근거'!$F$2:$F$552,'07_시간 근거'!$A$2:$A$552,$E40,'07_시간 근거'!$E$2:$E$552,"시연·실습")</f>
        <v>26</v>
      </c>
      <c r="L40" s="5" t="n">
        <f aca="false">J40+K40</f>
        <v>32</v>
      </c>
      <c r="M40" s="3" t="s">
        <v>241</v>
      </c>
    </row>
    <row r="41" customFormat="false" ht="44" hidden="false" customHeight="false" outlineLevel="0" collapsed="false">
      <c r="A41" s="17" t="n">
        <v>38</v>
      </c>
      <c r="B41" s="17" t="s">
        <v>100</v>
      </c>
      <c r="C41" s="17" t="s">
        <v>11</v>
      </c>
      <c r="D41" s="17"/>
      <c r="E41" s="16" t="s">
        <v>242</v>
      </c>
      <c r="F41" s="2" t="s">
        <v>243</v>
      </c>
      <c r="G41" s="2" t="s">
        <v>244</v>
      </c>
      <c r="H41" s="2" t="s">
        <v>245</v>
      </c>
      <c r="I41" s="2" t="s">
        <v>224</v>
      </c>
      <c r="J41" s="5" t="n">
        <f aca="false">SUMIFS('07_시간 근거'!$F$2:$F$552,'07_시간 근거'!$A$2:$A$552,$E41,'07_시간 근거'!$E$2:$E$552,"개념 설명")</f>
        <v>7</v>
      </c>
      <c r="K41" s="5" t="n">
        <f aca="false">SUMIFS('07_시간 근거'!$F$2:$F$552,'07_시간 근거'!$A$2:$A$552,$E41,'07_시간 근거'!$E$2:$E$552,"시연·실습")</f>
        <v>31</v>
      </c>
      <c r="L41" s="5" t="n">
        <f aca="false">J41+K41</f>
        <v>38</v>
      </c>
      <c r="M41" s="3" t="s">
        <v>246</v>
      </c>
    </row>
    <row r="42" customFormat="false" ht="44" hidden="false" customHeight="false" outlineLevel="0" collapsed="false">
      <c r="A42" s="17" t="n">
        <v>39</v>
      </c>
      <c r="B42" s="17" t="s">
        <v>100</v>
      </c>
      <c r="C42" s="17" t="s">
        <v>11</v>
      </c>
      <c r="D42" s="17"/>
      <c r="E42" s="16" t="s">
        <v>247</v>
      </c>
      <c r="F42" s="2" t="s">
        <v>248</v>
      </c>
      <c r="G42" s="2" t="s">
        <v>249</v>
      </c>
      <c r="H42" s="2" t="s">
        <v>250</v>
      </c>
      <c r="I42" s="2" t="s">
        <v>224</v>
      </c>
      <c r="J42" s="5" t="n">
        <f aca="false">SUMIFS('07_시간 근거'!$F$2:$F$552,'07_시간 근거'!$A$2:$A$552,$E42,'07_시간 근거'!$E$2:$E$552,"개념 설명")</f>
        <v>7</v>
      </c>
      <c r="K42" s="5" t="n">
        <f aca="false">SUMIFS('07_시간 근거'!$F$2:$F$552,'07_시간 근거'!$A$2:$A$552,$E42,'07_시간 근거'!$E$2:$E$552,"시연·실습")</f>
        <v>33</v>
      </c>
      <c r="L42" s="5" t="n">
        <f aca="false">J42+K42</f>
        <v>40</v>
      </c>
      <c r="M42" s="3" t="s">
        <v>251</v>
      </c>
    </row>
    <row r="43" customFormat="false" ht="44" hidden="false" customHeight="false" outlineLevel="0" collapsed="false">
      <c r="A43" s="17" t="n">
        <v>40</v>
      </c>
      <c r="B43" s="17" t="s">
        <v>100</v>
      </c>
      <c r="C43" s="17" t="s">
        <v>11</v>
      </c>
      <c r="D43" s="17"/>
      <c r="E43" s="16" t="s">
        <v>252</v>
      </c>
      <c r="F43" s="2" t="s">
        <v>253</v>
      </c>
      <c r="G43" s="2" t="s">
        <v>254</v>
      </c>
      <c r="H43" s="2" t="s">
        <v>255</v>
      </c>
      <c r="I43" s="2" t="s">
        <v>224</v>
      </c>
      <c r="J43" s="5" t="n">
        <f aca="false">SUMIFS('07_시간 근거'!$F$2:$F$552,'07_시간 근거'!$A$2:$A$552,$E43,'07_시간 근거'!$E$2:$E$552,"개념 설명")</f>
        <v>7</v>
      </c>
      <c r="K43" s="5" t="n">
        <f aca="false">SUMIFS('07_시간 근거'!$F$2:$F$552,'07_시간 근거'!$A$2:$A$552,$E43,'07_시간 근거'!$E$2:$E$552,"시연·실습")</f>
        <v>30</v>
      </c>
      <c r="L43" s="5" t="n">
        <f aca="false">J43+K43</f>
        <v>37</v>
      </c>
      <c r="M43" s="3" t="s">
        <v>256</v>
      </c>
    </row>
    <row r="44" customFormat="false" ht="58.2" hidden="false" customHeight="false" outlineLevel="0" collapsed="false">
      <c r="A44" s="17" t="n">
        <v>41</v>
      </c>
      <c r="B44" s="17" t="s">
        <v>100</v>
      </c>
      <c r="C44" s="17" t="s">
        <v>11</v>
      </c>
      <c r="D44" s="17"/>
      <c r="E44" s="16" t="s">
        <v>257</v>
      </c>
      <c r="F44" s="2" t="s">
        <v>258</v>
      </c>
      <c r="G44" s="2" t="s">
        <v>259</v>
      </c>
      <c r="H44" s="2" t="s">
        <v>260</v>
      </c>
      <c r="I44" s="2" t="s">
        <v>224</v>
      </c>
      <c r="J44" s="5" t="n">
        <f aca="false">SUMIFS('07_시간 근거'!$F$2:$F$552,'07_시간 근거'!$A$2:$A$552,$E44,'07_시간 근거'!$E$2:$E$552,"개념 설명")</f>
        <v>8</v>
      </c>
      <c r="K44" s="5" t="n">
        <f aca="false">SUMIFS('07_시간 근거'!$F$2:$F$552,'07_시간 근거'!$A$2:$A$552,$E44,'07_시간 근거'!$E$2:$E$552,"시연·실습")</f>
        <v>28</v>
      </c>
      <c r="L44" s="5" t="n">
        <f aca="false">J44+K44</f>
        <v>36</v>
      </c>
      <c r="M44" s="3" t="s">
        <v>261</v>
      </c>
    </row>
    <row r="45" customFormat="false" ht="44" hidden="false" customHeight="false" outlineLevel="0" collapsed="false">
      <c r="A45" s="17" t="n">
        <v>42</v>
      </c>
      <c r="B45" s="17" t="s">
        <v>100</v>
      </c>
      <c r="C45" s="17" t="s">
        <v>11</v>
      </c>
      <c r="D45" s="17"/>
      <c r="E45" s="16" t="s">
        <v>262</v>
      </c>
      <c r="F45" s="2" t="s">
        <v>263</v>
      </c>
      <c r="G45" s="2" t="s">
        <v>264</v>
      </c>
      <c r="H45" s="2" t="s">
        <v>265</v>
      </c>
      <c r="I45" s="2" t="s">
        <v>224</v>
      </c>
      <c r="J45" s="5" t="n">
        <f aca="false">SUMIFS('07_시간 근거'!$F$2:$F$552,'07_시간 근거'!$A$2:$A$552,$E45,'07_시간 근거'!$E$2:$E$552,"개념 설명")</f>
        <v>7</v>
      </c>
      <c r="K45" s="5" t="n">
        <f aca="false">SUMIFS('07_시간 근거'!$F$2:$F$552,'07_시간 근거'!$A$2:$A$552,$E45,'07_시간 근거'!$E$2:$E$552,"시연·실습")</f>
        <v>27</v>
      </c>
      <c r="L45" s="5" t="n">
        <f aca="false">J45+K45</f>
        <v>34</v>
      </c>
      <c r="M45" s="3" t="s">
        <v>266</v>
      </c>
    </row>
    <row r="46" customFormat="false" ht="44" hidden="false" customHeight="false" outlineLevel="0" collapsed="false">
      <c r="A46" s="17" t="n">
        <v>43</v>
      </c>
      <c r="B46" s="17" t="s">
        <v>100</v>
      </c>
      <c r="C46" s="17" t="s">
        <v>11</v>
      </c>
      <c r="D46" s="17"/>
      <c r="E46" s="16" t="s">
        <v>267</v>
      </c>
      <c r="F46" s="2" t="s">
        <v>268</v>
      </c>
      <c r="G46" s="2" t="s">
        <v>269</v>
      </c>
      <c r="H46" s="2" t="s">
        <v>270</v>
      </c>
      <c r="I46" s="2" t="s">
        <v>224</v>
      </c>
      <c r="J46" s="5" t="n">
        <f aca="false">SUMIFS('07_시간 근거'!$F$2:$F$552,'07_시간 근거'!$A$2:$A$552,$E46,'07_시간 근거'!$E$2:$E$552,"개념 설명")</f>
        <v>7</v>
      </c>
      <c r="K46" s="5" t="n">
        <f aca="false">SUMIFS('07_시간 근거'!$F$2:$F$552,'07_시간 근거'!$A$2:$A$552,$E46,'07_시간 근거'!$E$2:$E$552,"시연·실습")</f>
        <v>26</v>
      </c>
      <c r="L46" s="5" t="n">
        <f aca="false">J46+K46</f>
        <v>33</v>
      </c>
      <c r="M46" s="3" t="s">
        <v>271</v>
      </c>
    </row>
    <row r="47" customFormat="false" ht="44" hidden="false" customHeight="false" outlineLevel="0" collapsed="false">
      <c r="A47" s="17" t="n">
        <v>44</v>
      </c>
      <c r="B47" s="17" t="s">
        <v>100</v>
      </c>
      <c r="C47" s="17" t="s">
        <v>11</v>
      </c>
      <c r="D47" s="17"/>
      <c r="E47" s="16" t="s">
        <v>272</v>
      </c>
      <c r="F47" s="2" t="s">
        <v>273</v>
      </c>
      <c r="G47" s="2" t="s">
        <v>274</v>
      </c>
      <c r="H47" s="2" t="s">
        <v>275</v>
      </c>
      <c r="I47" s="2" t="s">
        <v>224</v>
      </c>
      <c r="J47" s="5" t="n">
        <f aca="false">SUMIFS('07_시간 근거'!$F$2:$F$552,'07_시간 근거'!$A$2:$A$552,$E47,'07_시간 근거'!$E$2:$E$552,"개념 설명")</f>
        <v>8</v>
      </c>
      <c r="K47" s="5" t="n">
        <f aca="false">SUMIFS('07_시간 근거'!$F$2:$F$552,'07_시간 근거'!$A$2:$A$552,$E47,'07_시간 근거'!$E$2:$E$552,"시연·실습")</f>
        <v>26</v>
      </c>
      <c r="L47" s="5" t="n">
        <f aca="false">J47+K47</f>
        <v>34</v>
      </c>
      <c r="M47" s="3" t="s">
        <v>276</v>
      </c>
    </row>
    <row r="48" customFormat="false" ht="29.85" hidden="false" customHeight="false" outlineLevel="0" collapsed="false">
      <c r="A48" s="17" t="n">
        <v>45</v>
      </c>
      <c r="B48" s="17" t="s">
        <v>100</v>
      </c>
      <c r="C48" s="17" t="s">
        <v>11</v>
      </c>
      <c r="D48" s="17"/>
      <c r="E48" s="16" t="s">
        <v>277</v>
      </c>
      <c r="F48" s="2" t="s">
        <v>278</v>
      </c>
      <c r="G48" s="2" t="s">
        <v>279</v>
      </c>
      <c r="H48" s="2" t="s">
        <v>69</v>
      </c>
      <c r="I48" s="2" t="s">
        <v>280</v>
      </c>
      <c r="J48" s="5" t="n">
        <f aca="false">SUMIFS('07_시간 근거'!$F$2:$F$552,'07_시간 근거'!$A$2:$A$552,$E48,'07_시간 근거'!$E$2:$E$552,"개념 설명")</f>
        <v>5</v>
      </c>
      <c r="K48" s="5" t="n">
        <f aca="false">SUMIFS('07_시간 근거'!$F$2:$F$552,'07_시간 근거'!$A$2:$A$552,$E48,'07_시간 근거'!$E$2:$E$552,"시연·실습")</f>
        <v>3</v>
      </c>
      <c r="L48" s="5" t="n">
        <f aca="false">J48+K48</f>
        <v>8</v>
      </c>
      <c r="M48" s="2"/>
    </row>
    <row r="49" customFormat="false" ht="15" hidden="false" customHeight="false" outlineLevel="0" collapsed="false">
      <c r="A49" s="9" t="str">
        <f aca="false">"3. 에이전트 — AI 일꾼이 지식 지도와 지금 값을 근거로 추천안 하나를 제안한다  ("&amp;SUM(L50:L80)&amp;"분)"</f>
        <v>3. 에이전트 — AI 일꾼이 지식 지도와 지금 값을 근거로 추천안 하나를 제안한다  (667분)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</row>
    <row r="50" customFormat="false" ht="58.2" hidden="false" customHeight="false" outlineLevel="0" collapsed="false">
      <c r="A50" s="13" t="n">
        <v>46</v>
      </c>
      <c r="B50" s="13" t="s">
        <v>281</v>
      </c>
      <c r="C50" s="13" t="s">
        <v>7</v>
      </c>
      <c r="D50" s="13"/>
      <c r="E50" s="12" t="s">
        <v>282</v>
      </c>
      <c r="F50" s="2" t="s">
        <v>283</v>
      </c>
      <c r="G50" s="2" t="s">
        <v>284</v>
      </c>
      <c r="H50" s="2" t="s">
        <v>285</v>
      </c>
      <c r="I50" s="2" t="s">
        <v>70</v>
      </c>
      <c r="J50" s="5" t="n">
        <f aca="false">SUMIFS('07_시간 근거'!$F$2:$F$552,'07_시간 근거'!$A$2:$A$552,$E50,'07_시간 근거'!$E$2:$E$552,"개념 설명")</f>
        <v>29</v>
      </c>
      <c r="K50" s="5" t="n">
        <f aca="false">SUMIFS('07_시간 근거'!$F$2:$F$552,'07_시간 근거'!$A$2:$A$552,$E50,'07_시간 근거'!$E$2:$E$552,"시연·실습")</f>
        <v>0</v>
      </c>
      <c r="L50" s="5" t="n">
        <f aca="false">J50+K50</f>
        <v>29</v>
      </c>
      <c r="M50" s="2"/>
    </row>
    <row r="51" customFormat="false" ht="58.2" hidden="false" customHeight="false" outlineLevel="0" collapsed="false">
      <c r="A51" s="13" t="n">
        <v>47</v>
      </c>
      <c r="B51" s="13" t="s">
        <v>281</v>
      </c>
      <c r="C51" s="13" t="s">
        <v>7</v>
      </c>
      <c r="D51" s="13"/>
      <c r="E51" s="12" t="s">
        <v>286</v>
      </c>
      <c r="F51" s="2" t="s">
        <v>287</v>
      </c>
      <c r="G51" s="2" t="s">
        <v>288</v>
      </c>
      <c r="H51" s="2" t="s">
        <v>289</v>
      </c>
      <c r="I51" s="2" t="s">
        <v>290</v>
      </c>
      <c r="J51" s="5" t="n">
        <f aca="false">SUMIFS('07_시간 근거'!$F$2:$F$552,'07_시간 근거'!$A$2:$A$552,$E51,'07_시간 근거'!$E$2:$E$552,"개념 설명")</f>
        <v>0</v>
      </c>
      <c r="K51" s="5" t="n">
        <f aca="false">SUMIFS('07_시간 근거'!$F$2:$F$552,'07_시간 근거'!$A$2:$A$552,$E51,'07_시간 근거'!$E$2:$E$552,"시연·실습")</f>
        <v>27</v>
      </c>
      <c r="L51" s="5" t="n">
        <f aca="false">J51+K51</f>
        <v>27</v>
      </c>
      <c r="M51" s="2"/>
    </row>
    <row r="52" customFormat="false" ht="44" hidden="false" customHeight="false" outlineLevel="0" collapsed="false">
      <c r="A52" s="13" t="n">
        <v>48</v>
      </c>
      <c r="B52" s="13" t="s">
        <v>281</v>
      </c>
      <c r="C52" s="13" t="s">
        <v>7</v>
      </c>
      <c r="D52" s="13"/>
      <c r="E52" s="12" t="s">
        <v>291</v>
      </c>
      <c r="F52" s="3" t="s">
        <v>292</v>
      </c>
      <c r="G52" s="2" t="s">
        <v>293</v>
      </c>
      <c r="H52" s="2" t="s">
        <v>294</v>
      </c>
      <c r="I52" s="2" t="s">
        <v>89</v>
      </c>
      <c r="J52" s="5" t="n">
        <f aca="false">SUMIFS('07_시간 근거'!$F$2:$F$552,'07_시간 근거'!$A$2:$A$552,$E52,'07_시간 근거'!$E$2:$E$552,"개념 설명")</f>
        <v>7</v>
      </c>
      <c r="K52" s="5" t="n">
        <f aca="false">SUMIFS('07_시간 근거'!$F$2:$F$552,'07_시간 근거'!$A$2:$A$552,$E52,'07_시간 근거'!$E$2:$E$552,"시연·실습")</f>
        <v>3</v>
      </c>
      <c r="L52" s="5" t="n">
        <f aca="false">J52+K52</f>
        <v>10</v>
      </c>
      <c r="M52" s="2"/>
    </row>
    <row r="53" customFormat="false" ht="72.35" hidden="false" customHeight="false" outlineLevel="0" collapsed="false">
      <c r="A53" s="13" t="n">
        <v>49</v>
      </c>
      <c r="B53" s="13" t="s">
        <v>281</v>
      </c>
      <c r="C53" s="13" t="s">
        <v>7</v>
      </c>
      <c r="D53" s="13"/>
      <c r="E53" s="12" t="s">
        <v>295</v>
      </c>
      <c r="F53" s="2" t="s">
        <v>296</v>
      </c>
      <c r="G53" s="2" t="s">
        <v>297</v>
      </c>
      <c r="H53" s="2" t="s">
        <v>298</v>
      </c>
      <c r="I53" s="2" t="s">
        <v>70</v>
      </c>
      <c r="J53" s="5" t="n">
        <f aca="false">SUMIFS('07_시간 근거'!$F$2:$F$552,'07_시간 근거'!$A$2:$A$552,$E53,'07_시간 근거'!$E$2:$E$552,"개념 설명")</f>
        <v>21</v>
      </c>
      <c r="K53" s="5" t="n">
        <f aca="false">SUMIFS('07_시간 근거'!$F$2:$F$552,'07_시간 근거'!$A$2:$A$552,$E53,'07_시간 근거'!$E$2:$E$552,"시연·실습")</f>
        <v>0</v>
      </c>
      <c r="L53" s="5" t="n">
        <f aca="false">J53+K53</f>
        <v>21</v>
      </c>
      <c r="M53" s="2"/>
    </row>
    <row r="54" customFormat="false" ht="44" hidden="false" customHeight="false" outlineLevel="0" collapsed="false">
      <c r="A54" s="13" t="n">
        <v>50</v>
      </c>
      <c r="B54" s="13" t="s">
        <v>281</v>
      </c>
      <c r="C54" s="13" t="s">
        <v>7</v>
      </c>
      <c r="D54" s="13"/>
      <c r="E54" s="12" t="s">
        <v>299</v>
      </c>
      <c r="F54" s="2" t="s">
        <v>300</v>
      </c>
      <c r="G54" s="2" t="s">
        <v>301</v>
      </c>
      <c r="H54" s="2" t="s">
        <v>302</v>
      </c>
      <c r="I54" s="2" t="s">
        <v>89</v>
      </c>
      <c r="J54" s="5" t="n">
        <f aca="false">SUMIFS('07_시간 근거'!$F$2:$F$552,'07_시간 근거'!$A$2:$A$552,$E54,'07_시간 근거'!$E$2:$E$552,"개념 설명")</f>
        <v>11</v>
      </c>
      <c r="K54" s="5" t="n">
        <f aca="false">SUMIFS('07_시간 근거'!$F$2:$F$552,'07_시간 근거'!$A$2:$A$552,$E54,'07_시간 근거'!$E$2:$E$552,"시연·실습")</f>
        <v>5</v>
      </c>
      <c r="L54" s="5" t="n">
        <f aca="false">J54+K54</f>
        <v>16</v>
      </c>
      <c r="M54" s="2"/>
    </row>
    <row r="55" customFormat="false" ht="44" hidden="false" customHeight="false" outlineLevel="0" collapsed="false">
      <c r="A55" s="13" t="n">
        <v>51</v>
      </c>
      <c r="B55" s="13" t="s">
        <v>281</v>
      </c>
      <c r="C55" s="13" t="s">
        <v>7</v>
      </c>
      <c r="D55" s="13"/>
      <c r="E55" s="12" t="s">
        <v>303</v>
      </c>
      <c r="F55" s="3" t="s">
        <v>304</v>
      </c>
      <c r="G55" s="2" t="s">
        <v>305</v>
      </c>
      <c r="H55" s="2" t="s">
        <v>306</v>
      </c>
      <c r="I55" s="2" t="s">
        <v>70</v>
      </c>
      <c r="J55" s="5" t="n">
        <f aca="false">SUMIFS('07_시간 근거'!$F$2:$F$552,'07_시간 근거'!$A$2:$A$552,$E55,'07_시간 근거'!$E$2:$E$552,"개념 설명")</f>
        <v>6</v>
      </c>
      <c r="K55" s="5" t="n">
        <f aca="false">SUMIFS('07_시간 근거'!$F$2:$F$552,'07_시간 근거'!$A$2:$A$552,$E55,'07_시간 근거'!$E$2:$E$552,"시연·실습")</f>
        <v>0</v>
      </c>
      <c r="L55" s="5" t="n">
        <f aca="false">J55+K55</f>
        <v>6</v>
      </c>
      <c r="M55" s="2"/>
    </row>
    <row r="56" customFormat="false" ht="55.2" hidden="false" customHeight="false" outlineLevel="0" collapsed="false">
      <c r="A56" s="13" t="n">
        <v>52</v>
      </c>
      <c r="B56" s="13" t="s">
        <v>281</v>
      </c>
      <c r="C56" s="13" t="s">
        <v>7</v>
      </c>
      <c r="D56" s="13"/>
      <c r="E56" s="12" t="s">
        <v>307</v>
      </c>
      <c r="F56" s="2" t="s">
        <v>308</v>
      </c>
      <c r="G56" s="2" t="s">
        <v>309</v>
      </c>
      <c r="H56" s="2" t="s">
        <v>310</v>
      </c>
      <c r="I56" s="2" t="s">
        <v>89</v>
      </c>
      <c r="J56" s="5" t="n">
        <f aca="false">SUMIFS('07_시간 근거'!$F$2:$F$552,'07_시간 근거'!$A$2:$A$552,$E56,'07_시간 근거'!$E$2:$E$552,"개념 설명")</f>
        <v>20</v>
      </c>
      <c r="K56" s="5" t="n">
        <f aca="false">SUMIFS('07_시간 근거'!$F$2:$F$552,'07_시간 근거'!$A$2:$A$552,$E56,'07_시간 근거'!$E$2:$E$552,"시연·실습")</f>
        <v>5</v>
      </c>
      <c r="L56" s="5" t="n">
        <f aca="false">J56+K56</f>
        <v>25</v>
      </c>
      <c r="M56" s="2"/>
    </row>
    <row r="57" customFormat="false" ht="86.55" hidden="false" customHeight="false" outlineLevel="0" collapsed="false">
      <c r="A57" s="13" t="n">
        <v>53</v>
      </c>
      <c r="B57" s="13" t="s">
        <v>281</v>
      </c>
      <c r="C57" s="13" t="s">
        <v>7</v>
      </c>
      <c r="D57" s="13"/>
      <c r="E57" s="12" t="s">
        <v>311</v>
      </c>
      <c r="F57" s="2" t="s">
        <v>312</v>
      </c>
      <c r="G57" s="2" t="s">
        <v>313</v>
      </c>
      <c r="H57" s="2" t="s">
        <v>314</v>
      </c>
      <c r="I57" s="2" t="s">
        <v>315</v>
      </c>
      <c r="J57" s="5" t="n">
        <f aca="false">SUMIFS('07_시간 근거'!$F$2:$F$552,'07_시간 근거'!$A$2:$A$552,$E57,'07_시간 근거'!$E$2:$E$552,"개념 설명")</f>
        <v>23</v>
      </c>
      <c r="K57" s="5" t="n">
        <f aca="false">SUMIFS('07_시간 근거'!$F$2:$F$552,'07_시간 근거'!$A$2:$A$552,$E57,'07_시간 근거'!$E$2:$E$552,"시연·실습")</f>
        <v>9</v>
      </c>
      <c r="L57" s="5" t="n">
        <f aca="false">J57+K57</f>
        <v>32</v>
      </c>
      <c r="M57" s="2"/>
    </row>
    <row r="58" customFormat="false" ht="58.2" hidden="false" customHeight="false" outlineLevel="0" collapsed="false">
      <c r="A58" s="13" t="n">
        <v>54</v>
      </c>
      <c r="B58" s="13" t="s">
        <v>281</v>
      </c>
      <c r="C58" s="13" t="s">
        <v>7</v>
      </c>
      <c r="D58" s="13"/>
      <c r="E58" s="12" t="s">
        <v>316</v>
      </c>
      <c r="F58" s="2" t="s">
        <v>317</v>
      </c>
      <c r="G58" s="2" t="s">
        <v>318</v>
      </c>
      <c r="H58" s="2" t="s">
        <v>319</v>
      </c>
      <c r="I58" s="2" t="s">
        <v>89</v>
      </c>
      <c r="J58" s="5" t="n">
        <f aca="false">SUMIFS('07_시간 근거'!$F$2:$F$552,'07_시간 근거'!$A$2:$A$552,$E58,'07_시간 근거'!$E$2:$E$552,"개념 설명")</f>
        <v>12</v>
      </c>
      <c r="K58" s="5" t="n">
        <f aca="false">SUMIFS('07_시간 근거'!$F$2:$F$552,'07_시간 근거'!$A$2:$A$552,$E58,'07_시간 근거'!$E$2:$E$552,"시연·실습")</f>
        <v>8</v>
      </c>
      <c r="L58" s="5" t="n">
        <f aca="false">J58+K58</f>
        <v>20</v>
      </c>
      <c r="M58" s="2"/>
    </row>
    <row r="59" customFormat="false" ht="44" hidden="false" customHeight="false" outlineLevel="0" collapsed="false">
      <c r="A59" s="13" t="n">
        <v>55</v>
      </c>
      <c r="B59" s="13" t="s">
        <v>281</v>
      </c>
      <c r="C59" s="13" t="s">
        <v>7</v>
      </c>
      <c r="D59" s="13"/>
      <c r="E59" s="12" t="s">
        <v>320</v>
      </c>
      <c r="F59" s="2" t="s">
        <v>321</v>
      </c>
      <c r="G59" s="2" t="s">
        <v>322</v>
      </c>
      <c r="H59" s="2" t="s">
        <v>323</v>
      </c>
      <c r="I59" s="2" t="s">
        <v>70</v>
      </c>
      <c r="J59" s="5" t="n">
        <f aca="false">SUMIFS('07_시간 근거'!$F$2:$F$552,'07_시간 근거'!$A$2:$A$552,$E59,'07_시간 근거'!$E$2:$E$552,"개념 설명")</f>
        <v>6</v>
      </c>
      <c r="K59" s="5" t="n">
        <f aca="false">SUMIFS('07_시간 근거'!$F$2:$F$552,'07_시간 근거'!$A$2:$A$552,$E59,'07_시간 근거'!$E$2:$E$552,"시연·실습")</f>
        <v>0</v>
      </c>
      <c r="L59" s="5" t="n">
        <f aca="false">J59+K59</f>
        <v>6</v>
      </c>
      <c r="M59" s="2"/>
    </row>
    <row r="60" customFormat="false" ht="58.2" hidden="false" customHeight="false" outlineLevel="0" collapsed="false">
      <c r="A60" s="13" t="n">
        <v>56</v>
      </c>
      <c r="B60" s="13" t="s">
        <v>281</v>
      </c>
      <c r="C60" s="13" t="s">
        <v>7</v>
      </c>
      <c r="D60" s="13"/>
      <c r="E60" s="12" t="s">
        <v>324</v>
      </c>
      <c r="F60" s="3" t="s">
        <v>325</v>
      </c>
      <c r="G60" s="2" t="s">
        <v>326</v>
      </c>
      <c r="H60" s="2" t="s">
        <v>327</v>
      </c>
      <c r="I60" s="2" t="s">
        <v>89</v>
      </c>
      <c r="J60" s="5" t="n">
        <f aca="false">SUMIFS('07_시간 근거'!$F$2:$F$552,'07_시간 근거'!$A$2:$A$552,$E60,'07_시간 근거'!$E$2:$E$552,"개념 설명")</f>
        <v>13</v>
      </c>
      <c r="K60" s="5" t="n">
        <f aca="false">SUMIFS('07_시간 근거'!$F$2:$F$552,'07_시간 근거'!$A$2:$A$552,$E60,'07_시간 근거'!$E$2:$E$552,"시연·실습")</f>
        <v>7</v>
      </c>
      <c r="L60" s="5" t="n">
        <f aca="false">J60+K60</f>
        <v>20</v>
      </c>
      <c r="M60" s="2"/>
    </row>
    <row r="61" customFormat="false" ht="58.2" hidden="false" customHeight="false" outlineLevel="0" collapsed="false">
      <c r="A61" s="15" t="n">
        <v>57</v>
      </c>
      <c r="B61" s="15" t="s">
        <v>281</v>
      </c>
      <c r="C61" s="15" t="s">
        <v>9</v>
      </c>
      <c r="D61" s="15" t="s">
        <v>159</v>
      </c>
      <c r="E61" s="14" t="s">
        <v>328</v>
      </c>
      <c r="F61" s="2" t="s">
        <v>161</v>
      </c>
      <c r="G61" s="2" t="s">
        <v>329</v>
      </c>
      <c r="H61" s="2" t="s">
        <v>163</v>
      </c>
      <c r="I61" s="2" t="s">
        <v>164</v>
      </c>
      <c r="J61" s="5" t="n">
        <f aca="false">SUMIFS('07_시간 근거'!$F$2:$F$552,'07_시간 근거'!$A$2:$A$552,$E61,'07_시간 근거'!$E$2:$E$552,"개념 설명")</f>
        <v>10</v>
      </c>
      <c r="K61" s="5" t="n">
        <f aca="false">SUMIFS('07_시간 근거'!$F$2:$F$552,'07_시간 근거'!$A$2:$A$552,$E61,'07_시간 근거'!$E$2:$E$552,"시연·실습")</f>
        <v>0</v>
      </c>
      <c r="L61" s="5" t="n">
        <f aca="false">J61+K61</f>
        <v>10</v>
      </c>
      <c r="M61" s="2"/>
    </row>
    <row r="62" customFormat="false" ht="86.55" hidden="false" customHeight="false" outlineLevel="0" collapsed="false">
      <c r="A62" s="15" t="n">
        <v>58</v>
      </c>
      <c r="B62" s="15" t="s">
        <v>281</v>
      </c>
      <c r="C62" s="15" t="s">
        <v>9</v>
      </c>
      <c r="D62" s="14" t="s">
        <v>33</v>
      </c>
      <c r="E62" s="14" t="s">
        <v>330</v>
      </c>
      <c r="F62" s="2" t="s">
        <v>331</v>
      </c>
      <c r="G62" s="3" t="s">
        <v>332</v>
      </c>
      <c r="H62" s="2" t="s">
        <v>333</v>
      </c>
      <c r="I62" s="2" t="s">
        <v>99</v>
      </c>
      <c r="J62" s="5" t="n">
        <f aca="false">SUMIFS('07_시간 근거'!$F$2:$F$552,'07_시간 근거'!$A$2:$A$552,$E62,'07_시간 근거'!$E$2:$E$552,"개념 설명")</f>
        <v>9</v>
      </c>
      <c r="K62" s="5" t="n">
        <f aca="false">SUMIFS('07_시간 근거'!$F$2:$F$552,'07_시간 근거'!$A$2:$A$552,$E62,'07_시간 근거'!$E$2:$E$552,"시연·실습")</f>
        <v>23</v>
      </c>
      <c r="L62" s="5" t="n">
        <f aca="false">J62+K62</f>
        <v>32</v>
      </c>
      <c r="M62" s="3" t="s">
        <v>334</v>
      </c>
    </row>
    <row r="63" customFormat="false" ht="58.2" hidden="false" customHeight="false" outlineLevel="0" collapsed="false">
      <c r="A63" s="15" t="n">
        <v>59</v>
      </c>
      <c r="B63" s="15" t="s">
        <v>281</v>
      </c>
      <c r="C63" s="15" t="s">
        <v>9</v>
      </c>
      <c r="D63" s="14" t="s">
        <v>33</v>
      </c>
      <c r="E63" s="14" t="s">
        <v>335</v>
      </c>
      <c r="F63" s="2" t="s">
        <v>336</v>
      </c>
      <c r="G63" s="3" t="s">
        <v>337</v>
      </c>
      <c r="H63" s="2" t="s">
        <v>338</v>
      </c>
      <c r="I63" s="2" t="s">
        <v>99</v>
      </c>
      <c r="J63" s="5" t="n">
        <f aca="false">SUMIFS('07_시간 근거'!$F$2:$F$552,'07_시간 근거'!$A$2:$A$552,$E63,'07_시간 근거'!$E$2:$E$552,"개념 설명")</f>
        <v>5</v>
      </c>
      <c r="K63" s="5" t="n">
        <f aca="false">SUMIFS('07_시간 근거'!$F$2:$F$552,'07_시간 근거'!$A$2:$A$552,$E63,'07_시간 근거'!$E$2:$E$552,"시연·실습")</f>
        <v>19</v>
      </c>
      <c r="L63" s="5" t="n">
        <f aca="false">J63+K63</f>
        <v>24</v>
      </c>
      <c r="M63" s="3" t="s">
        <v>339</v>
      </c>
    </row>
    <row r="64" customFormat="false" ht="29.85" hidden="false" customHeight="false" outlineLevel="0" collapsed="false">
      <c r="A64" s="15" t="n">
        <v>60</v>
      </c>
      <c r="B64" s="15" t="s">
        <v>281</v>
      </c>
      <c r="C64" s="15" t="s">
        <v>9</v>
      </c>
      <c r="D64" s="14" t="s">
        <v>33</v>
      </c>
      <c r="E64" s="14" t="s">
        <v>340</v>
      </c>
      <c r="F64" s="2" t="s">
        <v>341</v>
      </c>
      <c r="G64" s="3" t="s">
        <v>342</v>
      </c>
      <c r="H64" s="2" t="s">
        <v>327</v>
      </c>
      <c r="I64" s="2" t="s">
        <v>99</v>
      </c>
      <c r="J64" s="5" t="n">
        <f aca="false">SUMIFS('07_시간 근거'!$F$2:$F$552,'07_시간 근거'!$A$2:$A$552,$E64,'07_시간 근거'!$E$2:$E$552,"개념 설명")</f>
        <v>2</v>
      </c>
      <c r="K64" s="5" t="n">
        <f aca="false">SUMIFS('07_시간 근거'!$F$2:$F$552,'07_시간 근거'!$A$2:$A$552,$E64,'07_시간 근거'!$E$2:$E$552,"시연·실습")</f>
        <v>6</v>
      </c>
      <c r="L64" s="5" t="n">
        <f aca="false">J64+K64</f>
        <v>8</v>
      </c>
      <c r="M64" s="3" t="s">
        <v>339</v>
      </c>
    </row>
    <row r="65" customFormat="false" ht="58.2" hidden="false" customHeight="false" outlineLevel="0" collapsed="false">
      <c r="A65" s="15" t="n">
        <v>61</v>
      </c>
      <c r="B65" s="15" t="s">
        <v>281</v>
      </c>
      <c r="C65" s="15" t="s">
        <v>9</v>
      </c>
      <c r="D65" s="14" t="s">
        <v>184</v>
      </c>
      <c r="E65" s="14" t="s">
        <v>343</v>
      </c>
      <c r="F65" s="2" t="s">
        <v>344</v>
      </c>
      <c r="G65" s="3" t="s">
        <v>345</v>
      </c>
      <c r="H65" s="2" t="s">
        <v>346</v>
      </c>
      <c r="I65" s="2" t="s">
        <v>99</v>
      </c>
      <c r="J65" s="5" t="n">
        <f aca="false">SUMIFS('07_시간 근거'!$F$2:$F$552,'07_시간 근거'!$A$2:$A$552,$E65,'07_시간 근거'!$E$2:$E$552,"개념 설명")</f>
        <v>2</v>
      </c>
      <c r="K65" s="5" t="n">
        <f aca="false">SUMIFS('07_시간 근거'!$F$2:$F$552,'07_시간 근거'!$A$2:$A$552,$E65,'07_시간 근거'!$E$2:$E$552,"시연·실습")</f>
        <v>13</v>
      </c>
      <c r="L65" s="5" t="n">
        <f aca="false">J65+K65</f>
        <v>15</v>
      </c>
      <c r="M65" s="3" t="s">
        <v>347</v>
      </c>
    </row>
    <row r="66" customFormat="false" ht="72.35" hidden="false" customHeight="false" outlineLevel="0" collapsed="false">
      <c r="A66" s="15" t="n">
        <v>62</v>
      </c>
      <c r="B66" s="15" t="s">
        <v>281</v>
      </c>
      <c r="C66" s="15" t="s">
        <v>9</v>
      </c>
      <c r="D66" s="14" t="s">
        <v>184</v>
      </c>
      <c r="E66" s="14" t="s">
        <v>348</v>
      </c>
      <c r="F66" s="2" t="s">
        <v>349</v>
      </c>
      <c r="G66" s="3" t="s">
        <v>350</v>
      </c>
      <c r="H66" s="2" t="s">
        <v>338</v>
      </c>
      <c r="I66" s="2" t="s">
        <v>99</v>
      </c>
      <c r="J66" s="5" t="n">
        <f aca="false">SUMIFS('07_시간 근거'!$F$2:$F$552,'07_시간 근거'!$A$2:$A$552,$E66,'07_시간 근거'!$E$2:$E$552,"개념 설명")</f>
        <v>4</v>
      </c>
      <c r="K66" s="5" t="n">
        <f aca="false">SUMIFS('07_시간 근거'!$F$2:$F$552,'07_시간 근거'!$A$2:$A$552,$E66,'07_시간 근거'!$E$2:$E$552,"시연·실습")</f>
        <v>18</v>
      </c>
      <c r="L66" s="5" t="n">
        <f aca="false">J66+K66</f>
        <v>22</v>
      </c>
      <c r="M66" s="3" t="s">
        <v>351</v>
      </c>
    </row>
    <row r="67" customFormat="false" ht="29.85" hidden="false" customHeight="false" outlineLevel="0" collapsed="false">
      <c r="A67" s="15" t="n">
        <v>63</v>
      </c>
      <c r="B67" s="15" t="s">
        <v>281</v>
      </c>
      <c r="C67" s="15" t="s">
        <v>9</v>
      </c>
      <c r="D67" s="14" t="s">
        <v>184</v>
      </c>
      <c r="E67" s="14" t="s">
        <v>352</v>
      </c>
      <c r="F67" s="2" t="s">
        <v>353</v>
      </c>
      <c r="G67" s="3" t="s">
        <v>354</v>
      </c>
      <c r="H67" s="2" t="s">
        <v>355</v>
      </c>
      <c r="I67" s="2" t="s">
        <v>99</v>
      </c>
      <c r="J67" s="5" t="n">
        <f aca="false">SUMIFS('07_시간 근거'!$F$2:$F$552,'07_시간 근거'!$A$2:$A$552,$E67,'07_시간 근거'!$E$2:$E$552,"개념 설명")</f>
        <v>0</v>
      </c>
      <c r="K67" s="5" t="n">
        <f aca="false">SUMIFS('07_시간 근거'!$F$2:$F$552,'07_시간 근거'!$A$2:$A$552,$E67,'07_시간 근거'!$E$2:$E$552,"시연·실습")</f>
        <v>4</v>
      </c>
      <c r="L67" s="5" t="n">
        <f aca="false">J67+K67</f>
        <v>4</v>
      </c>
      <c r="M67" s="3" t="s">
        <v>351</v>
      </c>
    </row>
    <row r="68" customFormat="false" ht="44" hidden="false" customHeight="false" outlineLevel="0" collapsed="false">
      <c r="A68" s="15" t="n">
        <v>64</v>
      </c>
      <c r="B68" s="15" t="s">
        <v>281</v>
      </c>
      <c r="C68" s="15" t="s">
        <v>9</v>
      </c>
      <c r="D68" s="14" t="s">
        <v>200</v>
      </c>
      <c r="E68" s="14" t="s">
        <v>356</v>
      </c>
      <c r="F68" s="2" t="s">
        <v>357</v>
      </c>
      <c r="G68" s="3" t="s">
        <v>358</v>
      </c>
      <c r="H68" s="2" t="s">
        <v>359</v>
      </c>
      <c r="I68" s="2" t="s">
        <v>99</v>
      </c>
      <c r="J68" s="5" t="n">
        <f aca="false">SUMIFS('07_시간 근거'!$F$2:$F$552,'07_시간 근거'!$A$2:$A$552,$E68,'07_시간 근거'!$E$2:$E$552,"개념 설명")</f>
        <v>2</v>
      </c>
      <c r="K68" s="5" t="n">
        <f aca="false">SUMIFS('07_시간 근거'!$F$2:$F$552,'07_시간 근거'!$A$2:$A$552,$E68,'07_시간 근거'!$E$2:$E$552,"시연·실습")</f>
        <v>12</v>
      </c>
      <c r="L68" s="5" t="n">
        <f aca="false">J68+K68</f>
        <v>14</v>
      </c>
      <c r="M68" s="3" t="s">
        <v>360</v>
      </c>
    </row>
    <row r="69" customFormat="false" ht="55.2" hidden="false" customHeight="false" outlineLevel="0" collapsed="false">
      <c r="A69" s="15" t="n">
        <v>65</v>
      </c>
      <c r="B69" s="15" t="s">
        <v>281</v>
      </c>
      <c r="C69" s="15" t="s">
        <v>9</v>
      </c>
      <c r="D69" s="14" t="s">
        <v>200</v>
      </c>
      <c r="E69" s="14" t="s">
        <v>361</v>
      </c>
      <c r="F69" s="2" t="s">
        <v>362</v>
      </c>
      <c r="G69" s="3" t="s">
        <v>363</v>
      </c>
      <c r="H69" s="2" t="s">
        <v>338</v>
      </c>
      <c r="I69" s="2" t="s">
        <v>99</v>
      </c>
      <c r="J69" s="5" t="n">
        <f aca="false">SUMIFS('07_시간 근거'!$F$2:$F$552,'07_시간 근거'!$A$2:$A$552,$E69,'07_시간 근거'!$E$2:$E$552,"개념 설명")</f>
        <v>3</v>
      </c>
      <c r="K69" s="5" t="n">
        <f aca="false">SUMIFS('07_시간 근거'!$F$2:$F$552,'07_시간 근거'!$A$2:$A$552,$E69,'07_시간 근거'!$E$2:$E$552,"시연·실습")</f>
        <v>16</v>
      </c>
      <c r="L69" s="5" t="n">
        <f aca="false">J69+K69</f>
        <v>19</v>
      </c>
      <c r="M69" s="3" t="s">
        <v>364</v>
      </c>
    </row>
    <row r="70" customFormat="false" ht="29.85" hidden="false" customHeight="false" outlineLevel="0" collapsed="false">
      <c r="A70" s="15" t="n">
        <v>66</v>
      </c>
      <c r="B70" s="15" t="s">
        <v>281</v>
      </c>
      <c r="C70" s="15" t="s">
        <v>9</v>
      </c>
      <c r="D70" s="14" t="s">
        <v>200</v>
      </c>
      <c r="E70" s="14" t="s">
        <v>365</v>
      </c>
      <c r="F70" s="2" t="s">
        <v>366</v>
      </c>
      <c r="G70" s="3" t="s">
        <v>367</v>
      </c>
      <c r="H70" s="2" t="s">
        <v>355</v>
      </c>
      <c r="I70" s="2" t="s">
        <v>99</v>
      </c>
      <c r="J70" s="5" t="n">
        <f aca="false">SUMIFS('07_시간 근거'!$F$2:$F$552,'07_시간 근거'!$A$2:$A$552,$E70,'07_시간 근거'!$E$2:$E$552,"개념 설명")</f>
        <v>0</v>
      </c>
      <c r="K70" s="5" t="n">
        <f aca="false">SUMIFS('07_시간 근거'!$F$2:$F$552,'07_시간 근거'!$A$2:$A$552,$E70,'07_시간 근거'!$E$2:$E$552,"시연·실습")</f>
        <v>4</v>
      </c>
      <c r="L70" s="5" t="n">
        <f aca="false">J70+K70</f>
        <v>4</v>
      </c>
      <c r="M70" s="3" t="s">
        <v>364</v>
      </c>
    </row>
    <row r="71" customFormat="false" ht="29.85" hidden="false" customHeight="false" outlineLevel="0" collapsed="false">
      <c r="A71" s="15" t="n">
        <v>67</v>
      </c>
      <c r="B71" s="15" t="s">
        <v>281</v>
      </c>
      <c r="C71" s="15" t="s">
        <v>9</v>
      </c>
      <c r="D71" s="15" t="s">
        <v>215</v>
      </c>
      <c r="E71" s="14" t="s">
        <v>368</v>
      </c>
      <c r="F71" s="2" t="s">
        <v>369</v>
      </c>
      <c r="G71" s="3" t="s">
        <v>370</v>
      </c>
      <c r="H71" s="2" t="s">
        <v>371</v>
      </c>
      <c r="I71" s="2" t="s">
        <v>99</v>
      </c>
      <c r="J71" s="5" t="n">
        <f aca="false">SUMIFS('07_시간 근거'!$F$2:$F$552,'07_시간 근거'!$A$2:$A$552,$E71,'07_시간 근거'!$E$2:$E$552,"개념 설명")</f>
        <v>3</v>
      </c>
      <c r="K71" s="5" t="n">
        <f aca="false">SUMIFS('07_시간 근거'!$F$2:$F$552,'07_시간 근거'!$A$2:$A$552,$E71,'07_시간 근거'!$E$2:$E$552,"시연·실습")</f>
        <v>4</v>
      </c>
      <c r="L71" s="5" t="n">
        <f aca="false">J71+K71</f>
        <v>7</v>
      </c>
      <c r="M71" s="2" t="s">
        <v>215</v>
      </c>
    </row>
    <row r="72" customFormat="false" ht="44" hidden="false" customHeight="false" outlineLevel="0" collapsed="false">
      <c r="A72" s="17" t="n">
        <v>68</v>
      </c>
      <c r="B72" s="17" t="s">
        <v>281</v>
      </c>
      <c r="C72" s="17" t="s">
        <v>11</v>
      </c>
      <c r="D72" s="17"/>
      <c r="E72" s="16" t="s">
        <v>372</v>
      </c>
      <c r="F72" s="2" t="s">
        <v>373</v>
      </c>
      <c r="G72" s="2" t="s">
        <v>374</v>
      </c>
      <c r="H72" s="2" t="s">
        <v>375</v>
      </c>
      <c r="I72" s="2" t="s">
        <v>224</v>
      </c>
      <c r="J72" s="5" t="n">
        <f aca="false">SUMIFS('07_시간 근거'!$F$2:$F$552,'07_시간 근거'!$A$2:$A$552,$E72,'07_시간 근거'!$E$2:$E$552,"개념 설명")</f>
        <v>7</v>
      </c>
      <c r="K72" s="5" t="n">
        <f aca="false">SUMIFS('07_시간 근거'!$F$2:$F$552,'07_시간 근거'!$A$2:$A$552,$E72,'07_시간 근거'!$E$2:$E$552,"시연·실습")</f>
        <v>31</v>
      </c>
      <c r="L72" s="5" t="n">
        <f aca="false">J72+K72</f>
        <v>38</v>
      </c>
      <c r="M72" s="3" t="s">
        <v>376</v>
      </c>
    </row>
    <row r="73" customFormat="false" ht="29.85" hidden="false" customHeight="false" outlineLevel="0" collapsed="false">
      <c r="A73" s="17" t="n">
        <v>69</v>
      </c>
      <c r="B73" s="17" t="s">
        <v>281</v>
      </c>
      <c r="C73" s="17" t="s">
        <v>11</v>
      </c>
      <c r="D73" s="17"/>
      <c r="E73" s="16" t="s">
        <v>377</v>
      </c>
      <c r="F73" s="2" t="s">
        <v>378</v>
      </c>
      <c r="G73" s="2" t="s">
        <v>379</v>
      </c>
      <c r="H73" s="2" t="s">
        <v>380</v>
      </c>
      <c r="I73" s="2" t="s">
        <v>224</v>
      </c>
      <c r="J73" s="5" t="n">
        <f aca="false">SUMIFS('07_시간 근거'!$F$2:$F$552,'07_시간 근거'!$A$2:$A$552,$E73,'07_시간 근거'!$E$2:$E$552,"개념 설명")</f>
        <v>7</v>
      </c>
      <c r="K73" s="5" t="n">
        <f aca="false">SUMIFS('07_시간 근거'!$F$2:$F$552,'07_시간 근거'!$A$2:$A$552,$E73,'07_시간 근거'!$E$2:$E$552,"시연·실습")</f>
        <v>26</v>
      </c>
      <c r="L73" s="5" t="n">
        <f aca="false">J73+K73</f>
        <v>33</v>
      </c>
      <c r="M73" s="3" t="s">
        <v>381</v>
      </c>
    </row>
    <row r="74" customFormat="false" ht="44" hidden="false" customHeight="false" outlineLevel="0" collapsed="false">
      <c r="A74" s="17" t="n">
        <v>70</v>
      </c>
      <c r="B74" s="17" t="s">
        <v>281</v>
      </c>
      <c r="C74" s="17" t="s">
        <v>11</v>
      </c>
      <c r="D74" s="17"/>
      <c r="E74" s="16" t="s">
        <v>382</v>
      </c>
      <c r="F74" s="2" t="s">
        <v>383</v>
      </c>
      <c r="G74" s="2" t="s">
        <v>384</v>
      </c>
      <c r="H74" s="2" t="s">
        <v>385</v>
      </c>
      <c r="I74" s="2" t="s">
        <v>224</v>
      </c>
      <c r="J74" s="5" t="n">
        <f aca="false">SUMIFS('07_시간 근거'!$F$2:$F$552,'07_시간 근거'!$A$2:$A$552,$E74,'07_시간 근거'!$E$2:$E$552,"개념 설명")</f>
        <v>7</v>
      </c>
      <c r="K74" s="5" t="n">
        <f aca="false">SUMIFS('07_시간 근거'!$F$2:$F$552,'07_시간 근거'!$A$2:$A$552,$E74,'07_시간 근거'!$E$2:$E$552,"시연·실습")</f>
        <v>31</v>
      </c>
      <c r="L74" s="5" t="n">
        <f aca="false">J74+K74</f>
        <v>38</v>
      </c>
      <c r="M74" s="3" t="s">
        <v>386</v>
      </c>
    </row>
    <row r="75" customFormat="false" ht="58.2" hidden="false" customHeight="false" outlineLevel="0" collapsed="false">
      <c r="A75" s="17" t="n">
        <v>71</v>
      </c>
      <c r="B75" s="17" t="s">
        <v>281</v>
      </c>
      <c r="C75" s="17" t="s">
        <v>11</v>
      </c>
      <c r="D75" s="17"/>
      <c r="E75" s="16" t="s">
        <v>387</v>
      </c>
      <c r="F75" s="2" t="s">
        <v>388</v>
      </c>
      <c r="G75" s="2" t="s">
        <v>389</v>
      </c>
      <c r="H75" s="2" t="s">
        <v>390</v>
      </c>
      <c r="I75" s="2" t="s">
        <v>224</v>
      </c>
      <c r="J75" s="5" t="n">
        <f aca="false">SUMIFS('07_시간 근거'!$F$2:$F$552,'07_시간 근거'!$A$2:$A$552,$E75,'07_시간 근거'!$E$2:$E$552,"개념 설명")</f>
        <v>7</v>
      </c>
      <c r="K75" s="5" t="n">
        <f aca="false">SUMIFS('07_시간 근거'!$F$2:$F$552,'07_시간 근거'!$A$2:$A$552,$E75,'07_시간 근거'!$E$2:$E$552,"시연·실습")</f>
        <v>34</v>
      </c>
      <c r="L75" s="5" t="n">
        <f aca="false">J75+K75</f>
        <v>41</v>
      </c>
      <c r="M75" s="3" t="s">
        <v>391</v>
      </c>
    </row>
    <row r="76" customFormat="false" ht="29.85" hidden="false" customHeight="false" outlineLevel="0" collapsed="false">
      <c r="A76" s="17" t="n">
        <v>72</v>
      </c>
      <c r="B76" s="17" t="s">
        <v>281</v>
      </c>
      <c r="C76" s="17" t="s">
        <v>11</v>
      </c>
      <c r="D76" s="17"/>
      <c r="E76" s="16" t="s">
        <v>392</v>
      </c>
      <c r="F76" s="2" t="s">
        <v>393</v>
      </c>
      <c r="G76" s="2" t="s">
        <v>394</v>
      </c>
      <c r="H76" s="2" t="s">
        <v>395</v>
      </c>
      <c r="I76" s="2" t="s">
        <v>224</v>
      </c>
      <c r="J76" s="5" t="n">
        <f aca="false">SUMIFS('07_시간 근거'!$F$2:$F$552,'07_시간 근거'!$A$2:$A$552,$E76,'07_시간 근거'!$E$2:$E$552,"개념 설명")</f>
        <v>7</v>
      </c>
      <c r="K76" s="5" t="n">
        <f aca="false">SUMIFS('07_시간 근거'!$F$2:$F$552,'07_시간 근거'!$A$2:$A$552,$E76,'07_시간 근거'!$E$2:$E$552,"시연·실습")</f>
        <v>26</v>
      </c>
      <c r="L76" s="5" t="n">
        <f aca="false">J76+K76</f>
        <v>33</v>
      </c>
      <c r="M76" s="3" t="s">
        <v>396</v>
      </c>
    </row>
    <row r="77" customFormat="false" ht="44" hidden="false" customHeight="false" outlineLevel="0" collapsed="false">
      <c r="A77" s="17" t="n">
        <v>73</v>
      </c>
      <c r="B77" s="17" t="s">
        <v>281</v>
      </c>
      <c r="C77" s="17" t="s">
        <v>11</v>
      </c>
      <c r="D77" s="17"/>
      <c r="E77" s="16" t="s">
        <v>397</v>
      </c>
      <c r="F77" s="2" t="s">
        <v>398</v>
      </c>
      <c r="G77" s="2" t="s">
        <v>399</v>
      </c>
      <c r="H77" s="2" t="s">
        <v>400</v>
      </c>
      <c r="I77" s="2" t="s">
        <v>224</v>
      </c>
      <c r="J77" s="5" t="n">
        <f aca="false">SUMIFS('07_시간 근거'!$F$2:$F$552,'07_시간 근거'!$A$2:$A$552,$E77,'07_시간 근거'!$E$2:$E$552,"개념 설명")</f>
        <v>8</v>
      </c>
      <c r="K77" s="5" t="n">
        <f aca="false">SUMIFS('07_시간 근거'!$F$2:$F$552,'07_시간 근거'!$A$2:$A$552,$E77,'07_시간 근거'!$E$2:$E$552,"시연·실습")</f>
        <v>27</v>
      </c>
      <c r="L77" s="5" t="n">
        <f aca="false">J77+K77</f>
        <v>35</v>
      </c>
      <c r="M77" s="3" t="s">
        <v>401</v>
      </c>
    </row>
    <row r="78" customFormat="false" ht="29.85" hidden="false" customHeight="false" outlineLevel="0" collapsed="false">
      <c r="A78" s="17" t="n">
        <v>74</v>
      </c>
      <c r="B78" s="17" t="s">
        <v>281</v>
      </c>
      <c r="C78" s="17" t="s">
        <v>11</v>
      </c>
      <c r="D78" s="17"/>
      <c r="E78" s="16" t="s">
        <v>402</v>
      </c>
      <c r="F78" s="2" t="s">
        <v>403</v>
      </c>
      <c r="G78" s="2" t="s">
        <v>404</v>
      </c>
      <c r="H78" s="2" t="s">
        <v>405</v>
      </c>
      <c r="I78" s="2" t="s">
        <v>224</v>
      </c>
      <c r="J78" s="5" t="n">
        <f aca="false">SUMIFS('07_시간 근거'!$F$2:$F$552,'07_시간 근거'!$A$2:$A$552,$E78,'07_시간 근거'!$E$2:$E$552,"개념 설명")</f>
        <v>7</v>
      </c>
      <c r="K78" s="5" t="n">
        <f aca="false">SUMIFS('07_시간 근거'!$F$2:$F$552,'07_시간 근거'!$A$2:$A$552,$E78,'07_시간 근거'!$E$2:$E$552,"시연·실습")</f>
        <v>26</v>
      </c>
      <c r="L78" s="5" t="n">
        <f aca="false">J78+K78</f>
        <v>33</v>
      </c>
      <c r="M78" s="3" t="s">
        <v>406</v>
      </c>
    </row>
    <row r="79" customFormat="false" ht="29.85" hidden="false" customHeight="false" outlineLevel="0" collapsed="false">
      <c r="A79" s="17" t="n">
        <v>75</v>
      </c>
      <c r="B79" s="17" t="s">
        <v>281</v>
      </c>
      <c r="C79" s="17" t="s">
        <v>11</v>
      </c>
      <c r="D79" s="17"/>
      <c r="E79" s="16" t="s">
        <v>407</v>
      </c>
      <c r="F79" s="2" t="s">
        <v>408</v>
      </c>
      <c r="G79" s="2" t="s">
        <v>409</v>
      </c>
      <c r="H79" s="2" t="s">
        <v>410</v>
      </c>
      <c r="I79" s="2" t="s">
        <v>224</v>
      </c>
      <c r="J79" s="5" t="n">
        <f aca="false">SUMIFS('07_시간 근거'!$F$2:$F$552,'07_시간 근거'!$A$2:$A$552,$E79,'07_시간 근거'!$E$2:$E$552,"개념 설명")</f>
        <v>7</v>
      </c>
      <c r="K79" s="5" t="n">
        <f aca="false">SUMIFS('07_시간 근거'!$F$2:$F$552,'07_시간 근거'!$A$2:$A$552,$E79,'07_시간 근거'!$E$2:$E$552,"시연·실습")</f>
        <v>30</v>
      </c>
      <c r="L79" s="5" t="n">
        <f aca="false">J79+K79</f>
        <v>37</v>
      </c>
      <c r="M79" s="3" t="s">
        <v>411</v>
      </c>
    </row>
    <row r="80" customFormat="false" ht="29.85" hidden="false" customHeight="false" outlineLevel="0" collapsed="false">
      <c r="A80" s="17" t="n">
        <v>76</v>
      </c>
      <c r="B80" s="17" t="s">
        <v>281</v>
      </c>
      <c r="C80" s="17" t="s">
        <v>11</v>
      </c>
      <c r="D80" s="17"/>
      <c r="E80" s="16" t="s">
        <v>412</v>
      </c>
      <c r="F80" s="2" t="s">
        <v>413</v>
      </c>
      <c r="G80" s="2" t="s">
        <v>414</v>
      </c>
      <c r="H80" s="2" t="s">
        <v>69</v>
      </c>
      <c r="I80" s="2" t="s">
        <v>280</v>
      </c>
      <c r="J80" s="5" t="n">
        <f aca="false">SUMIFS('07_시간 근거'!$F$2:$F$552,'07_시간 근거'!$A$2:$A$552,$E80,'07_시간 근거'!$E$2:$E$552,"개념 설명")</f>
        <v>5</v>
      </c>
      <c r="K80" s="5" t="n">
        <f aca="false">SUMIFS('07_시간 근거'!$F$2:$F$552,'07_시간 근거'!$A$2:$A$552,$E80,'07_시간 근거'!$E$2:$E$552,"시연·실습")</f>
        <v>3</v>
      </c>
      <c r="L80" s="5" t="n">
        <f aca="false">J80+K80</f>
        <v>8</v>
      </c>
      <c r="M80" s="2"/>
    </row>
    <row r="81" customFormat="false" ht="15" hidden="false" customHeight="false" outlineLevel="0" collapsed="false">
      <c r="A81" s="9" t="str">
        <f aca="false">"4. BPMN — 제안이 한 번 승인되고, 실행되고, 자동 확인되어야 일이 닫힌다  ("&amp;SUM(L82:L106)&amp;"분)"</f>
        <v>4. BPMN — 제안이 한 번 승인되고, 실행되고, 자동 확인되어야 일이 닫힌다  (521분)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</row>
    <row r="82" customFormat="false" ht="58.2" hidden="false" customHeight="false" outlineLevel="0" collapsed="false">
      <c r="A82" s="13" t="n">
        <v>77</v>
      </c>
      <c r="B82" s="12" t="s">
        <v>415</v>
      </c>
      <c r="C82" s="13" t="s">
        <v>7</v>
      </c>
      <c r="D82" s="13"/>
      <c r="E82" s="12" t="s">
        <v>416</v>
      </c>
      <c r="F82" s="2" t="s">
        <v>417</v>
      </c>
      <c r="G82" s="2" t="s">
        <v>418</v>
      </c>
      <c r="H82" s="2" t="s">
        <v>419</v>
      </c>
      <c r="I82" s="2" t="s">
        <v>70</v>
      </c>
      <c r="J82" s="5" t="n">
        <f aca="false">SUMIFS('07_시간 근거'!$F$2:$F$552,'07_시간 근거'!$A$2:$A$552,$E82,'07_시간 근거'!$E$2:$E$552,"개념 설명")</f>
        <v>19</v>
      </c>
      <c r="K82" s="5" t="n">
        <f aca="false">SUMIFS('07_시간 근거'!$F$2:$F$552,'07_시간 근거'!$A$2:$A$552,$E82,'07_시간 근거'!$E$2:$E$552,"시연·실습")</f>
        <v>0</v>
      </c>
      <c r="L82" s="5" t="n">
        <f aca="false">J82+K82</f>
        <v>19</v>
      </c>
      <c r="M82" s="2"/>
    </row>
    <row r="83" customFormat="false" ht="44" hidden="false" customHeight="false" outlineLevel="0" collapsed="false">
      <c r="A83" s="13" t="n">
        <v>78</v>
      </c>
      <c r="B83" s="12" t="s">
        <v>415</v>
      </c>
      <c r="C83" s="13" t="s">
        <v>7</v>
      </c>
      <c r="D83" s="13"/>
      <c r="E83" s="12" t="s">
        <v>420</v>
      </c>
      <c r="F83" s="2" t="s">
        <v>421</v>
      </c>
      <c r="G83" s="2" t="s">
        <v>422</v>
      </c>
      <c r="H83" s="3" t="s">
        <v>423</v>
      </c>
      <c r="I83" s="2" t="s">
        <v>424</v>
      </c>
      <c r="J83" s="5" t="n">
        <f aca="false">SUMIFS('07_시간 근거'!$F$2:$F$552,'07_시간 근거'!$A$2:$A$552,$E83,'07_시간 근거'!$E$2:$E$552,"개념 설명")</f>
        <v>0</v>
      </c>
      <c r="K83" s="5" t="n">
        <f aca="false">SUMIFS('07_시간 근거'!$F$2:$F$552,'07_시간 근거'!$A$2:$A$552,$E83,'07_시간 근거'!$E$2:$E$552,"시연·실습")</f>
        <v>9</v>
      </c>
      <c r="L83" s="5" t="n">
        <f aca="false">J83+K83</f>
        <v>9</v>
      </c>
      <c r="M83" s="2"/>
    </row>
    <row r="84" customFormat="false" ht="72.35" hidden="false" customHeight="false" outlineLevel="0" collapsed="false">
      <c r="A84" s="13" t="n">
        <v>79</v>
      </c>
      <c r="B84" s="12" t="s">
        <v>415</v>
      </c>
      <c r="C84" s="13" t="s">
        <v>7</v>
      </c>
      <c r="D84" s="13"/>
      <c r="E84" s="12" t="s">
        <v>425</v>
      </c>
      <c r="F84" s="2" t="s">
        <v>426</v>
      </c>
      <c r="G84" s="2" t="s">
        <v>427</v>
      </c>
      <c r="H84" s="2" t="s">
        <v>428</v>
      </c>
      <c r="I84" s="2" t="s">
        <v>429</v>
      </c>
      <c r="J84" s="5" t="n">
        <f aca="false">SUMIFS('07_시간 근거'!$F$2:$F$552,'07_시간 근거'!$A$2:$A$552,$E84,'07_시간 근거'!$E$2:$E$552,"개념 설명")</f>
        <v>17</v>
      </c>
      <c r="K84" s="5" t="n">
        <f aca="false">SUMIFS('07_시간 근거'!$F$2:$F$552,'07_시간 근거'!$A$2:$A$552,$E84,'07_시간 근거'!$E$2:$E$552,"시연·실습")</f>
        <v>12</v>
      </c>
      <c r="L84" s="5" t="n">
        <f aca="false">J84+K84</f>
        <v>29</v>
      </c>
      <c r="M84" s="2"/>
    </row>
    <row r="85" customFormat="false" ht="58.2" hidden="false" customHeight="false" outlineLevel="0" collapsed="false">
      <c r="A85" s="13" t="n">
        <v>80</v>
      </c>
      <c r="B85" s="12" t="s">
        <v>415</v>
      </c>
      <c r="C85" s="13" t="s">
        <v>7</v>
      </c>
      <c r="D85" s="13"/>
      <c r="E85" s="12" t="s">
        <v>430</v>
      </c>
      <c r="F85" s="2" t="s">
        <v>431</v>
      </c>
      <c r="G85" s="2" t="s">
        <v>432</v>
      </c>
      <c r="H85" s="2" t="s">
        <v>433</v>
      </c>
      <c r="I85" s="2" t="s">
        <v>70</v>
      </c>
      <c r="J85" s="5" t="n">
        <f aca="false">SUMIFS('07_시간 근거'!$F$2:$F$552,'07_시간 근거'!$A$2:$A$552,$E85,'07_시간 근거'!$E$2:$E$552,"개념 설명")</f>
        <v>7</v>
      </c>
      <c r="K85" s="5" t="n">
        <f aca="false">SUMIFS('07_시간 근거'!$F$2:$F$552,'07_시간 근거'!$A$2:$A$552,$E85,'07_시간 근거'!$E$2:$E$552,"시연·실습")</f>
        <v>0</v>
      </c>
      <c r="L85" s="5" t="n">
        <f aca="false">J85+K85</f>
        <v>7</v>
      </c>
      <c r="M85" s="2"/>
    </row>
    <row r="86" customFormat="false" ht="72.35" hidden="false" customHeight="false" outlineLevel="0" collapsed="false">
      <c r="A86" s="13" t="n">
        <v>81</v>
      </c>
      <c r="B86" s="12" t="s">
        <v>415</v>
      </c>
      <c r="C86" s="13" t="s">
        <v>7</v>
      </c>
      <c r="D86" s="13"/>
      <c r="E86" s="12" t="s">
        <v>434</v>
      </c>
      <c r="F86" s="3" t="s">
        <v>435</v>
      </c>
      <c r="G86" s="2" t="s">
        <v>436</v>
      </c>
      <c r="H86" s="2" t="s">
        <v>437</v>
      </c>
      <c r="I86" s="2" t="s">
        <v>290</v>
      </c>
      <c r="J86" s="5" t="n">
        <f aca="false">SUMIFS('07_시간 근거'!$F$2:$F$552,'07_시간 근거'!$A$2:$A$552,$E86,'07_시간 근거'!$E$2:$E$552,"개념 설명")</f>
        <v>17</v>
      </c>
      <c r="K86" s="5" t="n">
        <f aca="false">SUMIFS('07_시간 근거'!$F$2:$F$552,'07_시간 근거'!$A$2:$A$552,$E86,'07_시간 근거'!$E$2:$E$552,"시연·실습")</f>
        <v>9</v>
      </c>
      <c r="L86" s="5" t="n">
        <f aca="false">J86+K86</f>
        <v>26</v>
      </c>
      <c r="M86" s="2"/>
    </row>
    <row r="87" customFormat="false" ht="72.35" hidden="false" customHeight="false" outlineLevel="0" collapsed="false">
      <c r="A87" s="13" t="n">
        <v>82</v>
      </c>
      <c r="B87" s="12" t="s">
        <v>415</v>
      </c>
      <c r="C87" s="13" t="s">
        <v>7</v>
      </c>
      <c r="D87" s="13"/>
      <c r="E87" s="12" t="s">
        <v>438</v>
      </c>
      <c r="F87" s="2" t="s">
        <v>439</v>
      </c>
      <c r="G87" s="2" t="s">
        <v>440</v>
      </c>
      <c r="H87" s="2" t="s">
        <v>441</v>
      </c>
      <c r="I87" s="2" t="s">
        <v>442</v>
      </c>
      <c r="J87" s="5" t="n">
        <f aca="false">SUMIFS('07_시간 근거'!$F$2:$F$552,'07_시간 근거'!$A$2:$A$552,$E87,'07_시간 근거'!$E$2:$E$552,"개념 설명")</f>
        <v>14</v>
      </c>
      <c r="K87" s="5" t="n">
        <f aca="false">SUMIFS('07_시간 근거'!$F$2:$F$552,'07_시간 근거'!$A$2:$A$552,$E87,'07_시간 근거'!$E$2:$E$552,"시연·실습")</f>
        <v>6</v>
      </c>
      <c r="L87" s="5" t="n">
        <f aca="false">J87+K87</f>
        <v>20</v>
      </c>
      <c r="M87" s="2"/>
    </row>
    <row r="88" customFormat="false" ht="69.4" hidden="false" customHeight="false" outlineLevel="0" collapsed="false">
      <c r="A88" s="13" t="n">
        <v>83</v>
      </c>
      <c r="B88" s="12" t="s">
        <v>415</v>
      </c>
      <c r="C88" s="13" t="s">
        <v>7</v>
      </c>
      <c r="D88" s="13"/>
      <c r="E88" s="12" t="s">
        <v>443</v>
      </c>
      <c r="F88" s="2" t="s">
        <v>444</v>
      </c>
      <c r="G88" s="2" t="s">
        <v>445</v>
      </c>
      <c r="H88" s="2" t="s">
        <v>446</v>
      </c>
      <c r="I88" s="2" t="s">
        <v>70</v>
      </c>
      <c r="J88" s="5" t="n">
        <f aca="false">SUMIFS('07_시간 근거'!$F$2:$F$552,'07_시간 근거'!$A$2:$A$552,$E88,'07_시간 근거'!$E$2:$E$552,"개념 설명")</f>
        <v>17</v>
      </c>
      <c r="K88" s="5" t="n">
        <f aca="false">SUMIFS('07_시간 근거'!$F$2:$F$552,'07_시간 근거'!$A$2:$A$552,$E88,'07_시간 근거'!$E$2:$E$552,"시연·실습")</f>
        <v>0</v>
      </c>
      <c r="L88" s="5" t="n">
        <f aca="false">J88+K88</f>
        <v>17</v>
      </c>
      <c r="M88" s="2"/>
    </row>
    <row r="89" customFormat="false" ht="41" hidden="false" customHeight="false" outlineLevel="0" collapsed="false">
      <c r="A89" s="13" t="n">
        <v>84</v>
      </c>
      <c r="B89" s="12" t="s">
        <v>415</v>
      </c>
      <c r="C89" s="13" t="s">
        <v>7</v>
      </c>
      <c r="D89" s="13"/>
      <c r="E89" s="12" t="s">
        <v>447</v>
      </c>
      <c r="F89" s="2" t="s">
        <v>448</v>
      </c>
      <c r="G89" s="2" t="s">
        <v>449</v>
      </c>
      <c r="H89" s="2" t="s">
        <v>450</v>
      </c>
      <c r="I89" s="2" t="s">
        <v>70</v>
      </c>
      <c r="J89" s="5" t="n">
        <f aca="false">SUMIFS('07_시간 근거'!$F$2:$F$552,'07_시간 근거'!$A$2:$A$552,$E89,'07_시간 근거'!$E$2:$E$552,"개념 설명")</f>
        <v>12</v>
      </c>
      <c r="K89" s="5" t="n">
        <f aca="false">SUMIFS('07_시간 근거'!$F$2:$F$552,'07_시간 근거'!$A$2:$A$552,$E89,'07_시간 근거'!$E$2:$E$552,"시연·실습")</f>
        <v>0</v>
      </c>
      <c r="L89" s="5" t="n">
        <f aca="false">J89+K89</f>
        <v>12</v>
      </c>
      <c r="M89" s="2"/>
    </row>
    <row r="90" customFormat="false" ht="44" hidden="false" customHeight="false" outlineLevel="0" collapsed="false">
      <c r="A90" s="13" t="n">
        <v>85</v>
      </c>
      <c r="B90" s="12" t="s">
        <v>415</v>
      </c>
      <c r="C90" s="13" t="s">
        <v>7</v>
      </c>
      <c r="D90" s="13"/>
      <c r="E90" s="12" t="s">
        <v>451</v>
      </c>
      <c r="F90" s="2" t="s">
        <v>452</v>
      </c>
      <c r="G90" s="2" t="s">
        <v>453</v>
      </c>
      <c r="H90" s="2" t="s">
        <v>454</v>
      </c>
      <c r="I90" s="2" t="s">
        <v>89</v>
      </c>
      <c r="J90" s="5" t="n">
        <f aca="false">SUMIFS('07_시간 근거'!$F$2:$F$552,'07_시간 근거'!$A$2:$A$552,$E90,'07_시간 근거'!$E$2:$E$552,"개념 설명")</f>
        <v>8</v>
      </c>
      <c r="K90" s="5" t="n">
        <f aca="false">SUMIFS('07_시간 근거'!$F$2:$F$552,'07_시간 근거'!$A$2:$A$552,$E90,'07_시간 근거'!$E$2:$E$552,"시연·실습")</f>
        <v>7</v>
      </c>
      <c r="L90" s="5" t="n">
        <f aca="false">J90+K90</f>
        <v>15</v>
      </c>
      <c r="M90" s="2"/>
    </row>
    <row r="91" customFormat="false" ht="29.85" hidden="false" customHeight="false" outlineLevel="0" collapsed="false">
      <c r="A91" s="13" t="n">
        <v>86</v>
      </c>
      <c r="B91" s="12" t="s">
        <v>415</v>
      </c>
      <c r="C91" s="13" t="s">
        <v>7</v>
      </c>
      <c r="D91" s="13"/>
      <c r="E91" s="12" t="s">
        <v>455</v>
      </c>
      <c r="F91" s="2" t="s">
        <v>456</v>
      </c>
      <c r="G91" s="2" t="s">
        <v>457</v>
      </c>
      <c r="H91" s="2" t="s">
        <v>458</v>
      </c>
      <c r="I91" s="2" t="s">
        <v>89</v>
      </c>
      <c r="J91" s="5" t="n">
        <f aca="false">SUMIFS('07_시간 근거'!$F$2:$F$552,'07_시간 근거'!$A$2:$A$552,$E91,'07_시간 근거'!$E$2:$E$552,"개념 설명")</f>
        <v>3</v>
      </c>
      <c r="K91" s="5" t="n">
        <f aca="false">SUMIFS('07_시간 근거'!$F$2:$F$552,'07_시간 근거'!$A$2:$A$552,$E91,'07_시간 근거'!$E$2:$E$552,"시연·실습")</f>
        <v>5</v>
      </c>
      <c r="L91" s="5" t="n">
        <f aca="false">J91+K91</f>
        <v>8</v>
      </c>
      <c r="M91" s="2"/>
    </row>
    <row r="92" customFormat="false" ht="58.2" hidden="false" customHeight="false" outlineLevel="0" collapsed="false">
      <c r="A92" s="15" t="n">
        <v>87</v>
      </c>
      <c r="B92" s="14" t="s">
        <v>415</v>
      </c>
      <c r="C92" s="15" t="s">
        <v>9</v>
      </c>
      <c r="D92" s="15" t="s">
        <v>159</v>
      </c>
      <c r="E92" s="14" t="s">
        <v>459</v>
      </c>
      <c r="F92" s="2" t="s">
        <v>161</v>
      </c>
      <c r="G92" s="2" t="s">
        <v>460</v>
      </c>
      <c r="H92" s="2" t="s">
        <v>163</v>
      </c>
      <c r="I92" s="2" t="s">
        <v>164</v>
      </c>
      <c r="J92" s="5" t="n">
        <f aca="false">SUMIFS('07_시간 근거'!$F$2:$F$552,'07_시간 근거'!$A$2:$A$552,$E92,'07_시간 근거'!$E$2:$E$552,"개념 설명")</f>
        <v>10</v>
      </c>
      <c r="K92" s="5" t="n">
        <f aca="false">SUMIFS('07_시간 근거'!$F$2:$F$552,'07_시간 근거'!$A$2:$A$552,$E92,'07_시간 근거'!$E$2:$E$552,"시연·실습")</f>
        <v>0</v>
      </c>
      <c r="L92" s="5" t="n">
        <f aca="false">J92+K92</f>
        <v>10</v>
      </c>
      <c r="M92" s="2"/>
    </row>
    <row r="93" customFormat="false" ht="86.55" hidden="false" customHeight="false" outlineLevel="0" collapsed="false">
      <c r="A93" s="15" t="n">
        <v>88</v>
      </c>
      <c r="B93" s="14" t="s">
        <v>415</v>
      </c>
      <c r="C93" s="15" t="s">
        <v>9</v>
      </c>
      <c r="D93" s="14" t="s">
        <v>33</v>
      </c>
      <c r="E93" s="14" t="s">
        <v>461</v>
      </c>
      <c r="F93" s="2" t="s">
        <v>462</v>
      </c>
      <c r="G93" s="3" t="s">
        <v>463</v>
      </c>
      <c r="H93" s="3" t="s">
        <v>464</v>
      </c>
      <c r="I93" s="2" t="s">
        <v>99</v>
      </c>
      <c r="J93" s="5" t="n">
        <f aca="false">SUMIFS('07_시간 근거'!$F$2:$F$552,'07_시간 근거'!$A$2:$A$552,$E93,'07_시간 근거'!$E$2:$E$552,"개념 설명")</f>
        <v>5</v>
      </c>
      <c r="K93" s="5" t="n">
        <f aca="false">SUMIFS('07_시간 근거'!$F$2:$F$552,'07_시간 근거'!$A$2:$A$552,$E93,'07_시간 근거'!$E$2:$E$552,"시연·실습")</f>
        <v>21</v>
      </c>
      <c r="L93" s="5" t="n">
        <f aca="false">J93+K93</f>
        <v>26</v>
      </c>
      <c r="M93" s="2" t="s">
        <v>169</v>
      </c>
    </row>
    <row r="94" customFormat="false" ht="72.35" hidden="false" customHeight="false" outlineLevel="0" collapsed="false">
      <c r="A94" s="15" t="n">
        <v>89</v>
      </c>
      <c r="B94" s="14" t="s">
        <v>415</v>
      </c>
      <c r="C94" s="15" t="s">
        <v>9</v>
      </c>
      <c r="D94" s="14" t="s">
        <v>33</v>
      </c>
      <c r="E94" s="14" t="s">
        <v>465</v>
      </c>
      <c r="F94" s="2" t="s">
        <v>466</v>
      </c>
      <c r="G94" s="3" t="s">
        <v>467</v>
      </c>
      <c r="H94" s="2" t="s">
        <v>468</v>
      </c>
      <c r="I94" s="2" t="s">
        <v>99</v>
      </c>
      <c r="J94" s="5" t="n">
        <f aca="false">SUMIFS('07_시간 근거'!$F$2:$F$552,'07_시간 근거'!$A$2:$A$552,$E94,'07_시간 근거'!$E$2:$E$552,"개념 설명")</f>
        <v>6</v>
      </c>
      <c r="K94" s="5" t="n">
        <f aca="false">SUMIFS('07_시간 근거'!$F$2:$F$552,'07_시간 근거'!$A$2:$A$552,$E94,'07_시간 근거'!$E$2:$E$552,"시연·실습")</f>
        <v>27</v>
      </c>
      <c r="L94" s="5" t="n">
        <f aca="false">J94+K94</f>
        <v>33</v>
      </c>
      <c r="M94" s="3" t="s">
        <v>469</v>
      </c>
    </row>
    <row r="95" customFormat="false" ht="58.2" hidden="false" customHeight="false" outlineLevel="0" collapsed="false">
      <c r="A95" s="15" t="n">
        <v>90</v>
      </c>
      <c r="B95" s="14" t="s">
        <v>415</v>
      </c>
      <c r="C95" s="15" t="s">
        <v>9</v>
      </c>
      <c r="D95" s="14" t="s">
        <v>184</v>
      </c>
      <c r="E95" s="14" t="s">
        <v>470</v>
      </c>
      <c r="F95" s="2" t="s">
        <v>471</v>
      </c>
      <c r="G95" s="3" t="s">
        <v>472</v>
      </c>
      <c r="H95" s="2" t="s">
        <v>473</v>
      </c>
      <c r="I95" s="2" t="s">
        <v>99</v>
      </c>
      <c r="J95" s="5" t="n">
        <f aca="false">SUMIFS('07_시간 근거'!$F$2:$F$552,'07_시간 근거'!$A$2:$A$552,$E95,'07_시간 근거'!$E$2:$E$552,"개념 설명")</f>
        <v>2</v>
      </c>
      <c r="K95" s="5" t="n">
        <f aca="false">SUMIFS('07_시간 근거'!$F$2:$F$552,'07_시간 근거'!$A$2:$A$552,$E95,'07_시간 근거'!$E$2:$E$552,"시연·실습")</f>
        <v>9</v>
      </c>
      <c r="L95" s="5" t="n">
        <f aca="false">J95+K95</f>
        <v>11</v>
      </c>
      <c r="M95" s="2" t="s">
        <v>199</v>
      </c>
    </row>
    <row r="96" customFormat="false" ht="58.2" hidden="false" customHeight="false" outlineLevel="0" collapsed="false">
      <c r="A96" s="15" t="n">
        <v>91</v>
      </c>
      <c r="B96" s="14" t="s">
        <v>415</v>
      </c>
      <c r="C96" s="15" t="s">
        <v>9</v>
      </c>
      <c r="D96" s="14" t="s">
        <v>184</v>
      </c>
      <c r="E96" s="14" t="s">
        <v>474</v>
      </c>
      <c r="F96" s="2" t="s">
        <v>475</v>
      </c>
      <c r="G96" s="3" t="s">
        <v>476</v>
      </c>
      <c r="H96" s="2" t="s">
        <v>477</v>
      </c>
      <c r="I96" s="2" t="s">
        <v>99</v>
      </c>
      <c r="J96" s="5" t="n">
        <f aca="false">SUMIFS('07_시간 근거'!$F$2:$F$552,'07_시간 근거'!$A$2:$A$552,$E96,'07_시간 근거'!$E$2:$E$552,"개념 설명")</f>
        <v>2</v>
      </c>
      <c r="K96" s="5" t="n">
        <f aca="false">SUMIFS('07_시간 근거'!$F$2:$F$552,'07_시간 근거'!$A$2:$A$552,$E96,'07_시간 근거'!$E$2:$E$552,"시연·실습")</f>
        <v>23</v>
      </c>
      <c r="L96" s="5" t="n">
        <f aca="false">J96+K96</f>
        <v>25</v>
      </c>
      <c r="M96" s="3" t="s">
        <v>478</v>
      </c>
    </row>
    <row r="97" customFormat="false" ht="44" hidden="false" customHeight="false" outlineLevel="0" collapsed="false">
      <c r="A97" s="15" t="n">
        <v>92</v>
      </c>
      <c r="B97" s="14" t="s">
        <v>415</v>
      </c>
      <c r="C97" s="15" t="s">
        <v>9</v>
      </c>
      <c r="D97" s="14" t="s">
        <v>200</v>
      </c>
      <c r="E97" s="14" t="s">
        <v>479</v>
      </c>
      <c r="F97" s="2" t="s">
        <v>480</v>
      </c>
      <c r="G97" s="3" t="s">
        <v>481</v>
      </c>
      <c r="H97" s="2" t="s">
        <v>482</v>
      </c>
      <c r="I97" s="2" t="s">
        <v>99</v>
      </c>
      <c r="J97" s="5" t="n">
        <f aca="false">SUMIFS('07_시간 근거'!$F$2:$F$552,'07_시간 근거'!$A$2:$A$552,$E97,'07_시간 근거'!$E$2:$E$552,"개념 설명")</f>
        <v>2</v>
      </c>
      <c r="K97" s="5" t="n">
        <f aca="false">SUMIFS('07_시간 근거'!$F$2:$F$552,'07_시간 근거'!$A$2:$A$552,$E97,'07_시간 근거'!$E$2:$E$552,"시연·실습")</f>
        <v>8</v>
      </c>
      <c r="L97" s="5" t="n">
        <f aca="false">J97+K97</f>
        <v>10</v>
      </c>
      <c r="M97" s="2" t="s">
        <v>214</v>
      </c>
    </row>
    <row r="98" customFormat="false" ht="58.2" hidden="false" customHeight="false" outlineLevel="0" collapsed="false">
      <c r="A98" s="15" t="n">
        <v>93</v>
      </c>
      <c r="B98" s="14" t="s">
        <v>415</v>
      </c>
      <c r="C98" s="15" t="s">
        <v>9</v>
      </c>
      <c r="D98" s="14" t="s">
        <v>200</v>
      </c>
      <c r="E98" s="14" t="s">
        <v>483</v>
      </c>
      <c r="F98" s="2" t="s">
        <v>484</v>
      </c>
      <c r="G98" s="3" t="s">
        <v>485</v>
      </c>
      <c r="H98" s="2" t="s">
        <v>486</v>
      </c>
      <c r="I98" s="2" t="s">
        <v>99</v>
      </c>
      <c r="J98" s="5" t="n">
        <f aca="false">SUMIFS('07_시간 근거'!$F$2:$F$552,'07_시간 근거'!$A$2:$A$552,$E98,'07_시간 근거'!$E$2:$E$552,"개념 설명")</f>
        <v>2</v>
      </c>
      <c r="K98" s="5" t="n">
        <f aca="false">SUMIFS('07_시간 근거'!$F$2:$F$552,'07_시간 근거'!$A$2:$A$552,$E98,'07_시간 근거'!$E$2:$E$552,"시연·실습")</f>
        <v>20</v>
      </c>
      <c r="L98" s="5" t="n">
        <f aca="false">J98+K98</f>
        <v>22</v>
      </c>
      <c r="M98" s="3" t="s">
        <v>487</v>
      </c>
    </row>
    <row r="99" customFormat="false" ht="29.85" hidden="false" customHeight="false" outlineLevel="0" collapsed="false">
      <c r="A99" s="15" t="n">
        <v>94</v>
      </c>
      <c r="B99" s="14" t="s">
        <v>415</v>
      </c>
      <c r="C99" s="15" t="s">
        <v>9</v>
      </c>
      <c r="D99" s="15" t="s">
        <v>215</v>
      </c>
      <c r="E99" s="14" t="s">
        <v>488</v>
      </c>
      <c r="F99" s="2" t="s">
        <v>489</v>
      </c>
      <c r="G99" s="3" t="s">
        <v>490</v>
      </c>
      <c r="H99" s="2" t="s">
        <v>491</v>
      </c>
      <c r="I99" s="2" t="s">
        <v>99</v>
      </c>
      <c r="J99" s="5" t="n">
        <f aca="false">SUMIFS('07_시간 근거'!$F$2:$F$552,'07_시간 근거'!$A$2:$A$552,$E99,'07_시간 근거'!$E$2:$E$552,"개념 설명")</f>
        <v>2</v>
      </c>
      <c r="K99" s="5" t="n">
        <f aca="false">SUMIFS('07_시간 근거'!$F$2:$F$552,'07_시간 근거'!$A$2:$A$552,$E99,'07_시간 근거'!$E$2:$E$552,"시연·실습")</f>
        <v>2</v>
      </c>
      <c r="L99" s="5" t="n">
        <f aca="false">J99+K99</f>
        <v>4</v>
      </c>
      <c r="M99" s="2" t="s">
        <v>215</v>
      </c>
    </row>
    <row r="100" customFormat="false" ht="29.85" hidden="false" customHeight="false" outlineLevel="0" collapsed="false">
      <c r="A100" s="17" t="n">
        <v>95</v>
      </c>
      <c r="B100" s="16" t="s">
        <v>415</v>
      </c>
      <c r="C100" s="17" t="s">
        <v>11</v>
      </c>
      <c r="D100" s="17"/>
      <c r="E100" s="16" t="s">
        <v>492</v>
      </c>
      <c r="F100" s="2" t="s">
        <v>493</v>
      </c>
      <c r="G100" s="2" t="s">
        <v>494</v>
      </c>
      <c r="H100" s="2" t="s">
        <v>495</v>
      </c>
      <c r="I100" s="2" t="s">
        <v>224</v>
      </c>
      <c r="J100" s="5" t="n">
        <f aca="false">SUMIFS('07_시간 근거'!$F$2:$F$552,'07_시간 근거'!$A$2:$A$552,$E100,'07_시간 근거'!$E$2:$E$552,"개념 설명")</f>
        <v>7</v>
      </c>
      <c r="K100" s="5" t="n">
        <f aca="false">SUMIFS('07_시간 근거'!$F$2:$F$552,'07_시간 근거'!$A$2:$A$552,$E100,'07_시간 근거'!$E$2:$E$552,"시연·실습")</f>
        <v>32</v>
      </c>
      <c r="L100" s="5" t="n">
        <f aca="false">J100+K100</f>
        <v>39</v>
      </c>
      <c r="M100" s="3" t="s">
        <v>496</v>
      </c>
    </row>
    <row r="101" customFormat="false" ht="44" hidden="false" customHeight="false" outlineLevel="0" collapsed="false">
      <c r="A101" s="17" t="n">
        <v>96</v>
      </c>
      <c r="B101" s="16" t="s">
        <v>415</v>
      </c>
      <c r="C101" s="17" t="s">
        <v>11</v>
      </c>
      <c r="D101" s="17"/>
      <c r="E101" s="16" t="s">
        <v>497</v>
      </c>
      <c r="F101" s="2" t="s">
        <v>498</v>
      </c>
      <c r="G101" s="2" t="s">
        <v>499</v>
      </c>
      <c r="H101" s="2" t="s">
        <v>500</v>
      </c>
      <c r="I101" s="2" t="s">
        <v>224</v>
      </c>
      <c r="J101" s="5" t="n">
        <f aca="false">SUMIFS('07_시간 근거'!$F$2:$F$552,'07_시간 근거'!$A$2:$A$552,$E101,'07_시간 근거'!$E$2:$E$552,"개념 설명")</f>
        <v>7</v>
      </c>
      <c r="K101" s="5" t="n">
        <f aca="false">SUMIFS('07_시간 근거'!$F$2:$F$552,'07_시간 근거'!$A$2:$A$552,$E101,'07_시간 근거'!$E$2:$E$552,"시연·실습")</f>
        <v>32</v>
      </c>
      <c r="L101" s="5" t="n">
        <f aca="false">J101+K101</f>
        <v>39</v>
      </c>
      <c r="M101" s="3" t="s">
        <v>501</v>
      </c>
    </row>
    <row r="102" customFormat="false" ht="29.85" hidden="false" customHeight="false" outlineLevel="0" collapsed="false">
      <c r="A102" s="17" t="n">
        <v>97</v>
      </c>
      <c r="B102" s="16" t="s">
        <v>415</v>
      </c>
      <c r="C102" s="17" t="s">
        <v>11</v>
      </c>
      <c r="D102" s="17"/>
      <c r="E102" s="16" t="s">
        <v>502</v>
      </c>
      <c r="F102" s="2" t="s">
        <v>503</v>
      </c>
      <c r="G102" s="2" t="s">
        <v>504</v>
      </c>
      <c r="H102" s="2" t="s">
        <v>505</v>
      </c>
      <c r="I102" s="2" t="s">
        <v>224</v>
      </c>
      <c r="J102" s="5" t="n">
        <f aca="false">SUMIFS('07_시간 근거'!$F$2:$F$552,'07_시간 근거'!$A$2:$A$552,$E102,'07_시간 근거'!$E$2:$E$552,"개념 설명")</f>
        <v>7</v>
      </c>
      <c r="K102" s="5" t="n">
        <f aca="false">SUMIFS('07_시간 근거'!$F$2:$F$552,'07_시간 근거'!$A$2:$A$552,$E102,'07_시간 근거'!$E$2:$E$552,"시연·실습")</f>
        <v>26</v>
      </c>
      <c r="L102" s="5" t="n">
        <f aca="false">J102+K102</f>
        <v>33</v>
      </c>
      <c r="M102" s="3" t="s">
        <v>506</v>
      </c>
    </row>
    <row r="103" customFormat="false" ht="29.85" hidden="false" customHeight="false" outlineLevel="0" collapsed="false">
      <c r="A103" s="17" t="n">
        <v>98</v>
      </c>
      <c r="B103" s="16" t="s">
        <v>415</v>
      </c>
      <c r="C103" s="17" t="s">
        <v>11</v>
      </c>
      <c r="D103" s="17"/>
      <c r="E103" s="16" t="s">
        <v>507</v>
      </c>
      <c r="F103" s="2" t="s">
        <v>508</v>
      </c>
      <c r="G103" s="3" t="s">
        <v>509</v>
      </c>
      <c r="H103" s="2" t="s">
        <v>510</v>
      </c>
      <c r="I103" s="2" t="s">
        <v>224</v>
      </c>
      <c r="J103" s="5" t="n">
        <f aca="false">SUMIFS('07_시간 근거'!$F$2:$F$552,'07_시간 근거'!$A$2:$A$552,$E103,'07_시간 근거'!$E$2:$E$552,"개념 설명")</f>
        <v>3</v>
      </c>
      <c r="K103" s="5" t="n">
        <f aca="false">SUMIFS('07_시간 근거'!$F$2:$F$552,'07_시간 근거'!$A$2:$A$552,$E103,'07_시간 근거'!$E$2:$E$552,"시연·실습")</f>
        <v>21</v>
      </c>
      <c r="L103" s="5" t="n">
        <f aca="false">J103+K103</f>
        <v>24</v>
      </c>
      <c r="M103" s="3" t="s">
        <v>511</v>
      </c>
    </row>
    <row r="104" customFormat="false" ht="44" hidden="false" customHeight="false" outlineLevel="0" collapsed="false">
      <c r="A104" s="17" t="n">
        <v>99</v>
      </c>
      <c r="B104" s="16" t="s">
        <v>415</v>
      </c>
      <c r="C104" s="17" t="s">
        <v>11</v>
      </c>
      <c r="D104" s="17"/>
      <c r="E104" s="16" t="s">
        <v>512</v>
      </c>
      <c r="F104" s="2" t="s">
        <v>513</v>
      </c>
      <c r="G104" s="2" t="s">
        <v>514</v>
      </c>
      <c r="H104" s="2" t="s">
        <v>515</v>
      </c>
      <c r="I104" s="2" t="s">
        <v>224</v>
      </c>
      <c r="J104" s="5" t="n">
        <f aca="false">SUMIFS('07_시간 근거'!$F$2:$F$552,'07_시간 근거'!$A$2:$A$552,$E104,'07_시간 근거'!$E$2:$E$552,"개념 설명")</f>
        <v>7</v>
      </c>
      <c r="K104" s="5" t="n">
        <f aca="false">SUMIFS('07_시간 근거'!$F$2:$F$552,'07_시간 근거'!$A$2:$A$552,$E104,'07_시간 근거'!$E$2:$E$552,"시연·실습")</f>
        <v>30</v>
      </c>
      <c r="L104" s="5" t="n">
        <f aca="false">J104+K104</f>
        <v>37</v>
      </c>
      <c r="M104" s="3" t="s">
        <v>516</v>
      </c>
    </row>
    <row r="105" customFormat="false" ht="29.85" hidden="false" customHeight="false" outlineLevel="0" collapsed="false">
      <c r="A105" s="17" t="n">
        <v>100</v>
      </c>
      <c r="B105" s="16" t="s">
        <v>415</v>
      </c>
      <c r="C105" s="17" t="s">
        <v>11</v>
      </c>
      <c r="D105" s="17"/>
      <c r="E105" s="16" t="s">
        <v>517</v>
      </c>
      <c r="F105" s="2" t="s">
        <v>518</v>
      </c>
      <c r="G105" s="2" t="s">
        <v>519</v>
      </c>
      <c r="H105" s="2" t="s">
        <v>520</v>
      </c>
      <c r="I105" s="2" t="s">
        <v>224</v>
      </c>
      <c r="J105" s="5" t="n">
        <f aca="false">SUMIFS('07_시간 근거'!$F$2:$F$552,'07_시간 근거'!$A$2:$A$552,$E105,'07_시간 근거'!$E$2:$E$552,"개념 설명")</f>
        <v>7</v>
      </c>
      <c r="K105" s="5" t="n">
        <f aca="false">SUMIFS('07_시간 근거'!$F$2:$F$552,'07_시간 근거'!$A$2:$A$552,$E105,'07_시간 근거'!$E$2:$E$552,"시연·실습")</f>
        <v>31</v>
      </c>
      <c r="L105" s="5" t="n">
        <f aca="false">J105+K105</f>
        <v>38</v>
      </c>
      <c r="M105" s="3" t="s">
        <v>521</v>
      </c>
    </row>
    <row r="106" customFormat="false" ht="44" hidden="false" customHeight="false" outlineLevel="0" collapsed="false">
      <c r="A106" s="17" t="n">
        <v>101</v>
      </c>
      <c r="B106" s="16" t="s">
        <v>415</v>
      </c>
      <c r="C106" s="17" t="s">
        <v>11</v>
      </c>
      <c r="D106" s="17"/>
      <c r="E106" s="16" t="s">
        <v>522</v>
      </c>
      <c r="F106" s="2" t="s">
        <v>523</v>
      </c>
      <c r="G106" s="3" t="s">
        <v>524</v>
      </c>
      <c r="H106" s="2" t="s">
        <v>69</v>
      </c>
      <c r="I106" s="2" t="s">
        <v>280</v>
      </c>
      <c r="J106" s="5" t="n">
        <f aca="false">SUMIFS('07_시간 근거'!$F$2:$F$552,'07_시간 근거'!$A$2:$A$552,$E106,'07_시간 근거'!$E$2:$E$552,"개념 설명")</f>
        <v>5</v>
      </c>
      <c r="K106" s="5" t="n">
        <f aca="false">SUMIFS('07_시간 근거'!$F$2:$F$552,'07_시간 근거'!$A$2:$A$552,$E106,'07_시간 근거'!$E$2:$E$552,"시연·실습")</f>
        <v>3</v>
      </c>
      <c r="L106" s="5" t="n">
        <f aca="false">J106+K106</f>
        <v>8</v>
      </c>
      <c r="M106" s="2"/>
    </row>
    <row r="107" customFormat="false" ht="15" hidden="false" customHeight="false" outlineLevel="0" collapsed="false">
      <c r="A107" s="9" t="str">
        <f aca="false">"5. 마무리 — 내가 만든 것이 실제 제품에서는 어디에 있나  ("&amp;SUM(L108)&amp;"분)"</f>
        <v>5. 마무리 — 내가 만든 것이 실제 제품에서는 어디에 있나  (40분)</v>
      </c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</row>
    <row r="108" customFormat="false" ht="58.2" hidden="false" customHeight="false" outlineLevel="0" collapsed="false">
      <c r="A108" s="11" t="n">
        <v>102</v>
      </c>
      <c r="B108" s="11" t="s">
        <v>525</v>
      </c>
      <c r="C108" s="11" t="s">
        <v>525</v>
      </c>
      <c r="D108" s="11"/>
      <c r="E108" s="10" t="s">
        <v>526</v>
      </c>
      <c r="F108" s="2" t="s">
        <v>527</v>
      </c>
      <c r="G108" s="2" t="s">
        <v>528</v>
      </c>
      <c r="H108" s="3" t="s">
        <v>529</v>
      </c>
      <c r="I108" s="2" t="s">
        <v>46</v>
      </c>
      <c r="J108" s="5" t="n">
        <f aca="false">SUMIFS('07_시간 근거'!$F$2:$F$552,'07_시간 근거'!$A$2:$A$552,$E108,'07_시간 근거'!$E$2:$E$552,"개념 설명")</f>
        <v>0</v>
      </c>
      <c r="K108" s="5" t="n">
        <f aca="false">SUMIFS('07_시간 근거'!$F$2:$F$552,'07_시간 근거'!$A$2:$A$552,$E108,'07_시간 근거'!$E$2:$E$552,"시연·실습")</f>
        <v>40</v>
      </c>
      <c r="L108" s="5" t="n">
        <f aca="false">J108+K108</f>
        <v>40</v>
      </c>
      <c r="M108" s="3" t="s">
        <v>530</v>
      </c>
    </row>
    <row r="109" customFormat="false" ht="15" hidden="false" customHeight="false" outlineLevel="0" collapsed="false">
      <c r="F109" s="1" t="s">
        <v>531</v>
      </c>
      <c r="J109" s="6" t="n">
        <f aca="false">SUM(J2:J108)</f>
        <v>858</v>
      </c>
      <c r="K109" s="6" t="n">
        <f aca="false">SUM(K2:K108)</f>
        <v>1343</v>
      </c>
      <c r="L109" s="6" t="n">
        <f aca="false">SUM(L2:L108)</f>
        <v>2201</v>
      </c>
    </row>
    <row r="110" customFormat="false" ht="15" hidden="false" customHeight="false" outlineLevel="0" collapsed="false">
      <c r="F110" s="1" t="s">
        <v>532</v>
      </c>
      <c r="L110" s="6" t="n">
        <f aca="false">ROUND(L109/60,1)</f>
        <v>36.7</v>
      </c>
    </row>
    <row r="111" customFormat="false" ht="15" hidden="false" customHeight="false" outlineLevel="0" collapsed="false">
      <c r="F111" s="1" t="s">
        <v>533</v>
      </c>
      <c r="L111" s="7" t="n">
        <v>2640</v>
      </c>
    </row>
    <row r="112" customFormat="false" ht="15" hidden="false" customHeight="false" outlineLevel="0" collapsed="false">
      <c r="F112" s="1" t="s">
        <v>534</v>
      </c>
      <c r="L112" s="6" t="n">
        <f aca="false">L109-L111</f>
        <v>-439</v>
      </c>
    </row>
  </sheetData>
  <autoFilter ref="A1:M108"/>
  <mergeCells count="5">
    <mergeCell ref="A2:M2"/>
    <mergeCell ref="A10:M10"/>
    <mergeCell ref="A49:M49"/>
    <mergeCell ref="A81:M81"/>
    <mergeCell ref="A107:M10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4.55"/>
    <col collapsed="false" customWidth="true" hidden="false" outlineLevel="0" max="2" min="2" style="0" width="8.19"/>
    <col collapsed="false" customWidth="true" hidden="false" outlineLevel="0" max="3" min="3" style="0" width="5.46"/>
    <col collapsed="false" customWidth="true" hidden="false" outlineLevel="0" max="5" min="4" style="0" width="6.37"/>
    <col collapsed="false" customWidth="true" hidden="false" outlineLevel="0" max="6" min="6" style="0" width="36.39"/>
    <col collapsed="false" customWidth="true" hidden="false" outlineLevel="0" max="7" min="7" style="0" width="54.59"/>
    <col collapsed="false" customWidth="true" hidden="false" outlineLevel="0" max="8" min="8" style="0" width="32.76"/>
    <col collapsed="false" customWidth="true" hidden="false" outlineLevel="0" max="9" min="9" style="0" width="21.84"/>
    <col collapsed="false" customWidth="true" hidden="false" outlineLevel="0" max="10" min="10" style="0" width="14.56"/>
    <col collapsed="false" customWidth="true" hidden="false" outlineLevel="0" max="11" min="11" style="0" width="7.28"/>
    <col collapsed="false" customWidth="true" hidden="false" outlineLevel="0" max="12" min="12" style="0" width="27.3"/>
  </cols>
  <sheetData>
    <row r="1" customFormat="false" ht="29.85" hidden="false" customHeight="false" outlineLevel="0" collapsed="false">
      <c r="A1" s="8" t="s">
        <v>53</v>
      </c>
      <c r="B1" s="4" t="s">
        <v>21</v>
      </c>
      <c r="C1" s="4" t="s">
        <v>54</v>
      </c>
      <c r="D1" s="4" t="s">
        <v>55</v>
      </c>
      <c r="E1" s="4" t="s">
        <v>56</v>
      </c>
      <c r="F1" s="4" t="s">
        <v>535</v>
      </c>
      <c r="G1" s="4" t="s">
        <v>536</v>
      </c>
      <c r="H1" s="4" t="s">
        <v>537</v>
      </c>
      <c r="I1" s="4" t="s">
        <v>59</v>
      </c>
      <c r="J1" s="4" t="s">
        <v>538</v>
      </c>
      <c r="K1" s="4" t="s">
        <v>63</v>
      </c>
      <c r="L1" s="4" t="s">
        <v>64</v>
      </c>
    </row>
    <row r="2" customFormat="false" ht="15" hidden="false" customHeight="false" outlineLevel="0" collapsed="false">
      <c r="A2" s="9" t="str">
        <f aca="false">"1. 시작 — 공장의 값이 업무가 되기까지, 우리가 끝까지 만들 것을 먼저 본다  ("&amp;SUM(K3:K9)&amp;"분)"</f>
        <v>1. 시작 — 공장의 값이 업무가 되기까지, 우리가 끝까지 만들 것을 먼저 본다  (148분)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3" customFormat="false" ht="29.85" hidden="false" customHeight="false" outlineLevel="0" collapsed="false">
      <c r="A3" s="11" t="n">
        <v>1</v>
      </c>
      <c r="B3" s="11" t="s">
        <v>65</v>
      </c>
      <c r="C3" s="11" t="s">
        <v>65</v>
      </c>
      <c r="D3" s="11"/>
      <c r="E3" s="10" t="s">
        <v>66</v>
      </c>
      <c r="F3" s="2" t="s">
        <v>67</v>
      </c>
      <c r="G3" s="2" t="s">
        <v>539</v>
      </c>
      <c r="H3" s="2" t="s">
        <v>540</v>
      </c>
      <c r="I3" s="2" t="s">
        <v>69</v>
      </c>
      <c r="J3" s="2" t="s">
        <v>541</v>
      </c>
      <c r="K3" s="5" t="n">
        <f aca="false">SUMIF('07_시간 근거'!$A$2:$A$552,$E3,'07_시간 근거'!$G$2:$G$552)</f>
        <v>6</v>
      </c>
      <c r="L3" s="2"/>
    </row>
    <row r="4" customFormat="false" ht="29.85" hidden="false" customHeight="false" outlineLevel="0" collapsed="false">
      <c r="A4" s="11" t="n">
        <v>2</v>
      </c>
      <c r="B4" s="11" t="s">
        <v>65</v>
      </c>
      <c r="C4" s="11" t="s">
        <v>65</v>
      </c>
      <c r="D4" s="11"/>
      <c r="E4" s="10" t="s">
        <v>71</v>
      </c>
      <c r="F4" s="2" t="s">
        <v>72</v>
      </c>
      <c r="G4" s="3" t="s">
        <v>73</v>
      </c>
      <c r="H4" s="2" t="s">
        <v>542</v>
      </c>
      <c r="I4" s="3" t="s">
        <v>74</v>
      </c>
      <c r="J4" s="3" t="s">
        <v>543</v>
      </c>
      <c r="K4" s="5" t="n">
        <f aca="false">SUMIF('07_시간 근거'!$A$2:$A$552,$E4,'07_시간 근거'!$G$2:$G$552)</f>
        <v>32</v>
      </c>
      <c r="L4" s="2"/>
    </row>
    <row r="5" customFormat="false" ht="58.2" hidden="false" customHeight="false" outlineLevel="0" collapsed="false">
      <c r="A5" s="11" t="n">
        <v>3</v>
      </c>
      <c r="B5" s="11" t="s">
        <v>65</v>
      </c>
      <c r="C5" s="11" t="s">
        <v>65</v>
      </c>
      <c r="D5" s="11"/>
      <c r="E5" s="10" t="s">
        <v>76</v>
      </c>
      <c r="F5" s="2" t="s">
        <v>77</v>
      </c>
      <c r="G5" s="2" t="s">
        <v>78</v>
      </c>
      <c r="H5" s="3" t="s">
        <v>544</v>
      </c>
      <c r="I5" s="3" t="s">
        <v>79</v>
      </c>
      <c r="J5" s="2" t="s">
        <v>545</v>
      </c>
      <c r="K5" s="5" t="n">
        <f aca="false">SUMIF('07_시간 근거'!$A$2:$A$552,$E5,'07_시간 근거'!$G$2:$G$552)</f>
        <v>25</v>
      </c>
      <c r="L5" s="2"/>
    </row>
    <row r="6" customFormat="false" ht="29.85" hidden="false" customHeight="false" outlineLevel="0" collapsed="false">
      <c r="A6" s="11" t="n">
        <v>4</v>
      </c>
      <c r="B6" s="11" t="s">
        <v>65</v>
      </c>
      <c r="C6" s="11" t="s">
        <v>65</v>
      </c>
      <c r="D6" s="11"/>
      <c r="E6" s="10" t="s">
        <v>81</v>
      </c>
      <c r="F6" s="2" t="s">
        <v>82</v>
      </c>
      <c r="G6" s="2" t="s">
        <v>83</v>
      </c>
      <c r="H6" s="2" t="s">
        <v>546</v>
      </c>
      <c r="I6" s="2" t="s">
        <v>84</v>
      </c>
      <c r="J6" s="2" t="s">
        <v>541</v>
      </c>
      <c r="K6" s="5" t="n">
        <f aca="false">SUMIF('07_시간 근거'!$A$2:$A$552,$E6,'07_시간 근거'!$G$2:$G$552)</f>
        <v>20</v>
      </c>
      <c r="L6" s="2"/>
    </row>
    <row r="7" customFormat="false" ht="44" hidden="false" customHeight="false" outlineLevel="0" collapsed="false">
      <c r="A7" s="11" t="n">
        <v>5</v>
      </c>
      <c r="B7" s="11" t="s">
        <v>65</v>
      </c>
      <c r="C7" s="11" t="s">
        <v>65</v>
      </c>
      <c r="D7" s="11"/>
      <c r="E7" s="10" t="s">
        <v>85</v>
      </c>
      <c r="F7" s="2" t="s">
        <v>86</v>
      </c>
      <c r="G7" s="2" t="s">
        <v>87</v>
      </c>
      <c r="H7" s="3" t="s">
        <v>547</v>
      </c>
      <c r="I7" s="2" t="s">
        <v>88</v>
      </c>
      <c r="J7" s="2" t="s">
        <v>548</v>
      </c>
      <c r="K7" s="5" t="n">
        <f aca="false">SUMIF('07_시간 근거'!$A$2:$A$552,$E7,'07_시간 근거'!$G$2:$G$552)</f>
        <v>26</v>
      </c>
      <c r="L7" s="2"/>
    </row>
    <row r="8" customFormat="false" ht="86.55" hidden="false" customHeight="false" outlineLevel="0" collapsed="false">
      <c r="A8" s="11" t="n">
        <v>6</v>
      </c>
      <c r="B8" s="11" t="s">
        <v>65</v>
      </c>
      <c r="C8" s="11" t="s">
        <v>65</v>
      </c>
      <c r="D8" s="11"/>
      <c r="E8" s="10" t="s">
        <v>90</v>
      </c>
      <c r="F8" s="2" t="s">
        <v>91</v>
      </c>
      <c r="G8" s="2" t="s">
        <v>92</v>
      </c>
      <c r="H8" s="2" t="s">
        <v>549</v>
      </c>
      <c r="I8" s="2" t="s">
        <v>93</v>
      </c>
      <c r="J8" s="2" t="s">
        <v>541</v>
      </c>
      <c r="K8" s="5" t="n">
        <f aca="false">SUMIF('07_시간 근거'!$A$2:$A$552,$E8,'07_시간 근거'!$G$2:$G$552)</f>
        <v>21</v>
      </c>
      <c r="L8" s="3" t="s">
        <v>94</v>
      </c>
    </row>
    <row r="9" customFormat="false" ht="29.85" hidden="false" customHeight="false" outlineLevel="0" collapsed="false">
      <c r="A9" s="11" t="n">
        <v>7</v>
      </c>
      <c r="B9" s="11" t="s">
        <v>65</v>
      </c>
      <c r="C9" s="11" t="s">
        <v>65</v>
      </c>
      <c r="D9" s="11"/>
      <c r="E9" s="10" t="s">
        <v>95</v>
      </c>
      <c r="F9" s="2" t="s">
        <v>96</v>
      </c>
      <c r="G9" s="2" t="s">
        <v>97</v>
      </c>
      <c r="H9" s="2" t="s">
        <v>550</v>
      </c>
      <c r="I9" s="2" t="s">
        <v>98</v>
      </c>
      <c r="J9" s="2" t="s">
        <v>9</v>
      </c>
      <c r="K9" s="5" t="n">
        <f aca="false">SUMIF('07_시간 근거'!$A$2:$A$552,$E9,'07_시간 근거'!$G$2:$G$552)</f>
        <v>18</v>
      </c>
      <c r="L9" s="2"/>
    </row>
    <row r="10" customFormat="false" ht="15" hidden="false" customHeight="false" outlineLevel="0" collapsed="false">
      <c r="A10" s="9" t="str">
        <f aca="false">"2. 온톨로지 — 문서를 공장의 지식 지도로 만들면 AI가 근거를 들고 답한다  ("&amp;SUM(K11:K48)&amp;"분)"</f>
        <v>2. 온톨로지 — 문서를 공장의 지식 지도로 만들면 AI가 근거를 들고 답한다  (1037분)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</row>
    <row r="11" customFormat="false" ht="44" hidden="false" customHeight="false" outlineLevel="0" collapsed="false">
      <c r="A11" s="13" t="n">
        <v>8</v>
      </c>
      <c r="B11" s="13" t="s">
        <v>100</v>
      </c>
      <c r="C11" s="13" t="s">
        <v>7</v>
      </c>
      <c r="D11" s="13"/>
      <c r="E11" s="12" t="s">
        <v>101</v>
      </c>
      <c r="F11" s="3" t="s">
        <v>102</v>
      </c>
      <c r="G11" s="2" t="s">
        <v>551</v>
      </c>
      <c r="H11" s="3" t="s">
        <v>552</v>
      </c>
      <c r="I11" s="2" t="s">
        <v>104</v>
      </c>
      <c r="J11" s="2" t="s">
        <v>541</v>
      </c>
      <c r="K11" s="5" t="n">
        <f aca="false">SUMIF('07_시간 근거'!$A$2:$A$552,$E11,'07_시간 근거'!$G$2:$G$552)</f>
        <v>28</v>
      </c>
      <c r="L11" s="2"/>
    </row>
    <row r="12" customFormat="false" ht="58.2" hidden="false" customHeight="false" outlineLevel="0" collapsed="false">
      <c r="A12" s="13" t="n">
        <v>9</v>
      </c>
      <c r="B12" s="13" t="s">
        <v>100</v>
      </c>
      <c r="C12" s="13" t="s">
        <v>7</v>
      </c>
      <c r="D12" s="13"/>
      <c r="E12" s="12" t="s">
        <v>105</v>
      </c>
      <c r="F12" s="2" t="s">
        <v>106</v>
      </c>
      <c r="G12" s="2" t="s">
        <v>553</v>
      </c>
      <c r="H12" s="2" t="s">
        <v>554</v>
      </c>
      <c r="I12" s="2" t="s">
        <v>108</v>
      </c>
      <c r="J12" s="2" t="s">
        <v>541</v>
      </c>
      <c r="K12" s="5" t="n">
        <f aca="false">SUMIF('07_시간 근거'!$A$2:$A$552,$E12,'07_시간 근거'!$G$2:$G$552)</f>
        <v>17</v>
      </c>
      <c r="L12" s="2"/>
    </row>
    <row r="13" customFormat="false" ht="29.85" hidden="false" customHeight="false" outlineLevel="0" collapsed="false">
      <c r="A13" s="13" t="n">
        <v>10</v>
      </c>
      <c r="B13" s="13" t="s">
        <v>100</v>
      </c>
      <c r="C13" s="13" t="s">
        <v>7</v>
      </c>
      <c r="D13" s="13"/>
      <c r="E13" s="12" t="s">
        <v>109</v>
      </c>
      <c r="F13" s="2" t="s">
        <v>110</v>
      </c>
      <c r="G13" s="2" t="s">
        <v>555</v>
      </c>
      <c r="H13" s="2" t="s">
        <v>556</v>
      </c>
      <c r="I13" s="2" t="s">
        <v>112</v>
      </c>
      <c r="J13" s="2" t="s">
        <v>541</v>
      </c>
      <c r="K13" s="5" t="n">
        <f aca="false">SUMIF('07_시간 근거'!$A$2:$A$552,$E13,'07_시간 근거'!$G$2:$G$552)</f>
        <v>26</v>
      </c>
      <c r="L13" s="2"/>
    </row>
    <row r="14" customFormat="false" ht="44" hidden="false" customHeight="false" outlineLevel="0" collapsed="false">
      <c r="A14" s="13" t="n">
        <v>11</v>
      </c>
      <c r="B14" s="13" t="s">
        <v>100</v>
      </c>
      <c r="C14" s="13" t="s">
        <v>7</v>
      </c>
      <c r="D14" s="13"/>
      <c r="E14" s="12" t="s">
        <v>113</v>
      </c>
      <c r="F14" s="2" t="s">
        <v>114</v>
      </c>
      <c r="G14" s="2" t="s">
        <v>557</v>
      </c>
      <c r="H14" s="2" t="s">
        <v>558</v>
      </c>
      <c r="I14" s="2" t="s">
        <v>116</v>
      </c>
      <c r="J14" s="2" t="s">
        <v>541</v>
      </c>
      <c r="K14" s="5" t="n">
        <f aca="false">SUMIF('07_시간 근거'!$A$2:$A$552,$E14,'07_시간 근거'!$G$2:$G$552)</f>
        <v>20</v>
      </c>
      <c r="L14" s="2"/>
    </row>
    <row r="15" customFormat="false" ht="29.85" hidden="false" customHeight="false" outlineLevel="0" collapsed="false">
      <c r="A15" s="13" t="n">
        <v>12</v>
      </c>
      <c r="B15" s="13" t="s">
        <v>100</v>
      </c>
      <c r="C15" s="13" t="s">
        <v>7</v>
      </c>
      <c r="D15" s="13"/>
      <c r="E15" s="12" t="s">
        <v>117</v>
      </c>
      <c r="F15" s="2" t="s">
        <v>118</v>
      </c>
      <c r="G15" s="3" t="s">
        <v>559</v>
      </c>
      <c r="H15" s="2" t="s">
        <v>560</v>
      </c>
      <c r="I15" s="3" t="s">
        <v>120</v>
      </c>
      <c r="J15" s="3" t="s">
        <v>561</v>
      </c>
      <c r="K15" s="5" t="n">
        <f aca="false">SUMIF('07_시간 근거'!$A$2:$A$552,$E15,'07_시간 근거'!$G$2:$G$552)</f>
        <v>32</v>
      </c>
      <c r="L15" s="2"/>
    </row>
    <row r="16" customFormat="false" ht="44" hidden="false" customHeight="false" outlineLevel="0" collapsed="false">
      <c r="A16" s="13" t="n">
        <v>13</v>
      </c>
      <c r="B16" s="13" t="s">
        <v>100</v>
      </c>
      <c r="C16" s="13" t="s">
        <v>7</v>
      </c>
      <c r="D16" s="13"/>
      <c r="E16" s="12" t="s">
        <v>122</v>
      </c>
      <c r="F16" s="2" t="s">
        <v>123</v>
      </c>
      <c r="G16" s="2" t="s">
        <v>562</v>
      </c>
      <c r="H16" s="2" t="s">
        <v>563</v>
      </c>
      <c r="I16" s="2" t="s">
        <v>125</v>
      </c>
      <c r="J16" s="2" t="s">
        <v>548</v>
      </c>
      <c r="K16" s="5" t="n">
        <f aca="false">SUMIF('07_시간 근거'!$A$2:$A$552,$E16,'07_시간 근거'!$G$2:$G$552)</f>
        <v>33</v>
      </c>
      <c r="L16" s="2"/>
    </row>
    <row r="17" customFormat="false" ht="72.35" hidden="false" customHeight="false" outlineLevel="0" collapsed="false">
      <c r="A17" s="13" t="n">
        <v>14</v>
      </c>
      <c r="B17" s="13" t="s">
        <v>100</v>
      </c>
      <c r="C17" s="13" t="s">
        <v>7</v>
      </c>
      <c r="D17" s="13"/>
      <c r="E17" s="12" t="s">
        <v>126</v>
      </c>
      <c r="F17" s="2" t="s">
        <v>127</v>
      </c>
      <c r="G17" s="2" t="s">
        <v>564</v>
      </c>
      <c r="H17" s="2" t="s">
        <v>565</v>
      </c>
      <c r="I17" s="2" t="s">
        <v>129</v>
      </c>
      <c r="J17" s="2" t="s">
        <v>541</v>
      </c>
      <c r="K17" s="5" t="n">
        <f aca="false">SUMIF('07_시간 근거'!$A$2:$A$552,$E17,'07_시간 근거'!$G$2:$G$552)</f>
        <v>17</v>
      </c>
      <c r="L17" s="2"/>
    </row>
    <row r="18" customFormat="false" ht="44" hidden="false" customHeight="false" outlineLevel="0" collapsed="false">
      <c r="A18" s="13" t="n">
        <v>15</v>
      </c>
      <c r="B18" s="13" t="s">
        <v>100</v>
      </c>
      <c r="C18" s="13" t="s">
        <v>7</v>
      </c>
      <c r="D18" s="13"/>
      <c r="E18" s="12" t="s">
        <v>130</v>
      </c>
      <c r="F18" s="2" t="s">
        <v>131</v>
      </c>
      <c r="G18" s="2" t="s">
        <v>566</v>
      </c>
      <c r="H18" s="2" t="s">
        <v>567</v>
      </c>
      <c r="I18" s="2" t="s">
        <v>133</v>
      </c>
      <c r="J18" s="2" t="s">
        <v>548</v>
      </c>
      <c r="K18" s="5" t="n">
        <f aca="false">SUMIF('07_시간 근거'!$A$2:$A$552,$E18,'07_시간 근거'!$G$2:$G$552)</f>
        <v>25</v>
      </c>
      <c r="L18" s="2"/>
    </row>
    <row r="19" customFormat="false" ht="58.2" hidden="false" customHeight="false" outlineLevel="0" collapsed="false">
      <c r="A19" s="13" t="n">
        <v>16</v>
      </c>
      <c r="B19" s="13" t="s">
        <v>100</v>
      </c>
      <c r="C19" s="13" t="s">
        <v>7</v>
      </c>
      <c r="D19" s="13"/>
      <c r="E19" s="12" t="s">
        <v>134</v>
      </c>
      <c r="F19" s="2" t="s">
        <v>135</v>
      </c>
      <c r="G19" s="2" t="s">
        <v>568</v>
      </c>
      <c r="H19" s="2" t="s">
        <v>569</v>
      </c>
      <c r="I19" s="2" t="s">
        <v>137</v>
      </c>
      <c r="J19" s="2" t="s">
        <v>548</v>
      </c>
      <c r="K19" s="5" t="n">
        <f aca="false">SUMIF('07_시간 근거'!$A$2:$A$552,$E19,'07_시간 근거'!$G$2:$G$552)</f>
        <v>43</v>
      </c>
      <c r="L19" s="2"/>
    </row>
    <row r="20" customFormat="false" ht="58.2" hidden="false" customHeight="false" outlineLevel="0" collapsed="false">
      <c r="A20" s="13" t="n">
        <v>17</v>
      </c>
      <c r="B20" s="13" t="s">
        <v>100</v>
      </c>
      <c r="C20" s="13" t="s">
        <v>7</v>
      </c>
      <c r="D20" s="13"/>
      <c r="E20" s="12" t="s">
        <v>138</v>
      </c>
      <c r="F20" s="2" t="s">
        <v>139</v>
      </c>
      <c r="G20" s="2" t="s">
        <v>570</v>
      </c>
      <c r="H20" s="2" t="s">
        <v>571</v>
      </c>
      <c r="I20" s="2" t="s">
        <v>141</v>
      </c>
      <c r="J20" s="3" t="s">
        <v>561</v>
      </c>
      <c r="K20" s="5" t="n">
        <f aca="false">SUMIF('07_시간 근거'!$A$2:$A$552,$E20,'07_시간 근거'!$G$2:$G$552)</f>
        <v>34</v>
      </c>
      <c r="L20" s="2"/>
    </row>
    <row r="21" customFormat="false" ht="29.85" hidden="false" customHeight="false" outlineLevel="0" collapsed="false">
      <c r="A21" s="13" t="n">
        <v>18</v>
      </c>
      <c r="B21" s="13" t="s">
        <v>100</v>
      </c>
      <c r="C21" s="13" t="s">
        <v>7</v>
      </c>
      <c r="D21" s="13"/>
      <c r="E21" s="12" t="s">
        <v>143</v>
      </c>
      <c r="F21" s="2" t="s">
        <v>144</v>
      </c>
      <c r="G21" s="2" t="s">
        <v>572</v>
      </c>
      <c r="H21" s="2" t="s">
        <v>573</v>
      </c>
      <c r="I21" s="2" t="s">
        <v>146</v>
      </c>
      <c r="J21" s="3" t="s">
        <v>561</v>
      </c>
      <c r="K21" s="5" t="n">
        <f aca="false">SUMIF('07_시간 근거'!$A$2:$A$552,$E21,'07_시간 근거'!$G$2:$G$552)</f>
        <v>17</v>
      </c>
      <c r="L21" s="2"/>
    </row>
    <row r="22" customFormat="false" ht="44" hidden="false" customHeight="false" outlineLevel="0" collapsed="false">
      <c r="A22" s="13" t="n">
        <v>19</v>
      </c>
      <c r="B22" s="13" t="s">
        <v>100</v>
      </c>
      <c r="C22" s="13" t="s">
        <v>7</v>
      </c>
      <c r="D22" s="13"/>
      <c r="E22" s="12" t="s">
        <v>147</v>
      </c>
      <c r="F22" s="2" t="s">
        <v>148</v>
      </c>
      <c r="G22" s="2" t="s">
        <v>574</v>
      </c>
      <c r="H22" s="2" t="s">
        <v>575</v>
      </c>
      <c r="I22" s="2" t="s">
        <v>150</v>
      </c>
      <c r="J22" s="2" t="s">
        <v>548</v>
      </c>
      <c r="K22" s="5" t="n">
        <f aca="false">SUMIF('07_시간 근거'!$A$2:$A$552,$E22,'07_시간 근거'!$G$2:$G$552)</f>
        <v>15</v>
      </c>
      <c r="L22" s="2"/>
    </row>
    <row r="23" customFormat="false" ht="44" hidden="false" customHeight="false" outlineLevel="0" collapsed="false">
      <c r="A23" s="13" t="n">
        <v>20</v>
      </c>
      <c r="B23" s="13" t="s">
        <v>100</v>
      </c>
      <c r="C23" s="13" t="s">
        <v>7</v>
      </c>
      <c r="D23" s="13"/>
      <c r="E23" s="12" t="s">
        <v>151</v>
      </c>
      <c r="F23" s="2" t="s">
        <v>152</v>
      </c>
      <c r="G23" s="2" t="s">
        <v>576</v>
      </c>
      <c r="H23" s="2" t="s">
        <v>577</v>
      </c>
      <c r="I23" s="2" t="s">
        <v>154</v>
      </c>
      <c r="J23" s="2" t="s">
        <v>548</v>
      </c>
      <c r="K23" s="5" t="n">
        <f aca="false">SUMIF('07_시간 근거'!$A$2:$A$552,$E23,'07_시간 근거'!$G$2:$G$552)</f>
        <v>40</v>
      </c>
      <c r="L23" s="2"/>
    </row>
    <row r="24" customFormat="false" ht="44" hidden="false" customHeight="false" outlineLevel="0" collapsed="false">
      <c r="A24" s="13" t="n">
        <v>21</v>
      </c>
      <c r="B24" s="13" t="s">
        <v>100</v>
      </c>
      <c r="C24" s="13" t="s">
        <v>7</v>
      </c>
      <c r="D24" s="13"/>
      <c r="E24" s="12" t="s">
        <v>155</v>
      </c>
      <c r="F24" s="2" t="s">
        <v>156</v>
      </c>
      <c r="G24" s="2" t="s">
        <v>578</v>
      </c>
      <c r="H24" s="2" t="s">
        <v>579</v>
      </c>
      <c r="I24" s="2" t="s">
        <v>158</v>
      </c>
      <c r="J24" s="2" t="s">
        <v>541</v>
      </c>
      <c r="K24" s="5" t="n">
        <f aca="false">SUMIF('07_시간 근거'!$A$2:$A$552,$E24,'07_시간 근거'!$G$2:$G$552)</f>
        <v>13</v>
      </c>
      <c r="L24" s="2"/>
    </row>
    <row r="25" customFormat="false" ht="58.2" hidden="false" customHeight="false" outlineLevel="0" collapsed="false">
      <c r="A25" s="15" t="n">
        <v>22</v>
      </c>
      <c r="B25" s="15" t="s">
        <v>100</v>
      </c>
      <c r="C25" s="15" t="s">
        <v>9</v>
      </c>
      <c r="D25" s="15" t="s">
        <v>159</v>
      </c>
      <c r="E25" s="14" t="s">
        <v>160</v>
      </c>
      <c r="F25" s="2" t="s">
        <v>161</v>
      </c>
      <c r="G25" s="2" t="s">
        <v>162</v>
      </c>
      <c r="H25" s="2" t="s">
        <v>580</v>
      </c>
      <c r="I25" s="2" t="s">
        <v>163</v>
      </c>
      <c r="J25" s="2" t="s">
        <v>541</v>
      </c>
      <c r="K25" s="5" t="n">
        <f aca="false">SUMIF('07_시간 근거'!$A$2:$A$552,$E25,'07_시간 근거'!$G$2:$G$552)</f>
        <v>10</v>
      </c>
      <c r="L25" s="2"/>
    </row>
    <row r="26" customFormat="false" ht="58.2" hidden="false" customHeight="false" outlineLevel="0" collapsed="false">
      <c r="A26" s="15" t="n">
        <v>23</v>
      </c>
      <c r="B26" s="15" t="s">
        <v>100</v>
      </c>
      <c r="C26" s="15" t="s">
        <v>9</v>
      </c>
      <c r="D26" s="14" t="s">
        <v>33</v>
      </c>
      <c r="E26" s="14" t="s">
        <v>165</v>
      </c>
      <c r="F26" s="2" t="s">
        <v>166</v>
      </c>
      <c r="G26" s="2" t="s">
        <v>167</v>
      </c>
      <c r="H26" s="3" t="s">
        <v>581</v>
      </c>
      <c r="I26" s="2" t="s">
        <v>168</v>
      </c>
      <c r="J26" s="2" t="s">
        <v>9</v>
      </c>
      <c r="K26" s="5" t="n">
        <f aca="false">SUMIF('07_시간 근거'!$A$2:$A$552,$E26,'07_시간 근거'!$G$2:$G$552)</f>
        <v>21</v>
      </c>
      <c r="L26" s="2" t="s">
        <v>169</v>
      </c>
    </row>
    <row r="27" customFormat="false" ht="86.55" hidden="false" customHeight="false" outlineLevel="0" collapsed="false">
      <c r="A27" s="15" t="n">
        <v>24</v>
      </c>
      <c r="B27" s="15" t="s">
        <v>100</v>
      </c>
      <c r="C27" s="15" t="s">
        <v>9</v>
      </c>
      <c r="D27" s="14" t="s">
        <v>33</v>
      </c>
      <c r="E27" s="14" t="s">
        <v>170</v>
      </c>
      <c r="F27" s="2" t="s">
        <v>171</v>
      </c>
      <c r="G27" s="3" t="s">
        <v>172</v>
      </c>
      <c r="H27" s="3" t="s">
        <v>582</v>
      </c>
      <c r="I27" s="2" t="s">
        <v>173</v>
      </c>
      <c r="J27" s="2" t="s">
        <v>9</v>
      </c>
      <c r="K27" s="5" t="n">
        <f aca="false">SUMIF('07_시간 근거'!$A$2:$A$552,$E27,'07_시간 근거'!$G$2:$G$552)</f>
        <v>40</v>
      </c>
      <c r="L27" s="3" t="s">
        <v>174</v>
      </c>
    </row>
    <row r="28" customFormat="false" ht="58.2" hidden="false" customHeight="false" outlineLevel="0" collapsed="false">
      <c r="A28" s="15" t="n">
        <v>25</v>
      </c>
      <c r="B28" s="15" t="s">
        <v>100</v>
      </c>
      <c r="C28" s="15" t="s">
        <v>9</v>
      </c>
      <c r="D28" s="14" t="s">
        <v>33</v>
      </c>
      <c r="E28" s="14" t="s">
        <v>175</v>
      </c>
      <c r="F28" s="2" t="s">
        <v>176</v>
      </c>
      <c r="G28" s="3" t="s">
        <v>177</v>
      </c>
      <c r="H28" s="3" t="s">
        <v>583</v>
      </c>
      <c r="I28" s="2" t="s">
        <v>178</v>
      </c>
      <c r="J28" s="2" t="s">
        <v>9</v>
      </c>
      <c r="K28" s="5" t="n">
        <f aca="false">SUMIF('07_시간 근거'!$A$2:$A$552,$E28,'07_시간 근거'!$G$2:$G$552)</f>
        <v>24</v>
      </c>
      <c r="L28" s="3" t="s">
        <v>179</v>
      </c>
    </row>
    <row r="29" customFormat="false" ht="58.2" hidden="false" customHeight="false" outlineLevel="0" collapsed="false">
      <c r="A29" s="15" t="n">
        <v>26</v>
      </c>
      <c r="B29" s="15" t="s">
        <v>100</v>
      </c>
      <c r="C29" s="15" t="s">
        <v>9</v>
      </c>
      <c r="D29" s="14" t="s">
        <v>33</v>
      </c>
      <c r="E29" s="14" t="s">
        <v>180</v>
      </c>
      <c r="F29" s="2" t="s">
        <v>181</v>
      </c>
      <c r="G29" s="3" t="s">
        <v>182</v>
      </c>
      <c r="H29" s="3" t="s">
        <v>584</v>
      </c>
      <c r="I29" s="2" t="s">
        <v>183</v>
      </c>
      <c r="J29" s="2" t="s">
        <v>9</v>
      </c>
      <c r="K29" s="5" t="n">
        <f aca="false">SUMIF('07_시간 근거'!$A$2:$A$552,$E29,'07_시간 근거'!$G$2:$G$552)</f>
        <v>24</v>
      </c>
      <c r="L29" s="2" t="s">
        <v>169</v>
      </c>
    </row>
    <row r="30" customFormat="false" ht="86.55" hidden="false" customHeight="false" outlineLevel="0" collapsed="false">
      <c r="A30" s="15" t="n">
        <v>27</v>
      </c>
      <c r="B30" s="15" t="s">
        <v>100</v>
      </c>
      <c r="C30" s="15" t="s">
        <v>9</v>
      </c>
      <c r="D30" s="14" t="s">
        <v>184</v>
      </c>
      <c r="E30" s="14" t="s">
        <v>185</v>
      </c>
      <c r="F30" s="2" t="s">
        <v>186</v>
      </c>
      <c r="G30" s="3" t="s">
        <v>187</v>
      </c>
      <c r="H30" s="3" t="s">
        <v>585</v>
      </c>
      <c r="I30" s="2" t="s">
        <v>188</v>
      </c>
      <c r="J30" s="2" t="s">
        <v>9</v>
      </c>
      <c r="K30" s="5" t="n">
        <f aca="false">SUMIF('07_시간 근거'!$A$2:$A$552,$E30,'07_시간 근거'!$G$2:$G$552)</f>
        <v>29</v>
      </c>
      <c r="L30" s="3" t="s">
        <v>189</v>
      </c>
    </row>
    <row r="31" customFormat="false" ht="44" hidden="false" customHeight="false" outlineLevel="0" collapsed="false">
      <c r="A31" s="15" t="n">
        <v>28</v>
      </c>
      <c r="B31" s="15" t="s">
        <v>100</v>
      </c>
      <c r="C31" s="15" t="s">
        <v>9</v>
      </c>
      <c r="D31" s="14" t="s">
        <v>184</v>
      </c>
      <c r="E31" s="14" t="s">
        <v>190</v>
      </c>
      <c r="F31" s="2" t="s">
        <v>191</v>
      </c>
      <c r="G31" s="3" t="s">
        <v>192</v>
      </c>
      <c r="H31" s="3" t="s">
        <v>586</v>
      </c>
      <c r="I31" s="2" t="s">
        <v>193</v>
      </c>
      <c r="J31" s="2" t="s">
        <v>9</v>
      </c>
      <c r="K31" s="5" t="n">
        <f aca="false">SUMIF('07_시간 근거'!$A$2:$A$552,$E31,'07_시간 근거'!$G$2:$G$552)</f>
        <v>14</v>
      </c>
      <c r="L31" s="3" t="s">
        <v>194</v>
      </c>
    </row>
    <row r="32" customFormat="false" ht="44" hidden="false" customHeight="false" outlineLevel="0" collapsed="false">
      <c r="A32" s="15" t="n">
        <v>29</v>
      </c>
      <c r="B32" s="15" t="s">
        <v>100</v>
      </c>
      <c r="C32" s="15" t="s">
        <v>9</v>
      </c>
      <c r="D32" s="14" t="s">
        <v>184</v>
      </c>
      <c r="E32" s="14" t="s">
        <v>195</v>
      </c>
      <c r="F32" s="2" t="s">
        <v>196</v>
      </c>
      <c r="G32" s="3" t="s">
        <v>197</v>
      </c>
      <c r="H32" s="3" t="s">
        <v>587</v>
      </c>
      <c r="I32" s="2" t="s">
        <v>198</v>
      </c>
      <c r="J32" s="2" t="s">
        <v>9</v>
      </c>
      <c r="K32" s="5" t="n">
        <f aca="false">SUMIF('07_시간 근거'!$A$2:$A$552,$E32,'07_시간 근거'!$G$2:$G$552)</f>
        <v>13</v>
      </c>
      <c r="L32" s="2" t="s">
        <v>199</v>
      </c>
    </row>
    <row r="33" customFormat="false" ht="72.35" hidden="false" customHeight="false" outlineLevel="0" collapsed="false">
      <c r="A33" s="15" t="n">
        <v>30</v>
      </c>
      <c r="B33" s="15" t="s">
        <v>100</v>
      </c>
      <c r="C33" s="15" t="s">
        <v>9</v>
      </c>
      <c r="D33" s="14" t="s">
        <v>200</v>
      </c>
      <c r="E33" s="14" t="s">
        <v>201</v>
      </c>
      <c r="F33" s="2" t="s">
        <v>202</v>
      </c>
      <c r="G33" s="3" t="s">
        <v>203</v>
      </c>
      <c r="H33" s="3" t="s">
        <v>588</v>
      </c>
      <c r="I33" s="2" t="s">
        <v>204</v>
      </c>
      <c r="J33" s="2" t="s">
        <v>9</v>
      </c>
      <c r="K33" s="5" t="n">
        <f aca="false">SUMIF('07_시간 근거'!$A$2:$A$552,$E33,'07_시간 근거'!$G$2:$G$552)</f>
        <v>26</v>
      </c>
      <c r="L33" s="3" t="s">
        <v>205</v>
      </c>
    </row>
    <row r="34" customFormat="false" ht="29.85" hidden="false" customHeight="false" outlineLevel="0" collapsed="false">
      <c r="A34" s="15" t="n">
        <v>31</v>
      </c>
      <c r="B34" s="15" t="s">
        <v>100</v>
      </c>
      <c r="C34" s="15" t="s">
        <v>9</v>
      </c>
      <c r="D34" s="14" t="s">
        <v>200</v>
      </c>
      <c r="E34" s="14" t="s">
        <v>206</v>
      </c>
      <c r="F34" s="2" t="s">
        <v>207</v>
      </c>
      <c r="G34" s="3" t="s">
        <v>208</v>
      </c>
      <c r="H34" s="3" t="s">
        <v>589</v>
      </c>
      <c r="I34" s="2" t="s">
        <v>209</v>
      </c>
      <c r="J34" s="2" t="s">
        <v>9</v>
      </c>
      <c r="K34" s="5" t="n">
        <f aca="false">SUMIF('07_시간 근거'!$A$2:$A$552,$E34,'07_시간 근거'!$G$2:$G$552)</f>
        <v>12</v>
      </c>
      <c r="L34" s="3" t="s">
        <v>210</v>
      </c>
    </row>
    <row r="35" customFormat="false" ht="29.85" hidden="false" customHeight="false" outlineLevel="0" collapsed="false">
      <c r="A35" s="15" t="n">
        <v>32</v>
      </c>
      <c r="B35" s="15" t="s">
        <v>100</v>
      </c>
      <c r="C35" s="15" t="s">
        <v>9</v>
      </c>
      <c r="D35" s="14" t="s">
        <v>200</v>
      </c>
      <c r="E35" s="14" t="s">
        <v>211</v>
      </c>
      <c r="F35" s="2" t="s">
        <v>212</v>
      </c>
      <c r="G35" s="3" t="s">
        <v>213</v>
      </c>
      <c r="H35" s="3" t="s">
        <v>590</v>
      </c>
      <c r="I35" s="2" t="s">
        <v>198</v>
      </c>
      <c r="J35" s="2" t="s">
        <v>9</v>
      </c>
      <c r="K35" s="5" t="n">
        <f aca="false">SUMIF('07_시간 근거'!$A$2:$A$552,$E35,'07_시간 근거'!$G$2:$G$552)</f>
        <v>12</v>
      </c>
      <c r="L35" s="2" t="s">
        <v>214</v>
      </c>
    </row>
    <row r="36" customFormat="false" ht="29.85" hidden="false" customHeight="false" outlineLevel="0" collapsed="false">
      <c r="A36" s="15" t="n">
        <v>33</v>
      </c>
      <c r="B36" s="15" t="s">
        <v>100</v>
      </c>
      <c r="C36" s="15" t="s">
        <v>9</v>
      </c>
      <c r="D36" s="15" t="s">
        <v>215</v>
      </c>
      <c r="E36" s="14" t="s">
        <v>216</v>
      </c>
      <c r="F36" s="2" t="s">
        <v>217</v>
      </c>
      <c r="G36" s="3" t="s">
        <v>218</v>
      </c>
      <c r="H36" s="2" t="s">
        <v>591</v>
      </c>
      <c r="I36" s="2" t="s">
        <v>219</v>
      </c>
      <c r="J36" s="2" t="s">
        <v>9</v>
      </c>
      <c r="K36" s="5" t="n">
        <f aca="false">SUMIF('07_시간 근거'!$A$2:$A$552,$E36,'07_시간 근거'!$G$2:$G$552)</f>
        <v>5</v>
      </c>
      <c r="L36" s="2" t="s">
        <v>215</v>
      </c>
    </row>
    <row r="37" customFormat="false" ht="58.2" hidden="false" customHeight="false" outlineLevel="0" collapsed="false">
      <c r="A37" s="17" t="n">
        <v>34</v>
      </c>
      <c r="B37" s="17" t="s">
        <v>100</v>
      </c>
      <c r="C37" s="17" t="s">
        <v>11</v>
      </c>
      <c r="D37" s="17"/>
      <c r="E37" s="16" t="s">
        <v>220</v>
      </c>
      <c r="F37" s="2" t="s">
        <v>221</v>
      </c>
      <c r="G37" s="2" t="s">
        <v>222</v>
      </c>
      <c r="H37" s="2" t="s">
        <v>592</v>
      </c>
      <c r="I37" s="2" t="s">
        <v>223</v>
      </c>
      <c r="J37" s="3" t="s">
        <v>593</v>
      </c>
      <c r="K37" s="5" t="n">
        <f aca="false">SUMIF('07_시간 근거'!$A$2:$A$552,$E37,'07_시간 근거'!$G$2:$G$552)</f>
        <v>50</v>
      </c>
      <c r="L37" s="3" t="s">
        <v>225</v>
      </c>
    </row>
    <row r="38" customFormat="false" ht="44" hidden="false" customHeight="false" outlineLevel="0" collapsed="false">
      <c r="A38" s="17" t="n">
        <v>35</v>
      </c>
      <c r="B38" s="17" t="s">
        <v>100</v>
      </c>
      <c r="C38" s="17" t="s">
        <v>11</v>
      </c>
      <c r="D38" s="17"/>
      <c r="E38" s="16" t="s">
        <v>226</v>
      </c>
      <c r="F38" s="2" t="s">
        <v>227</v>
      </c>
      <c r="G38" s="3" t="s">
        <v>228</v>
      </c>
      <c r="H38" s="2" t="s">
        <v>594</v>
      </c>
      <c r="I38" s="2" t="s">
        <v>229</v>
      </c>
      <c r="J38" s="3" t="s">
        <v>595</v>
      </c>
      <c r="K38" s="5" t="n">
        <f aca="false">SUMIF('07_시간 근거'!$A$2:$A$552,$E38,'07_시간 근거'!$G$2:$G$552)</f>
        <v>13</v>
      </c>
      <c r="L38" s="2" t="s">
        <v>231</v>
      </c>
    </row>
    <row r="39" customFormat="false" ht="72.35" hidden="false" customHeight="false" outlineLevel="0" collapsed="false">
      <c r="A39" s="17" t="n">
        <v>36</v>
      </c>
      <c r="B39" s="17" t="s">
        <v>100</v>
      </c>
      <c r="C39" s="17" t="s">
        <v>11</v>
      </c>
      <c r="D39" s="17"/>
      <c r="E39" s="16" t="s">
        <v>232</v>
      </c>
      <c r="F39" s="2" t="s">
        <v>233</v>
      </c>
      <c r="G39" s="2" t="s">
        <v>234</v>
      </c>
      <c r="H39" s="2" t="s">
        <v>596</v>
      </c>
      <c r="I39" s="2" t="s">
        <v>235</v>
      </c>
      <c r="J39" s="3" t="s">
        <v>593</v>
      </c>
      <c r="K39" s="5" t="n">
        <f aca="false">SUMIF('07_시간 근거'!$A$2:$A$552,$E39,'07_시간 근거'!$G$2:$G$552)</f>
        <v>41</v>
      </c>
      <c r="L39" s="3" t="s">
        <v>236</v>
      </c>
    </row>
    <row r="40" customFormat="false" ht="58.2" hidden="false" customHeight="false" outlineLevel="0" collapsed="false">
      <c r="A40" s="17" t="n">
        <v>37</v>
      </c>
      <c r="B40" s="17" t="s">
        <v>100</v>
      </c>
      <c r="C40" s="17" t="s">
        <v>11</v>
      </c>
      <c r="D40" s="17"/>
      <c r="E40" s="16" t="s">
        <v>237</v>
      </c>
      <c r="F40" s="2" t="s">
        <v>238</v>
      </c>
      <c r="G40" s="2" t="s">
        <v>239</v>
      </c>
      <c r="H40" s="2" t="s">
        <v>597</v>
      </c>
      <c r="I40" s="2" t="s">
        <v>240</v>
      </c>
      <c r="J40" s="3" t="s">
        <v>593</v>
      </c>
      <c r="K40" s="5" t="n">
        <f aca="false">SUMIF('07_시간 근거'!$A$2:$A$552,$E40,'07_시간 근거'!$G$2:$G$552)</f>
        <v>39</v>
      </c>
      <c r="L40" s="3" t="s">
        <v>241</v>
      </c>
    </row>
    <row r="41" customFormat="false" ht="44" hidden="false" customHeight="false" outlineLevel="0" collapsed="false">
      <c r="A41" s="17" t="n">
        <v>38</v>
      </c>
      <c r="B41" s="17" t="s">
        <v>100</v>
      </c>
      <c r="C41" s="17" t="s">
        <v>11</v>
      </c>
      <c r="D41" s="17"/>
      <c r="E41" s="16" t="s">
        <v>242</v>
      </c>
      <c r="F41" s="2" t="s">
        <v>243</v>
      </c>
      <c r="G41" s="2" t="s">
        <v>244</v>
      </c>
      <c r="H41" s="2" t="s">
        <v>598</v>
      </c>
      <c r="I41" s="2" t="s">
        <v>245</v>
      </c>
      <c r="J41" s="3" t="s">
        <v>593</v>
      </c>
      <c r="K41" s="5" t="n">
        <f aca="false">SUMIF('07_시간 근거'!$A$2:$A$552,$E41,'07_시간 근거'!$G$2:$G$552)</f>
        <v>44</v>
      </c>
      <c r="L41" s="3" t="s">
        <v>246</v>
      </c>
    </row>
    <row r="42" customFormat="false" ht="44" hidden="false" customHeight="false" outlineLevel="0" collapsed="false">
      <c r="A42" s="17" t="n">
        <v>39</v>
      </c>
      <c r="B42" s="17" t="s">
        <v>100</v>
      </c>
      <c r="C42" s="17" t="s">
        <v>11</v>
      </c>
      <c r="D42" s="17"/>
      <c r="E42" s="16" t="s">
        <v>247</v>
      </c>
      <c r="F42" s="2" t="s">
        <v>248</v>
      </c>
      <c r="G42" s="2" t="s">
        <v>249</v>
      </c>
      <c r="H42" s="2" t="s">
        <v>599</v>
      </c>
      <c r="I42" s="2" t="s">
        <v>250</v>
      </c>
      <c r="J42" s="3" t="s">
        <v>593</v>
      </c>
      <c r="K42" s="5" t="n">
        <f aca="false">SUMIF('07_시간 근거'!$A$2:$A$552,$E42,'07_시간 근거'!$G$2:$G$552)</f>
        <v>46</v>
      </c>
      <c r="L42" s="3" t="s">
        <v>251</v>
      </c>
    </row>
    <row r="43" customFormat="false" ht="44" hidden="false" customHeight="false" outlineLevel="0" collapsed="false">
      <c r="A43" s="17" t="n">
        <v>40</v>
      </c>
      <c r="B43" s="17" t="s">
        <v>100</v>
      </c>
      <c r="C43" s="17" t="s">
        <v>11</v>
      </c>
      <c r="D43" s="17"/>
      <c r="E43" s="16" t="s">
        <v>252</v>
      </c>
      <c r="F43" s="2" t="s">
        <v>253</v>
      </c>
      <c r="G43" s="2" t="s">
        <v>254</v>
      </c>
      <c r="H43" s="2" t="s">
        <v>600</v>
      </c>
      <c r="I43" s="2" t="s">
        <v>255</v>
      </c>
      <c r="J43" s="3" t="s">
        <v>593</v>
      </c>
      <c r="K43" s="5" t="n">
        <f aca="false">SUMIF('07_시간 근거'!$A$2:$A$552,$E43,'07_시간 근거'!$G$2:$G$552)</f>
        <v>43</v>
      </c>
      <c r="L43" s="3" t="s">
        <v>256</v>
      </c>
    </row>
    <row r="44" customFormat="false" ht="72.35" hidden="false" customHeight="false" outlineLevel="0" collapsed="false">
      <c r="A44" s="17" t="n">
        <v>41</v>
      </c>
      <c r="B44" s="17" t="s">
        <v>100</v>
      </c>
      <c r="C44" s="17" t="s">
        <v>11</v>
      </c>
      <c r="D44" s="17"/>
      <c r="E44" s="16" t="s">
        <v>257</v>
      </c>
      <c r="F44" s="2" t="s">
        <v>258</v>
      </c>
      <c r="G44" s="2" t="s">
        <v>259</v>
      </c>
      <c r="H44" s="2" t="s">
        <v>601</v>
      </c>
      <c r="I44" s="2" t="s">
        <v>260</v>
      </c>
      <c r="J44" s="3" t="s">
        <v>593</v>
      </c>
      <c r="K44" s="5" t="n">
        <f aca="false">SUMIF('07_시간 근거'!$A$2:$A$552,$E44,'07_시간 근거'!$G$2:$G$552)</f>
        <v>42</v>
      </c>
      <c r="L44" s="3" t="s">
        <v>261</v>
      </c>
    </row>
    <row r="45" customFormat="false" ht="44" hidden="false" customHeight="false" outlineLevel="0" collapsed="false">
      <c r="A45" s="17" t="n">
        <v>42</v>
      </c>
      <c r="B45" s="17" t="s">
        <v>100</v>
      </c>
      <c r="C45" s="17" t="s">
        <v>11</v>
      </c>
      <c r="D45" s="17"/>
      <c r="E45" s="16" t="s">
        <v>262</v>
      </c>
      <c r="F45" s="2" t="s">
        <v>263</v>
      </c>
      <c r="G45" s="2" t="s">
        <v>264</v>
      </c>
      <c r="H45" s="2" t="s">
        <v>602</v>
      </c>
      <c r="I45" s="2" t="s">
        <v>265</v>
      </c>
      <c r="J45" s="3" t="s">
        <v>593</v>
      </c>
      <c r="K45" s="5" t="n">
        <f aca="false">SUMIF('07_시간 근거'!$A$2:$A$552,$E45,'07_시간 근거'!$G$2:$G$552)</f>
        <v>40</v>
      </c>
      <c r="L45" s="3" t="s">
        <v>266</v>
      </c>
    </row>
    <row r="46" customFormat="false" ht="55.2" hidden="false" customHeight="false" outlineLevel="0" collapsed="false">
      <c r="A46" s="17" t="n">
        <v>43</v>
      </c>
      <c r="B46" s="17" t="s">
        <v>100</v>
      </c>
      <c r="C46" s="17" t="s">
        <v>11</v>
      </c>
      <c r="D46" s="17"/>
      <c r="E46" s="16" t="s">
        <v>267</v>
      </c>
      <c r="F46" s="2" t="s">
        <v>268</v>
      </c>
      <c r="G46" s="2" t="s">
        <v>269</v>
      </c>
      <c r="H46" s="2" t="s">
        <v>603</v>
      </c>
      <c r="I46" s="2" t="s">
        <v>270</v>
      </c>
      <c r="J46" s="3" t="s">
        <v>593</v>
      </c>
      <c r="K46" s="5" t="n">
        <f aca="false">SUMIF('07_시간 근거'!$A$2:$A$552,$E46,'07_시간 근거'!$G$2:$G$552)</f>
        <v>39</v>
      </c>
      <c r="L46" s="3" t="s">
        <v>271</v>
      </c>
    </row>
    <row r="47" customFormat="false" ht="44" hidden="false" customHeight="false" outlineLevel="0" collapsed="false">
      <c r="A47" s="17" t="n">
        <v>44</v>
      </c>
      <c r="B47" s="17" t="s">
        <v>100</v>
      </c>
      <c r="C47" s="17" t="s">
        <v>11</v>
      </c>
      <c r="D47" s="17"/>
      <c r="E47" s="16" t="s">
        <v>272</v>
      </c>
      <c r="F47" s="2" t="s">
        <v>273</v>
      </c>
      <c r="G47" s="2" t="s">
        <v>274</v>
      </c>
      <c r="H47" s="2" t="s">
        <v>604</v>
      </c>
      <c r="I47" s="2" t="s">
        <v>275</v>
      </c>
      <c r="J47" s="3" t="s">
        <v>593</v>
      </c>
      <c r="K47" s="5" t="n">
        <f aca="false">SUMIF('07_시간 근거'!$A$2:$A$552,$E47,'07_시간 근거'!$G$2:$G$552)</f>
        <v>40</v>
      </c>
      <c r="L47" s="3" t="s">
        <v>276</v>
      </c>
    </row>
    <row r="48" customFormat="false" ht="44" hidden="false" customHeight="false" outlineLevel="0" collapsed="false">
      <c r="A48" s="17" t="n">
        <v>45</v>
      </c>
      <c r="B48" s="17" t="s">
        <v>100</v>
      </c>
      <c r="C48" s="17" t="s">
        <v>11</v>
      </c>
      <c r="D48" s="17"/>
      <c r="E48" s="16" t="s">
        <v>277</v>
      </c>
      <c r="F48" s="2" t="s">
        <v>278</v>
      </c>
      <c r="G48" s="2" t="s">
        <v>279</v>
      </c>
      <c r="H48" s="2" t="s">
        <v>605</v>
      </c>
      <c r="I48" s="2" t="s">
        <v>69</v>
      </c>
      <c r="J48" s="3" t="s">
        <v>543</v>
      </c>
      <c r="K48" s="5" t="n">
        <f aca="false">SUMIF('07_시간 근거'!$A$2:$A$552,$E48,'07_시간 근거'!$G$2:$G$552)</f>
        <v>10</v>
      </c>
      <c r="L48" s="2"/>
    </row>
    <row r="49" customFormat="false" ht="15" hidden="false" customHeight="false" outlineLevel="0" collapsed="false">
      <c r="A49" s="9" t="str">
        <f aca="false">"3. 에이전트 — AI 일꾼이 지식 지도와 지금 값을 근거로 추천안 하나를 제안한다  ("&amp;SUM(K50:K80)&amp;"분)"</f>
        <v>3. 에이전트 — AI 일꾼이 지식 지도와 지금 값을 근거로 추천안 하나를 제안한다  (799분)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</row>
    <row r="50" customFormat="false" ht="58.2" hidden="false" customHeight="false" outlineLevel="0" collapsed="false">
      <c r="A50" s="13" t="n">
        <v>46</v>
      </c>
      <c r="B50" s="13" t="s">
        <v>281</v>
      </c>
      <c r="C50" s="13" t="s">
        <v>7</v>
      </c>
      <c r="D50" s="13"/>
      <c r="E50" s="12" t="s">
        <v>282</v>
      </c>
      <c r="F50" s="2" t="s">
        <v>283</v>
      </c>
      <c r="G50" s="2" t="s">
        <v>606</v>
      </c>
      <c r="H50" s="2" t="s">
        <v>607</v>
      </c>
      <c r="I50" s="2" t="s">
        <v>285</v>
      </c>
      <c r="J50" s="2" t="s">
        <v>541</v>
      </c>
      <c r="K50" s="5" t="n">
        <f aca="false">SUMIF('07_시간 근거'!$A$2:$A$552,$E50,'07_시간 근거'!$G$2:$G$552)</f>
        <v>28</v>
      </c>
      <c r="L50" s="2"/>
    </row>
    <row r="51" customFormat="false" ht="44" hidden="false" customHeight="false" outlineLevel="0" collapsed="false">
      <c r="A51" s="13" t="n">
        <v>47</v>
      </c>
      <c r="B51" s="13" t="s">
        <v>281</v>
      </c>
      <c r="C51" s="13" t="s">
        <v>7</v>
      </c>
      <c r="D51" s="13"/>
      <c r="E51" s="12" t="s">
        <v>286</v>
      </c>
      <c r="F51" s="2" t="s">
        <v>287</v>
      </c>
      <c r="G51" s="2" t="s">
        <v>608</v>
      </c>
      <c r="H51" s="2" t="s">
        <v>609</v>
      </c>
      <c r="I51" s="2" t="s">
        <v>289</v>
      </c>
      <c r="J51" s="2" t="s">
        <v>548</v>
      </c>
      <c r="K51" s="5" t="n">
        <f aca="false">SUMIF('07_시간 근거'!$A$2:$A$552,$E51,'07_시간 근거'!$G$2:$G$552)</f>
        <v>43</v>
      </c>
      <c r="L51" s="2"/>
    </row>
    <row r="52" customFormat="false" ht="29.85" hidden="false" customHeight="false" outlineLevel="0" collapsed="false">
      <c r="A52" s="13" t="n">
        <v>48</v>
      </c>
      <c r="B52" s="13" t="s">
        <v>281</v>
      </c>
      <c r="C52" s="13" t="s">
        <v>7</v>
      </c>
      <c r="D52" s="13"/>
      <c r="E52" s="12" t="s">
        <v>291</v>
      </c>
      <c r="F52" s="3" t="s">
        <v>292</v>
      </c>
      <c r="G52" s="2" t="s">
        <v>610</v>
      </c>
      <c r="H52" s="3" t="s">
        <v>611</v>
      </c>
      <c r="I52" s="2" t="s">
        <v>294</v>
      </c>
      <c r="J52" s="2" t="s">
        <v>548</v>
      </c>
      <c r="K52" s="5" t="n">
        <f aca="false">SUMIF('07_시간 근거'!$A$2:$A$552,$E52,'07_시간 근거'!$G$2:$G$552)</f>
        <v>16</v>
      </c>
      <c r="L52" s="2"/>
    </row>
    <row r="53" customFormat="false" ht="44" hidden="false" customHeight="false" outlineLevel="0" collapsed="false">
      <c r="A53" s="13" t="n">
        <v>49</v>
      </c>
      <c r="B53" s="13" t="s">
        <v>281</v>
      </c>
      <c r="C53" s="13" t="s">
        <v>7</v>
      </c>
      <c r="D53" s="13"/>
      <c r="E53" s="12" t="s">
        <v>295</v>
      </c>
      <c r="F53" s="2" t="s">
        <v>296</v>
      </c>
      <c r="G53" s="2" t="s">
        <v>612</v>
      </c>
      <c r="H53" s="2" t="s">
        <v>613</v>
      </c>
      <c r="I53" s="2" t="s">
        <v>298</v>
      </c>
      <c r="J53" s="2" t="s">
        <v>541</v>
      </c>
      <c r="K53" s="5" t="n">
        <f aca="false">SUMIF('07_시간 근거'!$A$2:$A$552,$E53,'07_시간 근거'!$G$2:$G$552)</f>
        <v>20</v>
      </c>
      <c r="L53" s="2"/>
    </row>
    <row r="54" customFormat="false" ht="29.85" hidden="false" customHeight="false" outlineLevel="0" collapsed="false">
      <c r="A54" s="13" t="n">
        <v>50</v>
      </c>
      <c r="B54" s="13" t="s">
        <v>281</v>
      </c>
      <c r="C54" s="13" t="s">
        <v>7</v>
      </c>
      <c r="D54" s="13"/>
      <c r="E54" s="12" t="s">
        <v>299</v>
      </c>
      <c r="F54" s="2" t="s">
        <v>300</v>
      </c>
      <c r="G54" s="2" t="s">
        <v>614</v>
      </c>
      <c r="H54" s="2" t="s">
        <v>615</v>
      </c>
      <c r="I54" s="2" t="s">
        <v>302</v>
      </c>
      <c r="J54" s="2" t="s">
        <v>548</v>
      </c>
      <c r="K54" s="5" t="n">
        <f aca="false">SUMIF('07_시간 근거'!$A$2:$A$552,$E54,'07_시간 근거'!$G$2:$G$552)</f>
        <v>17</v>
      </c>
      <c r="L54" s="2"/>
    </row>
    <row r="55" customFormat="false" ht="29.85" hidden="false" customHeight="false" outlineLevel="0" collapsed="false">
      <c r="A55" s="13" t="n">
        <v>51</v>
      </c>
      <c r="B55" s="13" t="s">
        <v>281</v>
      </c>
      <c r="C55" s="13" t="s">
        <v>7</v>
      </c>
      <c r="D55" s="13"/>
      <c r="E55" s="12" t="s">
        <v>303</v>
      </c>
      <c r="F55" s="3" t="s">
        <v>304</v>
      </c>
      <c r="G55" s="2" t="s">
        <v>616</v>
      </c>
      <c r="H55" s="2" t="s">
        <v>617</v>
      </c>
      <c r="I55" s="2" t="s">
        <v>306</v>
      </c>
      <c r="J55" s="2" t="s">
        <v>541</v>
      </c>
      <c r="K55" s="5" t="n">
        <f aca="false">SUMIF('07_시간 근거'!$A$2:$A$552,$E55,'07_시간 근거'!$G$2:$G$552)</f>
        <v>8</v>
      </c>
      <c r="L55" s="2"/>
    </row>
    <row r="56" customFormat="false" ht="29.85" hidden="false" customHeight="false" outlineLevel="0" collapsed="false">
      <c r="A56" s="13" t="n">
        <v>52</v>
      </c>
      <c r="B56" s="13" t="s">
        <v>281</v>
      </c>
      <c r="C56" s="13" t="s">
        <v>7</v>
      </c>
      <c r="D56" s="13"/>
      <c r="E56" s="12" t="s">
        <v>307</v>
      </c>
      <c r="F56" s="2" t="s">
        <v>308</v>
      </c>
      <c r="G56" s="2" t="s">
        <v>618</v>
      </c>
      <c r="H56" s="3" t="s">
        <v>619</v>
      </c>
      <c r="I56" s="2" t="s">
        <v>310</v>
      </c>
      <c r="J56" s="2" t="s">
        <v>548</v>
      </c>
      <c r="K56" s="5" t="n">
        <f aca="false">SUMIF('07_시간 근거'!$A$2:$A$552,$E56,'07_시간 근거'!$G$2:$G$552)</f>
        <v>30</v>
      </c>
      <c r="L56" s="2"/>
    </row>
    <row r="57" customFormat="false" ht="58.2" hidden="false" customHeight="false" outlineLevel="0" collapsed="false">
      <c r="A57" s="13" t="n">
        <v>53</v>
      </c>
      <c r="B57" s="13" t="s">
        <v>281</v>
      </c>
      <c r="C57" s="13" t="s">
        <v>7</v>
      </c>
      <c r="D57" s="13"/>
      <c r="E57" s="12" t="s">
        <v>311</v>
      </c>
      <c r="F57" s="2" t="s">
        <v>312</v>
      </c>
      <c r="G57" s="2" t="s">
        <v>620</v>
      </c>
      <c r="H57" s="2" t="s">
        <v>621</v>
      </c>
      <c r="I57" s="2" t="s">
        <v>314</v>
      </c>
      <c r="J57" s="3" t="s">
        <v>423</v>
      </c>
      <c r="K57" s="5" t="n">
        <f aca="false">SUMIF('07_시간 근거'!$A$2:$A$552,$E57,'07_시간 근거'!$G$2:$G$552)</f>
        <v>39</v>
      </c>
      <c r="L57" s="2"/>
    </row>
    <row r="58" customFormat="false" ht="29.85" hidden="false" customHeight="false" outlineLevel="0" collapsed="false">
      <c r="A58" s="13" t="n">
        <v>54</v>
      </c>
      <c r="B58" s="13" t="s">
        <v>281</v>
      </c>
      <c r="C58" s="13" t="s">
        <v>7</v>
      </c>
      <c r="D58" s="13"/>
      <c r="E58" s="12" t="s">
        <v>316</v>
      </c>
      <c r="F58" s="2" t="s">
        <v>317</v>
      </c>
      <c r="G58" s="2" t="s">
        <v>622</v>
      </c>
      <c r="H58" s="2" t="s">
        <v>623</v>
      </c>
      <c r="I58" s="2" t="s">
        <v>319</v>
      </c>
      <c r="J58" s="2" t="s">
        <v>548</v>
      </c>
      <c r="K58" s="5" t="n">
        <f aca="false">SUMIF('07_시간 근거'!$A$2:$A$552,$E58,'07_시간 근거'!$G$2:$G$552)</f>
        <v>22</v>
      </c>
      <c r="L58" s="2"/>
    </row>
    <row r="59" customFormat="false" ht="29.85" hidden="false" customHeight="false" outlineLevel="0" collapsed="false">
      <c r="A59" s="13" t="n">
        <v>55</v>
      </c>
      <c r="B59" s="13" t="s">
        <v>281</v>
      </c>
      <c r="C59" s="13" t="s">
        <v>7</v>
      </c>
      <c r="D59" s="13"/>
      <c r="E59" s="12" t="s">
        <v>320</v>
      </c>
      <c r="F59" s="2" t="s">
        <v>321</v>
      </c>
      <c r="G59" s="2" t="s">
        <v>624</v>
      </c>
      <c r="H59" s="2" t="s">
        <v>625</v>
      </c>
      <c r="I59" s="2" t="s">
        <v>323</v>
      </c>
      <c r="J59" s="2" t="s">
        <v>541</v>
      </c>
      <c r="K59" s="5" t="n">
        <f aca="false">SUMIF('07_시간 근거'!$A$2:$A$552,$E59,'07_시간 근거'!$G$2:$G$552)</f>
        <v>7</v>
      </c>
      <c r="L59" s="2"/>
    </row>
    <row r="60" customFormat="false" ht="44" hidden="false" customHeight="false" outlineLevel="0" collapsed="false">
      <c r="A60" s="13" t="n">
        <v>56</v>
      </c>
      <c r="B60" s="13" t="s">
        <v>281</v>
      </c>
      <c r="C60" s="13" t="s">
        <v>7</v>
      </c>
      <c r="D60" s="13"/>
      <c r="E60" s="12" t="s">
        <v>324</v>
      </c>
      <c r="F60" s="3" t="s">
        <v>325</v>
      </c>
      <c r="G60" s="2" t="s">
        <v>626</v>
      </c>
      <c r="H60" s="2" t="s">
        <v>627</v>
      </c>
      <c r="I60" s="2" t="s">
        <v>327</v>
      </c>
      <c r="J60" s="2" t="s">
        <v>548</v>
      </c>
      <c r="K60" s="5" t="n">
        <f aca="false">SUMIF('07_시간 근거'!$A$2:$A$552,$E60,'07_시간 근거'!$G$2:$G$552)</f>
        <v>21</v>
      </c>
      <c r="L60" s="2"/>
    </row>
    <row r="61" customFormat="false" ht="58.2" hidden="false" customHeight="false" outlineLevel="0" collapsed="false">
      <c r="A61" s="15" t="n">
        <v>57</v>
      </c>
      <c r="B61" s="15" t="s">
        <v>281</v>
      </c>
      <c r="C61" s="15" t="s">
        <v>9</v>
      </c>
      <c r="D61" s="15" t="s">
        <v>159</v>
      </c>
      <c r="E61" s="14" t="s">
        <v>328</v>
      </c>
      <c r="F61" s="2" t="s">
        <v>161</v>
      </c>
      <c r="G61" s="2" t="s">
        <v>329</v>
      </c>
      <c r="H61" s="2" t="s">
        <v>580</v>
      </c>
      <c r="I61" s="2" t="s">
        <v>163</v>
      </c>
      <c r="J61" s="2" t="s">
        <v>541</v>
      </c>
      <c r="K61" s="5" t="n">
        <f aca="false">SUMIF('07_시간 근거'!$A$2:$A$552,$E61,'07_시간 근거'!$G$2:$G$552)</f>
        <v>10</v>
      </c>
      <c r="L61" s="2"/>
    </row>
    <row r="62" customFormat="false" ht="100.7" hidden="false" customHeight="false" outlineLevel="0" collapsed="false">
      <c r="A62" s="15" t="n">
        <v>58</v>
      </c>
      <c r="B62" s="15" t="s">
        <v>281</v>
      </c>
      <c r="C62" s="15" t="s">
        <v>9</v>
      </c>
      <c r="D62" s="14" t="s">
        <v>33</v>
      </c>
      <c r="E62" s="14" t="s">
        <v>330</v>
      </c>
      <c r="F62" s="2" t="s">
        <v>331</v>
      </c>
      <c r="G62" s="3" t="s">
        <v>332</v>
      </c>
      <c r="H62" s="3" t="s">
        <v>628</v>
      </c>
      <c r="I62" s="2" t="s">
        <v>333</v>
      </c>
      <c r="J62" s="2" t="s">
        <v>9</v>
      </c>
      <c r="K62" s="5" t="n">
        <f aca="false">SUMIF('07_시간 근거'!$A$2:$A$552,$E62,'07_시간 근거'!$G$2:$G$552)</f>
        <v>41</v>
      </c>
      <c r="L62" s="3" t="s">
        <v>334</v>
      </c>
    </row>
    <row r="63" customFormat="false" ht="72.35" hidden="false" customHeight="false" outlineLevel="0" collapsed="false">
      <c r="A63" s="15" t="n">
        <v>59</v>
      </c>
      <c r="B63" s="15" t="s">
        <v>281</v>
      </c>
      <c r="C63" s="15" t="s">
        <v>9</v>
      </c>
      <c r="D63" s="14" t="s">
        <v>33</v>
      </c>
      <c r="E63" s="14" t="s">
        <v>335</v>
      </c>
      <c r="F63" s="2" t="s">
        <v>336</v>
      </c>
      <c r="G63" s="3" t="s">
        <v>337</v>
      </c>
      <c r="H63" s="3" t="s">
        <v>629</v>
      </c>
      <c r="I63" s="2" t="s">
        <v>338</v>
      </c>
      <c r="J63" s="2" t="s">
        <v>9</v>
      </c>
      <c r="K63" s="5" t="n">
        <f aca="false">SUMIF('07_시간 근거'!$A$2:$A$552,$E63,'07_시간 근거'!$G$2:$G$552)</f>
        <v>30</v>
      </c>
      <c r="L63" s="3" t="s">
        <v>339</v>
      </c>
    </row>
    <row r="64" customFormat="false" ht="29.85" hidden="false" customHeight="false" outlineLevel="0" collapsed="false">
      <c r="A64" s="15" t="n">
        <v>60</v>
      </c>
      <c r="B64" s="15" t="s">
        <v>281</v>
      </c>
      <c r="C64" s="15" t="s">
        <v>9</v>
      </c>
      <c r="D64" s="14" t="s">
        <v>33</v>
      </c>
      <c r="E64" s="14" t="s">
        <v>340</v>
      </c>
      <c r="F64" s="2" t="s">
        <v>341</v>
      </c>
      <c r="G64" s="3" t="s">
        <v>342</v>
      </c>
      <c r="H64" s="3" t="s">
        <v>630</v>
      </c>
      <c r="I64" s="2" t="s">
        <v>327</v>
      </c>
      <c r="J64" s="2" t="s">
        <v>9</v>
      </c>
      <c r="K64" s="5" t="n">
        <f aca="false">SUMIF('07_시간 근거'!$A$2:$A$552,$E64,'07_시간 근거'!$G$2:$G$552)</f>
        <v>12</v>
      </c>
      <c r="L64" s="3" t="s">
        <v>339</v>
      </c>
    </row>
    <row r="65" customFormat="false" ht="72.35" hidden="false" customHeight="false" outlineLevel="0" collapsed="false">
      <c r="A65" s="15" t="n">
        <v>61</v>
      </c>
      <c r="B65" s="15" t="s">
        <v>281</v>
      </c>
      <c r="C65" s="15" t="s">
        <v>9</v>
      </c>
      <c r="D65" s="14" t="s">
        <v>184</v>
      </c>
      <c r="E65" s="14" t="s">
        <v>343</v>
      </c>
      <c r="F65" s="2" t="s">
        <v>344</v>
      </c>
      <c r="G65" s="3" t="s">
        <v>345</v>
      </c>
      <c r="H65" s="3" t="s">
        <v>631</v>
      </c>
      <c r="I65" s="2" t="s">
        <v>346</v>
      </c>
      <c r="J65" s="2" t="s">
        <v>9</v>
      </c>
      <c r="K65" s="5" t="n">
        <f aca="false">SUMIF('07_시간 근거'!$A$2:$A$552,$E65,'07_시간 근거'!$G$2:$G$552)</f>
        <v>20</v>
      </c>
      <c r="L65" s="3" t="s">
        <v>347</v>
      </c>
    </row>
    <row r="66" customFormat="false" ht="86.55" hidden="false" customHeight="false" outlineLevel="0" collapsed="false">
      <c r="A66" s="15" t="n">
        <v>62</v>
      </c>
      <c r="B66" s="15" t="s">
        <v>281</v>
      </c>
      <c r="C66" s="15" t="s">
        <v>9</v>
      </c>
      <c r="D66" s="14" t="s">
        <v>184</v>
      </c>
      <c r="E66" s="14" t="s">
        <v>348</v>
      </c>
      <c r="F66" s="2" t="s">
        <v>349</v>
      </c>
      <c r="G66" s="3" t="s">
        <v>350</v>
      </c>
      <c r="H66" s="3" t="s">
        <v>632</v>
      </c>
      <c r="I66" s="2" t="s">
        <v>338</v>
      </c>
      <c r="J66" s="2" t="s">
        <v>9</v>
      </c>
      <c r="K66" s="5" t="n">
        <f aca="false">SUMIF('07_시간 근거'!$A$2:$A$552,$E66,'07_시간 근거'!$G$2:$G$552)</f>
        <v>26</v>
      </c>
      <c r="L66" s="3" t="s">
        <v>351</v>
      </c>
    </row>
    <row r="67" customFormat="false" ht="29.85" hidden="false" customHeight="false" outlineLevel="0" collapsed="false">
      <c r="A67" s="15" t="n">
        <v>63</v>
      </c>
      <c r="B67" s="15" t="s">
        <v>281</v>
      </c>
      <c r="C67" s="15" t="s">
        <v>9</v>
      </c>
      <c r="D67" s="14" t="s">
        <v>184</v>
      </c>
      <c r="E67" s="14" t="s">
        <v>352</v>
      </c>
      <c r="F67" s="2" t="s">
        <v>353</v>
      </c>
      <c r="G67" s="3" t="s">
        <v>354</v>
      </c>
      <c r="H67" s="3" t="s">
        <v>633</v>
      </c>
      <c r="I67" s="2" t="s">
        <v>355</v>
      </c>
      <c r="J67" s="2" t="s">
        <v>9</v>
      </c>
      <c r="K67" s="5" t="n">
        <f aca="false">SUMIF('07_시간 근거'!$A$2:$A$552,$E67,'07_시간 근거'!$G$2:$G$552)</f>
        <v>5</v>
      </c>
      <c r="L67" s="3" t="s">
        <v>351</v>
      </c>
    </row>
    <row r="68" customFormat="false" ht="44" hidden="false" customHeight="false" outlineLevel="0" collapsed="false">
      <c r="A68" s="15" t="n">
        <v>64</v>
      </c>
      <c r="B68" s="15" t="s">
        <v>281</v>
      </c>
      <c r="C68" s="15" t="s">
        <v>9</v>
      </c>
      <c r="D68" s="14" t="s">
        <v>200</v>
      </c>
      <c r="E68" s="14" t="s">
        <v>356</v>
      </c>
      <c r="F68" s="2" t="s">
        <v>357</v>
      </c>
      <c r="G68" s="3" t="s">
        <v>358</v>
      </c>
      <c r="H68" s="3" t="s">
        <v>634</v>
      </c>
      <c r="I68" s="2" t="s">
        <v>359</v>
      </c>
      <c r="J68" s="2" t="s">
        <v>9</v>
      </c>
      <c r="K68" s="5" t="n">
        <f aca="false">SUMIF('07_시간 근거'!$A$2:$A$552,$E68,'07_시간 근거'!$G$2:$G$552)</f>
        <v>20</v>
      </c>
      <c r="L68" s="3" t="s">
        <v>360</v>
      </c>
    </row>
    <row r="69" customFormat="false" ht="58.2" hidden="false" customHeight="false" outlineLevel="0" collapsed="false">
      <c r="A69" s="15" t="n">
        <v>65</v>
      </c>
      <c r="B69" s="15" t="s">
        <v>281</v>
      </c>
      <c r="C69" s="15" t="s">
        <v>9</v>
      </c>
      <c r="D69" s="14" t="s">
        <v>200</v>
      </c>
      <c r="E69" s="14" t="s">
        <v>361</v>
      </c>
      <c r="F69" s="2" t="s">
        <v>362</v>
      </c>
      <c r="G69" s="3" t="s">
        <v>363</v>
      </c>
      <c r="H69" s="3" t="s">
        <v>635</v>
      </c>
      <c r="I69" s="2" t="s">
        <v>338</v>
      </c>
      <c r="J69" s="2" t="s">
        <v>9</v>
      </c>
      <c r="K69" s="5" t="n">
        <f aca="false">SUMIF('07_시간 근거'!$A$2:$A$552,$E69,'07_시간 근거'!$G$2:$G$552)</f>
        <v>23</v>
      </c>
      <c r="L69" s="3" t="s">
        <v>364</v>
      </c>
    </row>
    <row r="70" customFormat="false" ht="29.85" hidden="false" customHeight="false" outlineLevel="0" collapsed="false">
      <c r="A70" s="15" t="n">
        <v>66</v>
      </c>
      <c r="B70" s="15" t="s">
        <v>281</v>
      </c>
      <c r="C70" s="15" t="s">
        <v>9</v>
      </c>
      <c r="D70" s="14" t="s">
        <v>200</v>
      </c>
      <c r="E70" s="14" t="s">
        <v>365</v>
      </c>
      <c r="F70" s="2" t="s">
        <v>366</v>
      </c>
      <c r="G70" s="3" t="s">
        <v>367</v>
      </c>
      <c r="H70" s="3" t="s">
        <v>636</v>
      </c>
      <c r="I70" s="2" t="s">
        <v>355</v>
      </c>
      <c r="J70" s="2" t="s">
        <v>9</v>
      </c>
      <c r="K70" s="5" t="n">
        <f aca="false">SUMIF('07_시간 근거'!$A$2:$A$552,$E70,'07_시간 근거'!$G$2:$G$552)</f>
        <v>5</v>
      </c>
      <c r="L70" s="3" t="s">
        <v>364</v>
      </c>
    </row>
    <row r="71" customFormat="false" ht="29.85" hidden="false" customHeight="false" outlineLevel="0" collapsed="false">
      <c r="A71" s="15" t="n">
        <v>67</v>
      </c>
      <c r="B71" s="15" t="s">
        <v>281</v>
      </c>
      <c r="C71" s="15" t="s">
        <v>9</v>
      </c>
      <c r="D71" s="15" t="s">
        <v>215</v>
      </c>
      <c r="E71" s="14" t="s">
        <v>368</v>
      </c>
      <c r="F71" s="2" t="s">
        <v>369</v>
      </c>
      <c r="G71" s="3" t="s">
        <v>370</v>
      </c>
      <c r="H71" s="2" t="s">
        <v>637</v>
      </c>
      <c r="I71" s="2" t="s">
        <v>371</v>
      </c>
      <c r="J71" s="2" t="s">
        <v>9</v>
      </c>
      <c r="K71" s="5" t="n">
        <f aca="false">SUMIF('07_시간 근거'!$A$2:$A$552,$E71,'07_시간 근거'!$G$2:$G$552)</f>
        <v>9</v>
      </c>
      <c r="L71" s="2" t="s">
        <v>215</v>
      </c>
    </row>
    <row r="72" customFormat="false" ht="58.2" hidden="false" customHeight="false" outlineLevel="0" collapsed="false">
      <c r="A72" s="17" t="n">
        <v>68</v>
      </c>
      <c r="B72" s="17" t="s">
        <v>281</v>
      </c>
      <c r="C72" s="17" t="s">
        <v>11</v>
      </c>
      <c r="D72" s="17"/>
      <c r="E72" s="16" t="s">
        <v>372</v>
      </c>
      <c r="F72" s="2" t="s">
        <v>373</v>
      </c>
      <c r="G72" s="2" t="s">
        <v>374</v>
      </c>
      <c r="H72" s="2" t="s">
        <v>638</v>
      </c>
      <c r="I72" s="2" t="s">
        <v>375</v>
      </c>
      <c r="J72" s="3" t="s">
        <v>593</v>
      </c>
      <c r="K72" s="5" t="n">
        <f aca="false">SUMIF('07_시간 근거'!$A$2:$A$552,$E72,'07_시간 근거'!$G$2:$G$552)</f>
        <v>44</v>
      </c>
      <c r="L72" s="3" t="s">
        <v>376</v>
      </c>
    </row>
    <row r="73" customFormat="false" ht="44" hidden="false" customHeight="false" outlineLevel="0" collapsed="false">
      <c r="A73" s="17" t="n">
        <v>69</v>
      </c>
      <c r="B73" s="17" t="s">
        <v>281</v>
      </c>
      <c r="C73" s="17" t="s">
        <v>11</v>
      </c>
      <c r="D73" s="17"/>
      <c r="E73" s="16" t="s">
        <v>377</v>
      </c>
      <c r="F73" s="2" t="s">
        <v>378</v>
      </c>
      <c r="G73" s="2" t="s">
        <v>379</v>
      </c>
      <c r="H73" s="2" t="s">
        <v>639</v>
      </c>
      <c r="I73" s="2" t="s">
        <v>380</v>
      </c>
      <c r="J73" s="3" t="s">
        <v>593</v>
      </c>
      <c r="K73" s="5" t="n">
        <f aca="false">SUMIF('07_시간 근거'!$A$2:$A$552,$E73,'07_시간 근거'!$G$2:$G$552)</f>
        <v>39</v>
      </c>
      <c r="L73" s="3" t="s">
        <v>381</v>
      </c>
    </row>
    <row r="74" customFormat="false" ht="44" hidden="false" customHeight="false" outlineLevel="0" collapsed="false">
      <c r="A74" s="17" t="n">
        <v>70</v>
      </c>
      <c r="B74" s="17" t="s">
        <v>281</v>
      </c>
      <c r="C74" s="17" t="s">
        <v>11</v>
      </c>
      <c r="D74" s="17"/>
      <c r="E74" s="16" t="s">
        <v>382</v>
      </c>
      <c r="F74" s="2" t="s">
        <v>383</v>
      </c>
      <c r="G74" s="2" t="s">
        <v>384</v>
      </c>
      <c r="H74" s="2" t="s">
        <v>640</v>
      </c>
      <c r="I74" s="2" t="s">
        <v>385</v>
      </c>
      <c r="J74" s="3" t="s">
        <v>593</v>
      </c>
      <c r="K74" s="5" t="n">
        <f aca="false">SUMIF('07_시간 근거'!$A$2:$A$552,$E74,'07_시간 근거'!$G$2:$G$552)</f>
        <v>44</v>
      </c>
      <c r="L74" s="3" t="s">
        <v>386</v>
      </c>
    </row>
    <row r="75" customFormat="false" ht="58.2" hidden="false" customHeight="false" outlineLevel="0" collapsed="false">
      <c r="A75" s="17" t="n">
        <v>71</v>
      </c>
      <c r="B75" s="17" t="s">
        <v>281</v>
      </c>
      <c r="C75" s="17" t="s">
        <v>11</v>
      </c>
      <c r="D75" s="17"/>
      <c r="E75" s="16" t="s">
        <v>387</v>
      </c>
      <c r="F75" s="2" t="s">
        <v>388</v>
      </c>
      <c r="G75" s="2" t="s">
        <v>389</v>
      </c>
      <c r="H75" s="2" t="s">
        <v>641</v>
      </c>
      <c r="I75" s="2" t="s">
        <v>390</v>
      </c>
      <c r="J75" s="3" t="s">
        <v>593</v>
      </c>
      <c r="K75" s="5" t="n">
        <f aca="false">SUMIF('07_시간 근거'!$A$2:$A$552,$E75,'07_시간 근거'!$G$2:$G$552)</f>
        <v>47</v>
      </c>
      <c r="L75" s="3" t="s">
        <v>391</v>
      </c>
    </row>
    <row r="76" customFormat="false" ht="44" hidden="false" customHeight="false" outlineLevel="0" collapsed="false">
      <c r="A76" s="17" t="n">
        <v>72</v>
      </c>
      <c r="B76" s="17" t="s">
        <v>281</v>
      </c>
      <c r="C76" s="17" t="s">
        <v>11</v>
      </c>
      <c r="D76" s="17"/>
      <c r="E76" s="16" t="s">
        <v>392</v>
      </c>
      <c r="F76" s="2" t="s">
        <v>393</v>
      </c>
      <c r="G76" s="2" t="s">
        <v>394</v>
      </c>
      <c r="H76" s="2" t="s">
        <v>642</v>
      </c>
      <c r="I76" s="2" t="s">
        <v>395</v>
      </c>
      <c r="J76" s="3" t="s">
        <v>593</v>
      </c>
      <c r="K76" s="5" t="n">
        <f aca="false">SUMIF('07_시간 근거'!$A$2:$A$552,$E76,'07_시간 근거'!$G$2:$G$552)</f>
        <v>40</v>
      </c>
      <c r="L76" s="3" t="s">
        <v>396</v>
      </c>
    </row>
    <row r="77" customFormat="false" ht="44" hidden="false" customHeight="false" outlineLevel="0" collapsed="false">
      <c r="A77" s="17" t="n">
        <v>73</v>
      </c>
      <c r="B77" s="17" t="s">
        <v>281</v>
      </c>
      <c r="C77" s="17" t="s">
        <v>11</v>
      </c>
      <c r="D77" s="17"/>
      <c r="E77" s="16" t="s">
        <v>397</v>
      </c>
      <c r="F77" s="2" t="s">
        <v>398</v>
      </c>
      <c r="G77" s="2" t="s">
        <v>399</v>
      </c>
      <c r="H77" s="2" t="s">
        <v>643</v>
      </c>
      <c r="I77" s="2" t="s">
        <v>400</v>
      </c>
      <c r="J77" s="3" t="s">
        <v>593</v>
      </c>
      <c r="K77" s="5" t="n">
        <f aca="false">SUMIF('07_시간 근거'!$A$2:$A$552,$E77,'07_시간 근거'!$G$2:$G$552)</f>
        <v>41</v>
      </c>
      <c r="L77" s="3" t="s">
        <v>401</v>
      </c>
    </row>
    <row r="78" customFormat="false" ht="29.85" hidden="false" customHeight="false" outlineLevel="0" collapsed="false">
      <c r="A78" s="17" t="n">
        <v>74</v>
      </c>
      <c r="B78" s="17" t="s">
        <v>281</v>
      </c>
      <c r="C78" s="17" t="s">
        <v>11</v>
      </c>
      <c r="D78" s="17"/>
      <c r="E78" s="16" t="s">
        <v>402</v>
      </c>
      <c r="F78" s="2" t="s">
        <v>403</v>
      </c>
      <c r="G78" s="2" t="s">
        <v>404</v>
      </c>
      <c r="H78" s="2" t="s">
        <v>644</v>
      </c>
      <c r="I78" s="2" t="s">
        <v>405</v>
      </c>
      <c r="J78" s="3" t="s">
        <v>593</v>
      </c>
      <c r="K78" s="5" t="n">
        <f aca="false">SUMIF('07_시간 근거'!$A$2:$A$552,$E78,'07_시간 근거'!$G$2:$G$552)</f>
        <v>39</v>
      </c>
      <c r="L78" s="3" t="s">
        <v>406</v>
      </c>
    </row>
    <row r="79" customFormat="false" ht="29.85" hidden="false" customHeight="false" outlineLevel="0" collapsed="false">
      <c r="A79" s="17" t="n">
        <v>75</v>
      </c>
      <c r="B79" s="17" t="s">
        <v>281</v>
      </c>
      <c r="C79" s="17" t="s">
        <v>11</v>
      </c>
      <c r="D79" s="17"/>
      <c r="E79" s="16" t="s">
        <v>407</v>
      </c>
      <c r="F79" s="2" t="s">
        <v>408</v>
      </c>
      <c r="G79" s="2" t="s">
        <v>409</v>
      </c>
      <c r="H79" s="2" t="s">
        <v>645</v>
      </c>
      <c r="I79" s="2" t="s">
        <v>410</v>
      </c>
      <c r="J79" s="3" t="s">
        <v>593</v>
      </c>
      <c r="K79" s="5" t="n">
        <f aca="false">SUMIF('07_시간 근거'!$A$2:$A$552,$E79,'07_시간 근거'!$G$2:$G$552)</f>
        <v>43</v>
      </c>
      <c r="L79" s="3" t="s">
        <v>411</v>
      </c>
    </row>
    <row r="80" customFormat="false" ht="29.85" hidden="false" customHeight="false" outlineLevel="0" collapsed="false">
      <c r="A80" s="17" t="n">
        <v>76</v>
      </c>
      <c r="B80" s="17" t="s">
        <v>281</v>
      </c>
      <c r="C80" s="17" t="s">
        <v>11</v>
      </c>
      <c r="D80" s="17"/>
      <c r="E80" s="16" t="s">
        <v>412</v>
      </c>
      <c r="F80" s="2" t="s">
        <v>413</v>
      </c>
      <c r="G80" s="2" t="s">
        <v>414</v>
      </c>
      <c r="H80" s="2" t="s">
        <v>646</v>
      </c>
      <c r="I80" s="2" t="s">
        <v>69</v>
      </c>
      <c r="J80" s="3" t="s">
        <v>543</v>
      </c>
      <c r="K80" s="5" t="n">
        <f aca="false">SUMIF('07_시간 근거'!$A$2:$A$552,$E80,'07_시간 근거'!$G$2:$G$552)</f>
        <v>10</v>
      </c>
      <c r="L80" s="2"/>
    </row>
    <row r="81" customFormat="false" ht="15" hidden="false" customHeight="false" outlineLevel="0" collapsed="false">
      <c r="A81" s="9" t="str">
        <f aca="false">"4. BPMN — 제안이 한 번 승인되고, 실행되고, 자동 확인되어야 일이 닫힌다  ("&amp;SUM(K82:K106)&amp;"분)"</f>
        <v>4. BPMN — 제안이 한 번 승인되고, 실행되고, 자동 확인되어야 일이 닫힌다  (665분)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</row>
    <row r="82" customFormat="false" ht="44" hidden="false" customHeight="false" outlineLevel="0" collapsed="false">
      <c r="A82" s="13" t="n">
        <v>77</v>
      </c>
      <c r="B82" s="12" t="s">
        <v>415</v>
      </c>
      <c r="C82" s="13" t="s">
        <v>7</v>
      </c>
      <c r="D82" s="13"/>
      <c r="E82" s="12" t="s">
        <v>416</v>
      </c>
      <c r="F82" s="2" t="s">
        <v>417</v>
      </c>
      <c r="G82" s="2" t="s">
        <v>647</v>
      </c>
      <c r="H82" s="2" t="s">
        <v>648</v>
      </c>
      <c r="I82" s="2" t="s">
        <v>419</v>
      </c>
      <c r="J82" s="2" t="s">
        <v>541</v>
      </c>
      <c r="K82" s="5" t="n">
        <f aca="false">SUMIF('07_시간 근거'!$A$2:$A$552,$E82,'07_시간 근거'!$G$2:$G$552)</f>
        <v>23</v>
      </c>
      <c r="L82" s="2"/>
    </row>
    <row r="83" customFormat="false" ht="29.85" hidden="false" customHeight="false" outlineLevel="0" collapsed="false">
      <c r="A83" s="13" t="n">
        <v>78</v>
      </c>
      <c r="B83" s="12" t="s">
        <v>415</v>
      </c>
      <c r="C83" s="13" t="s">
        <v>7</v>
      </c>
      <c r="D83" s="13"/>
      <c r="E83" s="12" t="s">
        <v>420</v>
      </c>
      <c r="F83" s="2" t="s">
        <v>421</v>
      </c>
      <c r="G83" s="3" t="s">
        <v>649</v>
      </c>
      <c r="H83" s="2" t="s">
        <v>650</v>
      </c>
      <c r="I83" s="3" t="s">
        <v>423</v>
      </c>
      <c r="J83" s="3" t="s">
        <v>423</v>
      </c>
      <c r="K83" s="5" t="n">
        <f aca="false">SUMIF('07_시간 근거'!$A$2:$A$552,$E83,'07_시간 근거'!$G$2:$G$552)</f>
        <v>25</v>
      </c>
      <c r="L83" s="2"/>
    </row>
    <row r="84" customFormat="false" ht="58.2" hidden="false" customHeight="false" outlineLevel="0" collapsed="false">
      <c r="A84" s="13" t="n">
        <v>79</v>
      </c>
      <c r="B84" s="12" t="s">
        <v>415</v>
      </c>
      <c r="C84" s="13" t="s">
        <v>7</v>
      </c>
      <c r="D84" s="13"/>
      <c r="E84" s="12" t="s">
        <v>425</v>
      </c>
      <c r="F84" s="2" t="s">
        <v>426</v>
      </c>
      <c r="G84" s="2" t="s">
        <v>651</v>
      </c>
      <c r="H84" s="2" t="s">
        <v>652</v>
      </c>
      <c r="I84" s="2" t="s">
        <v>428</v>
      </c>
      <c r="J84" s="2" t="s">
        <v>548</v>
      </c>
      <c r="K84" s="5" t="n">
        <f aca="false">SUMIF('07_시간 근거'!$A$2:$A$552,$E84,'07_시간 근거'!$G$2:$G$552)</f>
        <v>44</v>
      </c>
      <c r="L84" s="2"/>
    </row>
    <row r="85" customFormat="false" ht="44" hidden="false" customHeight="false" outlineLevel="0" collapsed="false">
      <c r="A85" s="13" t="n">
        <v>80</v>
      </c>
      <c r="B85" s="12" t="s">
        <v>415</v>
      </c>
      <c r="C85" s="13" t="s">
        <v>7</v>
      </c>
      <c r="D85" s="13"/>
      <c r="E85" s="12" t="s">
        <v>430</v>
      </c>
      <c r="F85" s="2" t="s">
        <v>431</v>
      </c>
      <c r="G85" s="2" t="s">
        <v>653</v>
      </c>
      <c r="H85" s="2" t="s">
        <v>654</v>
      </c>
      <c r="I85" s="2" t="s">
        <v>433</v>
      </c>
      <c r="J85" s="2" t="s">
        <v>541</v>
      </c>
      <c r="K85" s="5" t="n">
        <f aca="false">SUMIF('07_시간 근거'!$A$2:$A$552,$E85,'07_시간 근거'!$G$2:$G$552)</f>
        <v>8</v>
      </c>
      <c r="L85" s="2"/>
    </row>
    <row r="86" customFormat="false" ht="58.2" hidden="false" customHeight="false" outlineLevel="0" collapsed="false">
      <c r="A86" s="13" t="n">
        <v>81</v>
      </c>
      <c r="B86" s="12" t="s">
        <v>415</v>
      </c>
      <c r="C86" s="13" t="s">
        <v>7</v>
      </c>
      <c r="D86" s="13"/>
      <c r="E86" s="12" t="s">
        <v>434</v>
      </c>
      <c r="F86" s="3" t="s">
        <v>435</v>
      </c>
      <c r="G86" s="2" t="s">
        <v>655</v>
      </c>
      <c r="H86" s="2" t="s">
        <v>656</v>
      </c>
      <c r="I86" s="2" t="s">
        <v>437</v>
      </c>
      <c r="J86" s="2" t="s">
        <v>548</v>
      </c>
      <c r="K86" s="5" t="n">
        <f aca="false">SUMIF('07_시간 근거'!$A$2:$A$552,$E86,'07_시간 근거'!$G$2:$G$552)</f>
        <v>32</v>
      </c>
      <c r="L86" s="2"/>
    </row>
    <row r="87" customFormat="false" ht="44" hidden="false" customHeight="false" outlineLevel="0" collapsed="false">
      <c r="A87" s="13" t="n">
        <v>82</v>
      </c>
      <c r="B87" s="12" t="s">
        <v>415</v>
      </c>
      <c r="C87" s="13" t="s">
        <v>7</v>
      </c>
      <c r="D87" s="13"/>
      <c r="E87" s="12" t="s">
        <v>438</v>
      </c>
      <c r="F87" s="2" t="s">
        <v>439</v>
      </c>
      <c r="G87" s="2" t="s">
        <v>657</v>
      </c>
      <c r="H87" s="2" t="s">
        <v>658</v>
      </c>
      <c r="I87" s="2" t="s">
        <v>441</v>
      </c>
      <c r="J87" s="3" t="s">
        <v>423</v>
      </c>
      <c r="K87" s="5" t="n">
        <f aca="false">SUMIF('07_시간 근거'!$A$2:$A$552,$E87,'07_시간 근거'!$G$2:$G$552)</f>
        <v>28</v>
      </c>
      <c r="L87" s="2"/>
    </row>
    <row r="88" customFormat="false" ht="58.2" hidden="false" customHeight="false" outlineLevel="0" collapsed="false">
      <c r="A88" s="13" t="n">
        <v>83</v>
      </c>
      <c r="B88" s="12" t="s">
        <v>415</v>
      </c>
      <c r="C88" s="13" t="s">
        <v>7</v>
      </c>
      <c r="D88" s="13"/>
      <c r="E88" s="12" t="s">
        <v>443</v>
      </c>
      <c r="F88" s="2" t="s">
        <v>444</v>
      </c>
      <c r="G88" s="2" t="s">
        <v>659</v>
      </c>
      <c r="H88" s="2" t="s">
        <v>660</v>
      </c>
      <c r="I88" s="2" t="s">
        <v>446</v>
      </c>
      <c r="J88" s="2" t="s">
        <v>541</v>
      </c>
      <c r="K88" s="5" t="n">
        <f aca="false">SUMIF('07_시간 근거'!$A$2:$A$552,$E88,'07_시간 근거'!$G$2:$G$552)</f>
        <v>16</v>
      </c>
      <c r="L88" s="2"/>
    </row>
    <row r="89" customFormat="false" ht="29.85" hidden="false" customHeight="false" outlineLevel="0" collapsed="false">
      <c r="A89" s="13" t="n">
        <v>84</v>
      </c>
      <c r="B89" s="12" t="s">
        <v>415</v>
      </c>
      <c r="C89" s="13" t="s">
        <v>7</v>
      </c>
      <c r="D89" s="13"/>
      <c r="E89" s="12" t="s">
        <v>447</v>
      </c>
      <c r="F89" s="2" t="s">
        <v>448</v>
      </c>
      <c r="G89" s="2" t="s">
        <v>661</v>
      </c>
      <c r="H89" s="2" t="s">
        <v>662</v>
      </c>
      <c r="I89" s="2" t="s">
        <v>450</v>
      </c>
      <c r="J89" s="2" t="s">
        <v>541</v>
      </c>
      <c r="K89" s="5" t="n">
        <f aca="false">SUMIF('07_시간 근거'!$A$2:$A$552,$E89,'07_시간 근거'!$G$2:$G$552)</f>
        <v>12</v>
      </c>
      <c r="L89" s="2"/>
    </row>
    <row r="90" customFormat="false" ht="29.85" hidden="false" customHeight="false" outlineLevel="0" collapsed="false">
      <c r="A90" s="13" t="n">
        <v>85</v>
      </c>
      <c r="B90" s="12" t="s">
        <v>415</v>
      </c>
      <c r="C90" s="13" t="s">
        <v>7</v>
      </c>
      <c r="D90" s="13"/>
      <c r="E90" s="12" t="s">
        <v>451</v>
      </c>
      <c r="F90" s="2" t="s">
        <v>452</v>
      </c>
      <c r="G90" s="2" t="s">
        <v>663</v>
      </c>
      <c r="H90" s="2" t="s">
        <v>664</v>
      </c>
      <c r="I90" s="2" t="s">
        <v>454</v>
      </c>
      <c r="J90" s="2" t="s">
        <v>548</v>
      </c>
      <c r="K90" s="5" t="n">
        <f aca="false">SUMIF('07_시간 근거'!$A$2:$A$552,$E90,'07_시간 근거'!$G$2:$G$552)</f>
        <v>22</v>
      </c>
      <c r="L90" s="2"/>
    </row>
    <row r="91" customFormat="false" ht="29.85" hidden="false" customHeight="false" outlineLevel="0" collapsed="false">
      <c r="A91" s="13" t="n">
        <v>86</v>
      </c>
      <c r="B91" s="12" t="s">
        <v>415</v>
      </c>
      <c r="C91" s="13" t="s">
        <v>7</v>
      </c>
      <c r="D91" s="13"/>
      <c r="E91" s="12" t="s">
        <v>455</v>
      </c>
      <c r="F91" s="2" t="s">
        <v>456</v>
      </c>
      <c r="G91" s="2" t="s">
        <v>665</v>
      </c>
      <c r="H91" s="3" t="s">
        <v>666</v>
      </c>
      <c r="I91" s="2" t="s">
        <v>458</v>
      </c>
      <c r="J91" s="2" t="s">
        <v>548</v>
      </c>
      <c r="K91" s="5" t="n">
        <f aca="false">SUMIF('07_시간 근거'!$A$2:$A$552,$E91,'07_시간 근거'!$G$2:$G$552)</f>
        <v>12</v>
      </c>
      <c r="L91" s="2"/>
    </row>
    <row r="92" customFormat="false" ht="58.2" hidden="false" customHeight="false" outlineLevel="0" collapsed="false">
      <c r="A92" s="15" t="n">
        <v>87</v>
      </c>
      <c r="B92" s="14" t="s">
        <v>415</v>
      </c>
      <c r="C92" s="15" t="s">
        <v>9</v>
      </c>
      <c r="D92" s="15" t="s">
        <v>159</v>
      </c>
      <c r="E92" s="14" t="s">
        <v>459</v>
      </c>
      <c r="F92" s="2" t="s">
        <v>161</v>
      </c>
      <c r="G92" s="2" t="s">
        <v>460</v>
      </c>
      <c r="H92" s="2" t="s">
        <v>580</v>
      </c>
      <c r="I92" s="2" t="s">
        <v>163</v>
      </c>
      <c r="J92" s="2" t="s">
        <v>541</v>
      </c>
      <c r="K92" s="5" t="n">
        <f aca="false">SUMIF('07_시간 근거'!$A$2:$A$552,$E92,'07_시간 근거'!$G$2:$G$552)</f>
        <v>10</v>
      </c>
      <c r="L92" s="2"/>
    </row>
    <row r="93" customFormat="false" ht="97.75" hidden="false" customHeight="false" outlineLevel="0" collapsed="false">
      <c r="A93" s="15" t="n">
        <v>88</v>
      </c>
      <c r="B93" s="14" t="s">
        <v>415</v>
      </c>
      <c r="C93" s="15" t="s">
        <v>9</v>
      </c>
      <c r="D93" s="14" t="s">
        <v>33</v>
      </c>
      <c r="E93" s="14" t="s">
        <v>461</v>
      </c>
      <c r="F93" s="2" t="s">
        <v>462</v>
      </c>
      <c r="G93" s="3" t="s">
        <v>463</v>
      </c>
      <c r="H93" s="3" t="s">
        <v>667</v>
      </c>
      <c r="I93" s="3" t="s">
        <v>464</v>
      </c>
      <c r="J93" s="2" t="s">
        <v>9</v>
      </c>
      <c r="K93" s="5" t="n">
        <f aca="false">SUMIF('07_시간 근거'!$A$2:$A$552,$E93,'07_시간 근거'!$G$2:$G$552)</f>
        <v>40</v>
      </c>
      <c r="L93" s="2" t="s">
        <v>169</v>
      </c>
    </row>
    <row r="94" customFormat="false" ht="72.35" hidden="false" customHeight="false" outlineLevel="0" collapsed="false">
      <c r="A94" s="15" t="n">
        <v>89</v>
      </c>
      <c r="B94" s="14" t="s">
        <v>415</v>
      </c>
      <c r="C94" s="15" t="s">
        <v>9</v>
      </c>
      <c r="D94" s="14" t="s">
        <v>33</v>
      </c>
      <c r="E94" s="14" t="s">
        <v>465</v>
      </c>
      <c r="F94" s="2" t="s">
        <v>466</v>
      </c>
      <c r="G94" s="3" t="s">
        <v>467</v>
      </c>
      <c r="H94" s="3" t="s">
        <v>668</v>
      </c>
      <c r="I94" s="2" t="s">
        <v>468</v>
      </c>
      <c r="J94" s="2" t="s">
        <v>9</v>
      </c>
      <c r="K94" s="5" t="n">
        <f aca="false">SUMIF('07_시간 근거'!$A$2:$A$552,$E94,'07_시간 근거'!$G$2:$G$552)</f>
        <v>39</v>
      </c>
      <c r="L94" s="3" t="s">
        <v>469</v>
      </c>
    </row>
    <row r="95" customFormat="false" ht="58.2" hidden="false" customHeight="false" outlineLevel="0" collapsed="false">
      <c r="A95" s="15" t="n">
        <v>90</v>
      </c>
      <c r="B95" s="14" t="s">
        <v>415</v>
      </c>
      <c r="C95" s="15" t="s">
        <v>9</v>
      </c>
      <c r="D95" s="14" t="s">
        <v>184</v>
      </c>
      <c r="E95" s="14" t="s">
        <v>470</v>
      </c>
      <c r="F95" s="2" t="s">
        <v>471</v>
      </c>
      <c r="G95" s="3" t="s">
        <v>472</v>
      </c>
      <c r="H95" s="3" t="s">
        <v>669</v>
      </c>
      <c r="I95" s="2" t="s">
        <v>473</v>
      </c>
      <c r="J95" s="2" t="s">
        <v>9</v>
      </c>
      <c r="K95" s="5" t="n">
        <f aca="false">SUMIF('07_시간 근거'!$A$2:$A$552,$E95,'07_시간 근거'!$G$2:$G$552)</f>
        <v>18</v>
      </c>
      <c r="L95" s="2" t="s">
        <v>199</v>
      </c>
    </row>
    <row r="96" customFormat="false" ht="72.35" hidden="false" customHeight="false" outlineLevel="0" collapsed="false">
      <c r="A96" s="15" t="n">
        <v>91</v>
      </c>
      <c r="B96" s="14" t="s">
        <v>415</v>
      </c>
      <c r="C96" s="15" t="s">
        <v>9</v>
      </c>
      <c r="D96" s="14" t="s">
        <v>184</v>
      </c>
      <c r="E96" s="14" t="s">
        <v>474</v>
      </c>
      <c r="F96" s="2" t="s">
        <v>475</v>
      </c>
      <c r="G96" s="3" t="s">
        <v>476</v>
      </c>
      <c r="H96" s="3" t="s">
        <v>670</v>
      </c>
      <c r="I96" s="2" t="s">
        <v>477</v>
      </c>
      <c r="J96" s="2" t="s">
        <v>9</v>
      </c>
      <c r="K96" s="5" t="n">
        <f aca="false">SUMIF('07_시간 근거'!$A$2:$A$552,$E96,'07_시간 근거'!$G$2:$G$552)</f>
        <v>30</v>
      </c>
      <c r="L96" s="3" t="s">
        <v>478</v>
      </c>
    </row>
    <row r="97" customFormat="false" ht="44" hidden="false" customHeight="false" outlineLevel="0" collapsed="false">
      <c r="A97" s="15" t="n">
        <v>92</v>
      </c>
      <c r="B97" s="14" t="s">
        <v>415</v>
      </c>
      <c r="C97" s="15" t="s">
        <v>9</v>
      </c>
      <c r="D97" s="14" t="s">
        <v>200</v>
      </c>
      <c r="E97" s="14" t="s">
        <v>479</v>
      </c>
      <c r="F97" s="2" t="s">
        <v>480</v>
      </c>
      <c r="G97" s="3" t="s">
        <v>481</v>
      </c>
      <c r="H97" s="3" t="s">
        <v>671</v>
      </c>
      <c r="I97" s="2" t="s">
        <v>482</v>
      </c>
      <c r="J97" s="2" t="s">
        <v>9</v>
      </c>
      <c r="K97" s="5" t="n">
        <f aca="false">SUMIF('07_시간 근거'!$A$2:$A$552,$E97,'07_시간 근거'!$G$2:$G$552)</f>
        <v>17</v>
      </c>
      <c r="L97" s="2" t="s">
        <v>214</v>
      </c>
    </row>
    <row r="98" customFormat="false" ht="58.2" hidden="false" customHeight="false" outlineLevel="0" collapsed="false">
      <c r="A98" s="15" t="n">
        <v>93</v>
      </c>
      <c r="B98" s="14" t="s">
        <v>415</v>
      </c>
      <c r="C98" s="15" t="s">
        <v>9</v>
      </c>
      <c r="D98" s="14" t="s">
        <v>200</v>
      </c>
      <c r="E98" s="14" t="s">
        <v>483</v>
      </c>
      <c r="F98" s="2" t="s">
        <v>484</v>
      </c>
      <c r="G98" s="3" t="s">
        <v>485</v>
      </c>
      <c r="H98" s="3" t="s">
        <v>672</v>
      </c>
      <c r="I98" s="2" t="s">
        <v>486</v>
      </c>
      <c r="J98" s="2" t="s">
        <v>9</v>
      </c>
      <c r="K98" s="5" t="n">
        <f aca="false">SUMIF('07_시간 근거'!$A$2:$A$552,$E98,'07_시간 근거'!$G$2:$G$552)</f>
        <v>27</v>
      </c>
      <c r="L98" s="3" t="s">
        <v>487</v>
      </c>
    </row>
    <row r="99" customFormat="false" ht="29.85" hidden="false" customHeight="false" outlineLevel="0" collapsed="false">
      <c r="A99" s="15" t="n">
        <v>94</v>
      </c>
      <c r="B99" s="14" t="s">
        <v>415</v>
      </c>
      <c r="C99" s="15" t="s">
        <v>9</v>
      </c>
      <c r="D99" s="15" t="s">
        <v>215</v>
      </c>
      <c r="E99" s="14" t="s">
        <v>488</v>
      </c>
      <c r="F99" s="2" t="s">
        <v>489</v>
      </c>
      <c r="G99" s="3" t="s">
        <v>490</v>
      </c>
      <c r="H99" s="2" t="s">
        <v>673</v>
      </c>
      <c r="I99" s="2" t="s">
        <v>491</v>
      </c>
      <c r="J99" s="2" t="s">
        <v>9</v>
      </c>
      <c r="K99" s="5" t="n">
        <f aca="false">SUMIF('07_시간 근거'!$A$2:$A$552,$E99,'07_시간 근거'!$G$2:$G$552)</f>
        <v>5</v>
      </c>
      <c r="L99" s="2" t="s">
        <v>215</v>
      </c>
    </row>
    <row r="100" customFormat="false" ht="29.85" hidden="false" customHeight="false" outlineLevel="0" collapsed="false">
      <c r="A100" s="17" t="n">
        <v>95</v>
      </c>
      <c r="B100" s="16" t="s">
        <v>415</v>
      </c>
      <c r="C100" s="17" t="s">
        <v>11</v>
      </c>
      <c r="D100" s="17"/>
      <c r="E100" s="16" t="s">
        <v>492</v>
      </c>
      <c r="F100" s="2" t="s">
        <v>493</v>
      </c>
      <c r="G100" s="2" t="s">
        <v>494</v>
      </c>
      <c r="H100" s="3" t="s">
        <v>674</v>
      </c>
      <c r="I100" s="2" t="s">
        <v>495</v>
      </c>
      <c r="J100" s="3" t="s">
        <v>593</v>
      </c>
      <c r="K100" s="5" t="n">
        <f aca="false">SUMIF('07_시간 근거'!$A$2:$A$552,$E100,'07_시간 근거'!$G$2:$G$552)</f>
        <v>45</v>
      </c>
      <c r="L100" s="3" t="s">
        <v>496</v>
      </c>
    </row>
    <row r="101" customFormat="false" ht="58.2" hidden="false" customHeight="false" outlineLevel="0" collapsed="false">
      <c r="A101" s="17" t="n">
        <v>96</v>
      </c>
      <c r="B101" s="16" t="s">
        <v>415</v>
      </c>
      <c r="C101" s="17" t="s">
        <v>11</v>
      </c>
      <c r="D101" s="17"/>
      <c r="E101" s="16" t="s">
        <v>497</v>
      </c>
      <c r="F101" s="2" t="s">
        <v>498</v>
      </c>
      <c r="G101" s="2" t="s">
        <v>499</v>
      </c>
      <c r="H101" s="2" t="s">
        <v>675</v>
      </c>
      <c r="I101" s="2" t="s">
        <v>500</v>
      </c>
      <c r="J101" s="3" t="s">
        <v>593</v>
      </c>
      <c r="K101" s="5" t="n">
        <f aca="false">SUMIF('07_시간 근거'!$A$2:$A$552,$E101,'07_시간 근거'!$G$2:$G$552)</f>
        <v>45</v>
      </c>
      <c r="L101" s="3" t="s">
        <v>501</v>
      </c>
    </row>
    <row r="102" customFormat="false" ht="44" hidden="false" customHeight="false" outlineLevel="0" collapsed="false">
      <c r="A102" s="17" t="n">
        <v>97</v>
      </c>
      <c r="B102" s="16" t="s">
        <v>415</v>
      </c>
      <c r="C102" s="17" t="s">
        <v>11</v>
      </c>
      <c r="D102" s="17"/>
      <c r="E102" s="16" t="s">
        <v>502</v>
      </c>
      <c r="F102" s="2" t="s">
        <v>503</v>
      </c>
      <c r="G102" s="2" t="s">
        <v>504</v>
      </c>
      <c r="H102" s="2" t="s">
        <v>676</v>
      </c>
      <c r="I102" s="2" t="s">
        <v>505</v>
      </c>
      <c r="J102" s="3" t="s">
        <v>593</v>
      </c>
      <c r="K102" s="5" t="n">
        <f aca="false">SUMIF('07_시간 근거'!$A$2:$A$552,$E102,'07_시간 근거'!$G$2:$G$552)</f>
        <v>39</v>
      </c>
      <c r="L102" s="3" t="s">
        <v>506</v>
      </c>
    </row>
    <row r="103" customFormat="false" ht="29.85" hidden="false" customHeight="false" outlineLevel="0" collapsed="false">
      <c r="A103" s="17" t="n">
        <v>98</v>
      </c>
      <c r="B103" s="16" t="s">
        <v>415</v>
      </c>
      <c r="C103" s="17" t="s">
        <v>11</v>
      </c>
      <c r="D103" s="17"/>
      <c r="E103" s="16" t="s">
        <v>507</v>
      </c>
      <c r="F103" s="2" t="s">
        <v>508</v>
      </c>
      <c r="G103" s="3" t="s">
        <v>509</v>
      </c>
      <c r="H103" s="2" t="s">
        <v>677</v>
      </c>
      <c r="I103" s="2" t="s">
        <v>510</v>
      </c>
      <c r="J103" s="3" t="s">
        <v>593</v>
      </c>
      <c r="K103" s="5" t="n">
        <f aca="false">SUMIF('07_시간 근거'!$A$2:$A$552,$E103,'07_시간 근거'!$G$2:$G$552)</f>
        <v>31</v>
      </c>
      <c r="L103" s="3" t="s">
        <v>511</v>
      </c>
    </row>
    <row r="104" customFormat="false" ht="44" hidden="false" customHeight="false" outlineLevel="0" collapsed="false">
      <c r="A104" s="17" t="n">
        <v>99</v>
      </c>
      <c r="B104" s="16" t="s">
        <v>415</v>
      </c>
      <c r="C104" s="17" t="s">
        <v>11</v>
      </c>
      <c r="D104" s="17"/>
      <c r="E104" s="16" t="s">
        <v>512</v>
      </c>
      <c r="F104" s="2" t="s">
        <v>513</v>
      </c>
      <c r="G104" s="2" t="s">
        <v>514</v>
      </c>
      <c r="H104" s="2" t="s">
        <v>678</v>
      </c>
      <c r="I104" s="2" t="s">
        <v>515</v>
      </c>
      <c r="J104" s="3" t="s">
        <v>593</v>
      </c>
      <c r="K104" s="5" t="n">
        <f aca="false">SUMIF('07_시간 근거'!$A$2:$A$552,$E104,'07_시간 근거'!$G$2:$G$552)</f>
        <v>43</v>
      </c>
      <c r="L104" s="3" t="s">
        <v>516</v>
      </c>
    </row>
    <row r="105" customFormat="false" ht="41" hidden="false" customHeight="false" outlineLevel="0" collapsed="false">
      <c r="A105" s="17" t="n">
        <v>100</v>
      </c>
      <c r="B105" s="16" t="s">
        <v>415</v>
      </c>
      <c r="C105" s="17" t="s">
        <v>11</v>
      </c>
      <c r="D105" s="17"/>
      <c r="E105" s="16" t="s">
        <v>517</v>
      </c>
      <c r="F105" s="2" t="s">
        <v>518</v>
      </c>
      <c r="G105" s="2" t="s">
        <v>519</v>
      </c>
      <c r="H105" s="2" t="s">
        <v>679</v>
      </c>
      <c r="I105" s="2" t="s">
        <v>520</v>
      </c>
      <c r="J105" s="3" t="s">
        <v>593</v>
      </c>
      <c r="K105" s="5" t="n">
        <f aca="false">SUMIF('07_시간 근거'!$A$2:$A$552,$E105,'07_시간 근거'!$G$2:$G$552)</f>
        <v>44</v>
      </c>
      <c r="L105" s="3" t="s">
        <v>521</v>
      </c>
    </row>
    <row r="106" customFormat="false" ht="44" hidden="false" customHeight="false" outlineLevel="0" collapsed="false">
      <c r="A106" s="17" t="n">
        <v>101</v>
      </c>
      <c r="B106" s="16" t="s">
        <v>415</v>
      </c>
      <c r="C106" s="17" t="s">
        <v>11</v>
      </c>
      <c r="D106" s="17"/>
      <c r="E106" s="16" t="s">
        <v>522</v>
      </c>
      <c r="F106" s="2" t="s">
        <v>523</v>
      </c>
      <c r="G106" s="3" t="s">
        <v>524</v>
      </c>
      <c r="H106" s="3" t="s">
        <v>680</v>
      </c>
      <c r="I106" s="2" t="s">
        <v>69</v>
      </c>
      <c r="J106" s="3" t="s">
        <v>543</v>
      </c>
      <c r="K106" s="5" t="n">
        <f aca="false">SUMIF('07_시간 근거'!$A$2:$A$552,$E106,'07_시간 근거'!$G$2:$G$552)</f>
        <v>10</v>
      </c>
      <c r="L106" s="2"/>
    </row>
    <row r="107" customFormat="false" ht="15" hidden="false" customHeight="false" outlineLevel="0" collapsed="false">
      <c r="A107" s="9" t="str">
        <f aca="false">"5. 마무리 — 내가 만든 것이 실제 제품에서는 어디에 있나  ("&amp;SUM(K108)&amp;"분)"</f>
        <v>5. 마무리 — 내가 만든 것이 실제 제품에서는 어디에 있나  (45분)</v>
      </c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</row>
    <row r="108" customFormat="false" ht="58.2" hidden="false" customHeight="false" outlineLevel="0" collapsed="false">
      <c r="A108" s="11" t="n">
        <v>102</v>
      </c>
      <c r="B108" s="11" t="s">
        <v>525</v>
      </c>
      <c r="C108" s="11" t="s">
        <v>525</v>
      </c>
      <c r="D108" s="11"/>
      <c r="E108" s="10" t="s">
        <v>526</v>
      </c>
      <c r="F108" s="2" t="s">
        <v>527</v>
      </c>
      <c r="G108" s="2" t="s">
        <v>528</v>
      </c>
      <c r="H108" s="2" t="s">
        <v>681</v>
      </c>
      <c r="I108" s="3" t="s">
        <v>529</v>
      </c>
      <c r="J108" s="2" t="s">
        <v>541</v>
      </c>
      <c r="K108" s="5" t="n">
        <f aca="false">SUMIF('07_시간 근거'!$A$2:$A$552,$E108,'07_시간 근거'!$G$2:$G$552)</f>
        <v>45</v>
      </c>
      <c r="L108" s="3" t="s">
        <v>530</v>
      </c>
    </row>
    <row r="109" customFormat="false" ht="15" hidden="false" customHeight="false" outlineLevel="0" collapsed="false">
      <c r="F109" s="1" t="s">
        <v>531</v>
      </c>
      <c r="K109" s="6" t="n">
        <f aca="false">SUM(K2:K108)</f>
        <v>2694</v>
      </c>
    </row>
    <row r="110" customFormat="false" ht="15" hidden="false" customHeight="false" outlineLevel="0" collapsed="false">
      <c r="F110" s="1" t="s">
        <v>532</v>
      </c>
      <c r="K110" s="6" t="n">
        <f aca="false">ROUND(K109/60,1)</f>
        <v>44.9</v>
      </c>
    </row>
    <row r="111" customFormat="false" ht="15" hidden="false" customHeight="false" outlineLevel="0" collapsed="false">
      <c r="F111" s="1" t="s">
        <v>533</v>
      </c>
      <c r="K111" s="7" t="n">
        <v>2520</v>
      </c>
    </row>
    <row r="112" customFormat="false" ht="15" hidden="false" customHeight="false" outlineLevel="0" collapsed="false">
      <c r="F112" s="1" t="s">
        <v>534</v>
      </c>
      <c r="K112" s="6" t="n">
        <f aca="false">K109-K111</f>
        <v>174</v>
      </c>
    </row>
  </sheetData>
  <autoFilter ref="A1:L108"/>
  <mergeCells count="5">
    <mergeCell ref="A2:L2"/>
    <mergeCell ref="A10:L10"/>
    <mergeCell ref="A49:L49"/>
    <mergeCell ref="A81:L81"/>
    <mergeCell ref="A107:L10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4.55"/>
    <col collapsed="false" customWidth="true" hidden="false" outlineLevel="0" max="2" min="2" style="0" width="8.19"/>
    <col collapsed="false" customWidth="true" hidden="false" outlineLevel="0" max="3" min="3" style="0" width="5.46"/>
    <col collapsed="false" customWidth="true" hidden="false" outlineLevel="0" max="5" min="4" style="0" width="6.37"/>
    <col collapsed="false" customWidth="true" hidden="false" outlineLevel="0" max="6" min="6" style="0" width="36.39"/>
    <col collapsed="false" customWidth="true" hidden="false" outlineLevel="0" max="7" min="7" style="0" width="63.69"/>
    <col collapsed="false" customWidth="true" hidden="false" outlineLevel="0" max="8" min="8" style="0" width="21.84"/>
    <col collapsed="false" customWidth="true" hidden="false" outlineLevel="0" max="9" min="9" style="0" width="16.38"/>
    <col collapsed="false" customWidth="true" hidden="false" outlineLevel="0" max="11" min="10" style="0" width="8.19"/>
    <col collapsed="false" customWidth="true" hidden="false" outlineLevel="0" max="12" min="12" style="0" width="7.28"/>
    <col collapsed="false" customWidth="true" hidden="false" outlineLevel="0" max="13" min="13" style="0" width="27.3"/>
  </cols>
  <sheetData>
    <row r="1" customFormat="false" ht="44" hidden="false" customHeight="false" outlineLevel="0" collapsed="false">
      <c r="A1" s="8" t="s">
        <v>53</v>
      </c>
      <c r="B1" s="4" t="s">
        <v>21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62</v>
      </c>
      <c r="L1" s="4" t="s">
        <v>63</v>
      </c>
      <c r="M1" s="4" t="s">
        <v>64</v>
      </c>
    </row>
    <row r="2" customFormat="false" ht="15" hidden="false" customHeight="false" outlineLevel="0" collapsed="false">
      <c r="A2" s="9" t="str">
        <f aca="false">"1. 시작 — 공장의 값이 업무가 되기까지, 우리가 끝까지 만들 것을 먼저 본다  ("&amp;SUM(L3:L8)&amp;"분)"</f>
        <v>1. 시작 — 공장의 값이 업무가 되기까지, 우리가 끝까지 만들 것을 먼저 본다  (107분)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customFormat="false" ht="44" hidden="false" customHeight="false" outlineLevel="0" collapsed="false">
      <c r="A3" s="11" t="n">
        <v>1</v>
      </c>
      <c r="B3" s="11" t="s">
        <v>65</v>
      </c>
      <c r="C3" s="11" t="s">
        <v>65</v>
      </c>
      <c r="D3" s="11"/>
      <c r="E3" s="10" t="s">
        <v>71</v>
      </c>
      <c r="F3" s="2" t="s">
        <v>72</v>
      </c>
      <c r="G3" s="3" t="s">
        <v>73</v>
      </c>
      <c r="H3" s="3" t="s">
        <v>74</v>
      </c>
      <c r="I3" s="2" t="s">
        <v>75</v>
      </c>
      <c r="J3" s="5" t="n">
        <f aca="false">IFERROR(ROUND(L3*SUMIFS('07_시간 근거'!$F$2:$F$552,'07_시간 근거'!$A$2:$A$552,$E3,'07_시간 근거'!$E$2:$E$552,"개념 설명")/SUMIF('07_시간 근거'!$A$2:$A$552,$E3,'07_시간 근거'!$F$2:$F$552),0),0)</f>
        <v>4</v>
      </c>
      <c r="K3" s="5" t="n">
        <f aca="false">L3-J3</f>
        <v>16</v>
      </c>
      <c r="L3" s="7" t="n">
        <v>20</v>
      </c>
      <c r="M3" s="2" t="s">
        <v>682</v>
      </c>
    </row>
    <row r="4" customFormat="false" ht="44" hidden="false" customHeight="false" outlineLevel="0" collapsed="false">
      <c r="A4" s="11" t="n">
        <v>2</v>
      </c>
      <c r="B4" s="11" t="s">
        <v>65</v>
      </c>
      <c r="C4" s="11" t="s">
        <v>65</v>
      </c>
      <c r="D4" s="11"/>
      <c r="E4" s="10" t="s">
        <v>76</v>
      </c>
      <c r="F4" s="2" t="s">
        <v>77</v>
      </c>
      <c r="G4" s="2" t="s">
        <v>78</v>
      </c>
      <c r="H4" s="3" t="s">
        <v>79</v>
      </c>
      <c r="I4" s="2" t="s">
        <v>80</v>
      </c>
      <c r="J4" s="5" t="n">
        <f aca="false">IFERROR(ROUND(L4*SUMIFS('07_시간 근거'!$F$2:$F$552,'07_시간 근거'!$A$2:$A$552,$E4,'07_시간 근거'!$E$2:$E$552,"개념 설명")/SUMIF('07_시간 근거'!$A$2:$A$552,$E4,'07_시간 근거'!$F$2:$F$552),0),0)</f>
        <v>14</v>
      </c>
      <c r="K4" s="5" t="n">
        <f aca="false">L4-J4</f>
        <v>8</v>
      </c>
      <c r="L4" s="7" t="n">
        <v>22</v>
      </c>
      <c r="M4" s="2" t="s">
        <v>683</v>
      </c>
    </row>
    <row r="5" customFormat="false" ht="29.85" hidden="false" customHeight="false" outlineLevel="0" collapsed="false">
      <c r="A5" s="11" t="n">
        <v>3</v>
      </c>
      <c r="B5" s="11" t="s">
        <v>65</v>
      </c>
      <c r="C5" s="11" t="s">
        <v>65</v>
      </c>
      <c r="D5" s="11"/>
      <c r="E5" s="10" t="s">
        <v>81</v>
      </c>
      <c r="F5" s="2" t="s">
        <v>82</v>
      </c>
      <c r="G5" s="2" t="s">
        <v>83</v>
      </c>
      <c r="H5" s="2" t="s">
        <v>84</v>
      </c>
      <c r="I5" s="2" t="s">
        <v>70</v>
      </c>
      <c r="J5" s="5" t="n">
        <f aca="false">IFERROR(ROUND(L5*SUMIFS('07_시간 근거'!$F$2:$F$552,'07_시간 근거'!$A$2:$A$552,$E5,'07_시간 근거'!$E$2:$E$552,"개념 설명")/SUMIF('07_시간 근거'!$A$2:$A$552,$E5,'07_시간 근거'!$F$2:$F$552),0),0)</f>
        <v>20</v>
      </c>
      <c r="K5" s="5" t="n">
        <f aca="false">L5-J5</f>
        <v>0</v>
      </c>
      <c r="L5" s="7" t="n">
        <v>20</v>
      </c>
      <c r="M5" s="2" t="s">
        <v>684</v>
      </c>
    </row>
    <row r="6" customFormat="false" ht="29.85" hidden="false" customHeight="false" outlineLevel="0" collapsed="false">
      <c r="A6" s="11" t="n">
        <v>4</v>
      </c>
      <c r="B6" s="11" t="s">
        <v>65</v>
      </c>
      <c r="C6" s="11" t="s">
        <v>65</v>
      </c>
      <c r="D6" s="11"/>
      <c r="E6" s="10" t="s">
        <v>85</v>
      </c>
      <c r="F6" s="2" t="s">
        <v>86</v>
      </c>
      <c r="G6" s="2" t="s">
        <v>87</v>
      </c>
      <c r="H6" s="2" t="s">
        <v>88</v>
      </c>
      <c r="I6" s="2" t="s">
        <v>89</v>
      </c>
      <c r="J6" s="5" t="n">
        <f aca="false">IFERROR(ROUND(L6*SUMIFS('07_시간 근거'!$F$2:$F$552,'07_시간 근거'!$A$2:$A$552,$E6,'07_시간 근거'!$E$2:$E$552,"개념 설명")/SUMIF('07_시간 근거'!$A$2:$A$552,$E6,'07_시간 근거'!$F$2:$F$552),0),0)</f>
        <v>15</v>
      </c>
      <c r="K6" s="5" t="n">
        <f aca="false">L6-J6</f>
        <v>7</v>
      </c>
      <c r="L6" s="7" t="n">
        <v>22</v>
      </c>
      <c r="M6" s="2" t="s">
        <v>685</v>
      </c>
    </row>
    <row r="7" customFormat="false" ht="72.35" hidden="false" customHeight="false" outlineLevel="0" collapsed="false">
      <c r="A7" s="11" t="n">
        <v>5</v>
      </c>
      <c r="B7" s="11" t="s">
        <v>65</v>
      </c>
      <c r="C7" s="11" t="s">
        <v>65</v>
      </c>
      <c r="D7" s="11"/>
      <c r="E7" s="10" t="s">
        <v>90</v>
      </c>
      <c r="F7" s="2" t="s">
        <v>91</v>
      </c>
      <c r="G7" s="2" t="s">
        <v>92</v>
      </c>
      <c r="H7" s="2" t="s">
        <v>93</v>
      </c>
      <c r="I7" s="2" t="s">
        <v>46</v>
      </c>
      <c r="J7" s="5" t="n">
        <f aca="false">IFERROR(ROUND(L7*SUMIFS('07_시간 근거'!$F$2:$F$552,'07_시간 근거'!$A$2:$A$552,$E7,'07_시간 근거'!$E$2:$E$552,"개념 설명")/SUMIF('07_시간 근거'!$A$2:$A$552,$E7,'07_시간 근거'!$F$2:$F$552),0),0)</f>
        <v>13</v>
      </c>
      <c r="K7" s="5" t="n">
        <f aca="false">L7-J7</f>
        <v>5</v>
      </c>
      <c r="L7" s="7" t="n">
        <v>18</v>
      </c>
      <c r="M7" s="2" t="s">
        <v>686</v>
      </c>
    </row>
    <row r="8" customFormat="false" ht="29.85" hidden="false" customHeight="false" outlineLevel="0" collapsed="false">
      <c r="A8" s="11" t="n">
        <v>6</v>
      </c>
      <c r="B8" s="11" t="s">
        <v>65</v>
      </c>
      <c r="C8" s="11" t="s">
        <v>65</v>
      </c>
      <c r="D8" s="11"/>
      <c r="E8" s="10" t="s">
        <v>95</v>
      </c>
      <c r="F8" s="2" t="s">
        <v>96</v>
      </c>
      <c r="G8" s="2" t="s">
        <v>97</v>
      </c>
      <c r="H8" s="2" t="s">
        <v>98</v>
      </c>
      <c r="I8" s="2" t="s">
        <v>99</v>
      </c>
      <c r="J8" s="5" t="n">
        <f aca="false">IFERROR(ROUND(L8*SUMIFS('07_시간 근거'!$F$2:$F$552,'07_시간 근거'!$A$2:$A$552,$E8,'07_시간 근거'!$E$2:$E$552,"개념 설명")/SUMIF('07_시간 근거'!$A$2:$A$552,$E8,'07_시간 근거'!$F$2:$F$552),0),0)</f>
        <v>0</v>
      </c>
      <c r="K8" s="5" t="n">
        <f aca="false">L8-J8</f>
        <v>5</v>
      </c>
      <c r="L8" s="7" t="n">
        <v>5</v>
      </c>
      <c r="M8" s="2" t="s">
        <v>687</v>
      </c>
    </row>
    <row r="9" customFormat="false" ht="15" hidden="false" customHeight="false" outlineLevel="0" collapsed="false">
      <c r="A9" s="9" t="str">
        <f aca="false">"2. 온톨로지 — 문서를 공장의 지식 지도로 만들면 AI가 근거를 들고 답한다  ("&amp;SUM(L10:L47)&amp;"분)"</f>
        <v>2. 온톨로지 — 문서를 공장의 지식 지도로 만들면 AI가 근거를 들고 답한다  (661분)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customFormat="false" ht="72.35" hidden="false" customHeight="false" outlineLevel="0" collapsed="false">
      <c r="A10" s="13" t="n">
        <v>7</v>
      </c>
      <c r="B10" s="13" t="s">
        <v>100</v>
      </c>
      <c r="C10" s="13" t="s">
        <v>7</v>
      </c>
      <c r="D10" s="13"/>
      <c r="E10" s="12" t="s">
        <v>101</v>
      </c>
      <c r="F10" s="3" t="s">
        <v>102</v>
      </c>
      <c r="G10" s="2" t="s">
        <v>103</v>
      </c>
      <c r="H10" s="2" t="s">
        <v>104</v>
      </c>
      <c r="I10" s="2" t="s">
        <v>70</v>
      </c>
      <c r="J10" s="5" t="n">
        <f aca="false">IFERROR(ROUND(L10*SUMIFS('07_시간 근거'!$F$2:$F$552,'07_시간 근거'!$A$2:$A$552,$E10,'07_시간 근거'!$E$2:$E$552,"개념 설명")/SUMIF('07_시간 근거'!$A$2:$A$552,$E10,'07_시간 근거'!$F$2:$F$552),0),0)</f>
        <v>23</v>
      </c>
      <c r="K10" s="5" t="n">
        <f aca="false">L10-J10</f>
        <v>0</v>
      </c>
      <c r="L10" s="7" t="n">
        <v>23</v>
      </c>
      <c r="M10" s="2" t="s">
        <v>688</v>
      </c>
    </row>
    <row r="11" customFormat="false" ht="86.55" hidden="false" customHeight="false" outlineLevel="0" collapsed="false">
      <c r="A11" s="13" t="n">
        <v>8</v>
      </c>
      <c r="B11" s="13" t="s">
        <v>100</v>
      </c>
      <c r="C11" s="13" t="s">
        <v>7</v>
      </c>
      <c r="D11" s="13"/>
      <c r="E11" s="12" t="s">
        <v>105</v>
      </c>
      <c r="F11" s="2" t="s">
        <v>106</v>
      </c>
      <c r="G11" s="2" t="s">
        <v>107</v>
      </c>
      <c r="H11" s="2" t="s">
        <v>108</v>
      </c>
      <c r="I11" s="2" t="s">
        <v>70</v>
      </c>
      <c r="J11" s="5" t="n">
        <f aca="false">IFERROR(ROUND(L11*SUMIFS('07_시간 근거'!$F$2:$F$552,'07_시간 근거'!$A$2:$A$552,$E11,'07_시간 근거'!$E$2:$E$552,"개념 설명")/SUMIF('07_시간 근거'!$A$2:$A$552,$E11,'07_시간 근거'!$F$2:$F$552),0),0)</f>
        <v>12</v>
      </c>
      <c r="K11" s="5" t="n">
        <f aca="false">L11-J11</f>
        <v>0</v>
      </c>
      <c r="L11" s="7" t="n">
        <v>12</v>
      </c>
      <c r="M11" s="2" t="s">
        <v>689</v>
      </c>
    </row>
    <row r="12" customFormat="false" ht="58.2" hidden="false" customHeight="false" outlineLevel="0" collapsed="false">
      <c r="A12" s="13" t="n">
        <v>9</v>
      </c>
      <c r="B12" s="13" t="s">
        <v>100</v>
      </c>
      <c r="C12" s="13" t="s">
        <v>7</v>
      </c>
      <c r="D12" s="13"/>
      <c r="E12" s="12" t="s">
        <v>109</v>
      </c>
      <c r="F12" s="2" t="s">
        <v>110</v>
      </c>
      <c r="G12" s="2" t="s">
        <v>111</v>
      </c>
      <c r="H12" s="2" t="s">
        <v>112</v>
      </c>
      <c r="I12" s="2" t="s">
        <v>70</v>
      </c>
      <c r="J12" s="5" t="n">
        <f aca="false">IFERROR(ROUND(L12*SUMIFS('07_시간 근거'!$F$2:$F$552,'07_시간 근거'!$A$2:$A$552,$E12,'07_시간 근거'!$E$2:$E$552,"개념 설명")/SUMIF('07_시간 근거'!$A$2:$A$552,$E12,'07_시간 근거'!$F$2:$F$552),0),0)</f>
        <v>21</v>
      </c>
      <c r="K12" s="5" t="n">
        <f aca="false">L12-J12</f>
        <v>0</v>
      </c>
      <c r="L12" s="7" t="n">
        <v>21</v>
      </c>
      <c r="M12" s="2" t="s">
        <v>690</v>
      </c>
    </row>
    <row r="13" customFormat="false" ht="58.2" hidden="false" customHeight="false" outlineLevel="0" collapsed="false">
      <c r="A13" s="13" t="n">
        <v>10</v>
      </c>
      <c r="B13" s="13" t="s">
        <v>100</v>
      </c>
      <c r="C13" s="13" t="s">
        <v>7</v>
      </c>
      <c r="D13" s="13"/>
      <c r="E13" s="12" t="s">
        <v>113</v>
      </c>
      <c r="F13" s="2" t="s">
        <v>114</v>
      </c>
      <c r="G13" s="2" t="s">
        <v>115</v>
      </c>
      <c r="H13" s="2" t="s">
        <v>116</v>
      </c>
      <c r="I13" s="2" t="s">
        <v>70</v>
      </c>
      <c r="J13" s="5" t="n">
        <f aca="false">IFERROR(ROUND(L13*SUMIFS('07_시간 근거'!$F$2:$F$552,'07_시간 근거'!$A$2:$A$552,$E13,'07_시간 근거'!$E$2:$E$552,"개념 설명")/SUMIF('07_시간 근거'!$A$2:$A$552,$E13,'07_시간 근거'!$F$2:$F$552),0),0)</f>
        <v>13</v>
      </c>
      <c r="K13" s="5" t="n">
        <f aca="false">L13-J13</f>
        <v>0</v>
      </c>
      <c r="L13" s="7" t="n">
        <v>13</v>
      </c>
      <c r="M13" s="2" t="s">
        <v>691</v>
      </c>
    </row>
    <row r="14" customFormat="false" ht="55.2" hidden="false" customHeight="false" outlineLevel="0" collapsed="false">
      <c r="A14" s="13" t="n">
        <v>11</v>
      </c>
      <c r="B14" s="13" t="s">
        <v>100</v>
      </c>
      <c r="C14" s="13" t="s">
        <v>7</v>
      </c>
      <c r="D14" s="13"/>
      <c r="E14" s="12" t="s">
        <v>117</v>
      </c>
      <c r="F14" s="2" t="s">
        <v>118</v>
      </c>
      <c r="G14" s="2" t="s">
        <v>119</v>
      </c>
      <c r="H14" s="3" t="s">
        <v>120</v>
      </c>
      <c r="I14" s="2" t="s">
        <v>121</v>
      </c>
      <c r="J14" s="5" t="n">
        <f aca="false">IFERROR(ROUND(L14*SUMIFS('07_시간 근거'!$F$2:$F$552,'07_시간 근거'!$A$2:$A$552,$E14,'07_시간 근거'!$E$2:$E$552,"개념 설명")/SUMIF('07_시간 근거'!$A$2:$A$552,$E14,'07_시간 근거'!$F$2:$F$552),0),0)</f>
        <v>0</v>
      </c>
      <c r="K14" s="5" t="n">
        <f aca="false">L14-J14</f>
        <v>12</v>
      </c>
      <c r="L14" s="7" t="n">
        <v>12</v>
      </c>
      <c r="M14" s="2" t="s">
        <v>692</v>
      </c>
    </row>
    <row r="15" customFormat="false" ht="58.2" hidden="false" customHeight="false" outlineLevel="0" collapsed="false">
      <c r="A15" s="13" t="n">
        <v>12</v>
      </c>
      <c r="B15" s="13" t="s">
        <v>100</v>
      </c>
      <c r="C15" s="13" t="s">
        <v>7</v>
      </c>
      <c r="D15" s="13"/>
      <c r="E15" s="12" t="s">
        <v>122</v>
      </c>
      <c r="F15" s="2" t="s">
        <v>123</v>
      </c>
      <c r="G15" s="2" t="s">
        <v>124</v>
      </c>
      <c r="H15" s="2" t="s">
        <v>125</v>
      </c>
      <c r="I15" s="2" t="s">
        <v>89</v>
      </c>
      <c r="J15" s="5" t="n">
        <f aca="false">IFERROR(ROUND(L15*SUMIFS('07_시간 근거'!$F$2:$F$552,'07_시간 근거'!$A$2:$A$552,$E15,'07_시간 근거'!$E$2:$E$552,"개념 설명")/SUMIF('07_시간 근거'!$A$2:$A$552,$E15,'07_시간 근거'!$F$2:$F$552),0),0)</f>
        <v>11</v>
      </c>
      <c r="K15" s="5" t="n">
        <f aca="false">L15-J15</f>
        <v>7</v>
      </c>
      <c r="L15" s="7" t="n">
        <v>18</v>
      </c>
      <c r="M15" s="2" t="s">
        <v>693</v>
      </c>
    </row>
    <row r="16" customFormat="false" ht="86.55" hidden="false" customHeight="false" outlineLevel="0" collapsed="false">
      <c r="A16" s="13" t="n">
        <v>13</v>
      </c>
      <c r="B16" s="13" t="s">
        <v>100</v>
      </c>
      <c r="C16" s="13" t="s">
        <v>7</v>
      </c>
      <c r="D16" s="13"/>
      <c r="E16" s="12" t="s">
        <v>126</v>
      </c>
      <c r="F16" s="2" t="s">
        <v>127</v>
      </c>
      <c r="G16" s="2" t="s">
        <v>128</v>
      </c>
      <c r="H16" s="2" t="s">
        <v>129</v>
      </c>
      <c r="I16" s="2" t="s">
        <v>70</v>
      </c>
      <c r="J16" s="5" t="n">
        <f aca="false">IFERROR(ROUND(L16*SUMIFS('07_시간 근거'!$F$2:$F$552,'07_시간 근거'!$A$2:$A$552,$E16,'07_시간 근거'!$E$2:$E$552,"개념 설명")/SUMIF('07_시간 근거'!$A$2:$A$552,$E16,'07_시간 근거'!$F$2:$F$552),0),0)</f>
        <v>12</v>
      </c>
      <c r="K16" s="5" t="n">
        <f aca="false">L16-J16</f>
        <v>0</v>
      </c>
      <c r="L16" s="7" t="n">
        <v>12</v>
      </c>
      <c r="M16" s="2" t="s">
        <v>694</v>
      </c>
    </row>
    <row r="17" customFormat="false" ht="58.2" hidden="false" customHeight="false" outlineLevel="0" collapsed="false">
      <c r="A17" s="13" t="n">
        <v>14</v>
      </c>
      <c r="B17" s="13" t="s">
        <v>100</v>
      </c>
      <c r="C17" s="13" t="s">
        <v>7</v>
      </c>
      <c r="D17" s="13"/>
      <c r="E17" s="12" t="s">
        <v>130</v>
      </c>
      <c r="F17" s="2" t="s">
        <v>131</v>
      </c>
      <c r="G17" s="2" t="s">
        <v>132</v>
      </c>
      <c r="H17" s="2" t="s">
        <v>133</v>
      </c>
      <c r="I17" s="2" t="s">
        <v>89</v>
      </c>
      <c r="J17" s="5" t="n">
        <f aca="false">IFERROR(ROUND(L17*SUMIFS('07_시간 근거'!$F$2:$F$552,'07_시간 근거'!$A$2:$A$552,$E17,'07_시간 근거'!$E$2:$E$552,"개념 설명")/SUMIF('07_시간 근거'!$A$2:$A$552,$E17,'07_시간 근거'!$F$2:$F$552),0),0)</f>
        <v>11</v>
      </c>
      <c r="K17" s="5" t="n">
        <f aca="false">L17-J17</f>
        <v>2</v>
      </c>
      <c r="L17" s="7" t="n">
        <v>13</v>
      </c>
      <c r="M17" s="2" t="s">
        <v>695</v>
      </c>
    </row>
    <row r="18" customFormat="false" ht="72.35" hidden="false" customHeight="false" outlineLevel="0" collapsed="false">
      <c r="A18" s="13" t="n">
        <v>15</v>
      </c>
      <c r="B18" s="13" t="s">
        <v>100</v>
      </c>
      <c r="C18" s="13" t="s">
        <v>7</v>
      </c>
      <c r="D18" s="13"/>
      <c r="E18" s="12" t="s">
        <v>134</v>
      </c>
      <c r="F18" s="2" t="s">
        <v>135</v>
      </c>
      <c r="G18" s="2" t="s">
        <v>136</v>
      </c>
      <c r="H18" s="2" t="s">
        <v>137</v>
      </c>
      <c r="I18" s="2" t="s">
        <v>89</v>
      </c>
      <c r="J18" s="5" t="n">
        <f aca="false">IFERROR(ROUND(L18*SUMIFS('07_시간 근거'!$F$2:$F$552,'07_시간 근거'!$A$2:$A$552,$E18,'07_시간 근거'!$E$2:$E$552,"개념 설명")/SUMIF('07_시간 근거'!$A$2:$A$552,$E18,'07_시간 근거'!$F$2:$F$552),0),0)</f>
        <v>17</v>
      </c>
      <c r="K18" s="5" t="n">
        <f aca="false">L18-J18</f>
        <v>8</v>
      </c>
      <c r="L18" s="7" t="n">
        <v>25</v>
      </c>
      <c r="M18" s="2" t="s">
        <v>696</v>
      </c>
    </row>
    <row r="19" customFormat="false" ht="72.35" hidden="false" customHeight="false" outlineLevel="0" collapsed="false">
      <c r="A19" s="13" t="n">
        <v>16</v>
      </c>
      <c r="B19" s="13" t="s">
        <v>100</v>
      </c>
      <c r="C19" s="13" t="s">
        <v>7</v>
      </c>
      <c r="D19" s="13"/>
      <c r="E19" s="12" t="s">
        <v>138</v>
      </c>
      <c r="F19" s="2" t="s">
        <v>139</v>
      </c>
      <c r="G19" s="2" t="s">
        <v>140</v>
      </c>
      <c r="H19" s="2" t="s">
        <v>141</v>
      </c>
      <c r="I19" s="2" t="s">
        <v>142</v>
      </c>
      <c r="J19" s="5" t="n">
        <f aca="false">IFERROR(ROUND(L19*SUMIFS('07_시간 근거'!$F$2:$F$552,'07_시간 근거'!$A$2:$A$552,$E19,'07_시간 근거'!$E$2:$E$552,"개념 설명")/SUMIF('07_시간 근거'!$A$2:$A$552,$E19,'07_시간 근거'!$F$2:$F$552),0),0)</f>
        <v>18</v>
      </c>
      <c r="K19" s="5" t="n">
        <f aca="false">L19-J19</f>
        <v>4</v>
      </c>
      <c r="L19" s="7" t="n">
        <v>22</v>
      </c>
      <c r="M19" s="2" t="s">
        <v>697</v>
      </c>
    </row>
    <row r="20" customFormat="false" ht="55.2" hidden="false" customHeight="false" outlineLevel="0" collapsed="false">
      <c r="A20" s="13" t="n">
        <v>17</v>
      </c>
      <c r="B20" s="13" t="s">
        <v>100</v>
      </c>
      <c r="C20" s="13" t="s">
        <v>7</v>
      </c>
      <c r="D20" s="13"/>
      <c r="E20" s="12" t="s">
        <v>143</v>
      </c>
      <c r="F20" s="2" t="s">
        <v>144</v>
      </c>
      <c r="G20" s="2" t="s">
        <v>145</v>
      </c>
      <c r="H20" s="2" t="s">
        <v>146</v>
      </c>
      <c r="I20" s="2" t="s">
        <v>142</v>
      </c>
      <c r="J20" s="5" t="n">
        <f aca="false">IFERROR(ROUND(L20*SUMIFS('07_시간 근거'!$F$2:$F$552,'07_시간 근거'!$A$2:$A$552,$E20,'07_시간 근거'!$E$2:$E$552,"개념 설명")/SUMIF('07_시간 근거'!$A$2:$A$552,$E20,'07_시간 근거'!$F$2:$F$552),0),0)</f>
        <v>6</v>
      </c>
      <c r="K20" s="5" t="n">
        <f aca="false">L20-J20</f>
        <v>6</v>
      </c>
      <c r="L20" s="7" t="n">
        <v>12</v>
      </c>
      <c r="M20" s="2" t="s">
        <v>698</v>
      </c>
    </row>
    <row r="21" customFormat="false" ht="72.35" hidden="false" customHeight="false" outlineLevel="0" collapsed="false">
      <c r="A21" s="13" t="n">
        <v>18</v>
      </c>
      <c r="B21" s="13" t="s">
        <v>100</v>
      </c>
      <c r="C21" s="13" t="s">
        <v>7</v>
      </c>
      <c r="D21" s="13"/>
      <c r="E21" s="12" t="s">
        <v>147</v>
      </c>
      <c r="F21" s="2" t="s">
        <v>148</v>
      </c>
      <c r="G21" s="2" t="s">
        <v>149</v>
      </c>
      <c r="H21" s="2" t="s">
        <v>150</v>
      </c>
      <c r="I21" s="2" t="s">
        <v>89</v>
      </c>
      <c r="J21" s="5" t="n">
        <f aca="false">IFERROR(ROUND(L21*SUMIFS('07_시간 근거'!$F$2:$F$552,'07_시간 근거'!$A$2:$A$552,$E21,'07_시간 근거'!$E$2:$E$552,"개념 설명")/SUMIF('07_시간 근거'!$A$2:$A$552,$E21,'07_시간 근거'!$F$2:$F$552),0),0)</f>
        <v>0</v>
      </c>
      <c r="K21" s="5" t="n">
        <f aca="false">L21-J21</f>
        <v>8</v>
      </c>
      <c r="L21" s="7" t="n">
        <v>8</v>
      </c>
      <c r="M21" s="2" t="s">
        <v>699</v>
      </c>
    </row>
    <row r="22" customFormat="false" ht="55.2" hidden="false" customHeight="false" outlineLevel="0" collapsed="false">
      <c r="A22" s="13" t="n">
        <v>19</v>
      </c>
      <c r="B22" s="13" t="s">
        <v>100</v>
      </c>
      <c r="C22" s="13" t="s">
        <v>7</v>
      </c>
      <c r="D22" s="13"/>
      <c r="E22" s="12" t="s">
        <v>151</v>
      </c>
      <c r="F22" s="2" t="s">
        <v>152</v>
      </c>
      <c r="G22" s="2" t="s">
        <v>153</v>
      </c>
      <c r="H22" s="2" t="s">
        <v>154</v>
      </c>
      <c r="I22" s="2" t="s">
        <v>89</v>
      </c>
      <c r="J22" s="5" t="n">
        <f aca="false">IFERROR(ROUND(L22*SUMIFS('07_시간 근거'!$F$2:$F$552,'07_시간 근거'!$A$2:$A$552,$E22,'07_시간 근거'!$E$2:$E$552,"개념 설명")/SUMIF('07_시간 근거'!$A$2:$A$552,$E22,'07_시간 근거'!$F$2:$F$552),0),0)</f>
        <v>16</v>
      </c>
      <c r="K22" s="5" t="n">
        <f aca="false">L22-J22</f>
        <v>0</v>
      </c>
      <c r="L22" s="7" t="n">
        <v>16</v>
      </c>
      <c r="M22" s="2" t="s">
        <v>700</v>
      </c>
    </row>
    <row r="23" customFormat="false" ht="72.35" hidden="false" customHeight="false" outlineLevel="0" collapsed="false">
      <c r="A23" s="13" t="n">
        <v>20</v>
      </c>
      <c r="B23" s="13" t="s">
        <v>100</v>
      </c>
      <c r="C23" s="13" t="s">
        <v>7</v>
      </c>
      <c r="D23" s="13"/>
      <c r="E23" s="12" t="s">
        <v>155</v>
      </c>
      <c r="F23" s="2" t="s">
        <v>156</v>
      </c>
      <c r="G23" s="2" t="s">
        <v>157</v>
      </c>
      <c r="H23" s="2" t="s">
        <v>158</v>
      </c>
      <c r="I23" s="2" t="s">
        <v>70</v>
      </c>
      <c r="J23" s="5" t="n">
        <f aca="false">IFERROR(ROUND(L23*SUMIFS('07_시간 근거'!$F$2:$F$552,'07_시간 근거'!$A$2:$A$552,$E23,'07_시간 근거'!$E$2:$E$552,"개념 설명")/SUMIF('07_시간 근거'!$A$2:$A$552,$E23,'07_시간 근거'!$F$2:$F$552),0),0)</f>
        <v>0</v>
      </c>
      <c r="K23" s="5" t="n">
        <f aca="false">L23-J23</f>
        <v>10</v>
      </c>
      <c r="L23" s="7" t="n">
        <v>10</v>
      </c>
      <c r="M23" s="2" t="s">
        <v>701</v>
      </c>
    </row>
    <row r="24" customFormat="false" ht="58.2" hidden="false" customHeight="false" outlineLevel="0" collapsed="false">
      <c r="A24" s="15" t="n">
        <v>21</v>
      </c>
      <c r="B24" s="15" t="s">
        <v>100</v>
      </c>
      <c r="C24" s="15" t="s">
        <v>9</v>
      </c>
      <c r="D24" s="15" t="s">
        <v>159</v>
      </c>
      <c r="E24" s="14" t="s">
        <v>160</v>
      </c>
      <c r="F24" s="2" t="s">
        <v>161</v>
      </c>
      <c r="G24" s="2" t="s">
        <v>162</v>
      </c>
      <c r="H24" s="2" t="s">
        <v>163</v>
      </c>
      <c r="I24" s="2" t="s">
        <v>164</v>
      </c>
      <c r="J24" s="5" t="n">
        <f aca="false">IFERROR(ROUND(L24*SUMIFS('07_시간 근거'!$F$2:$F$552,'07_시간 근거'!$A$2:$A$552,$E24,'07_시간 근거'!$E$2:$E$552,"개념 설명")/SUMIF('07_시간 근거'!$A$2:$A$552,$E24,'07_시간 근거'!$F$2:$F$552),0),0)</f>
        <v>6</v>
      </c>
      <c r="K24" s="5" t="n">
        <f aca="false">L24-J24</f>
        <v>0</v>
      </c>
      <c r="L24" s="7" t="n">
        <v>6</v>
      </c>
      <c r="M24" s="2" t="s">
        <v>702</v>
      </c>
    </row>
    <row r="25" customFormat="false" ht="44" hidden="false" customHeight="false" outlineLevel="0" collapsed="false">
      <c r="A25" s="15" t="n">
        <v>22</v>
      </c>
      <c r="B25" s="15" t="s">
        <v>100</v>
      </c>
      <c r="C25" s="15" t="s">
        <v>9</v>
      </c>
      <c r="D25" s="14" t="s">
        <v>33</v>
      </c>
      <c r="E25" s="14" t="s">
        <v>165</v>
      </c>
      <c r="F25" s="2" t="s">
        <v>166</v>
      </c>
      <c r="G25" s="2" t="s">
        <v>167</v>
      </c>
      <c r="H25" s="2" t="s">
        <v>168</v>
      </c>
      <c r="I25" s="2" t="s">
        <v>99</v>
      </c>
      <c r="J25" s="5" t="n">
        <f aca="false">IFERROR(ROUND(L25*SUMIFS('07_시간 근거'!$F$2:$F$552,'07_시간 근거'!$A$2:$A$552,$E25,'07_시간 근거'!$E$2:$E$552,"개념 설명")/SUMIF('07_시간 근거'!$A$2:$A$552,$E25,'07_시간 근거'!$F$2:$F$552),0),0)</f>
        <v>5</v>
      </c>
      <c r="K25" s="5" t="n">
        <f aca="false">L25-J25</f>
        <v>8</v>
      </c>
      <c r="L25" s="7" t="n">
        <v>13</v>
      </c>
      <c r="M25" s="2" t="s">
        <v>703</v>
      </c>
    </row>
    <row r="26" customFormat="false" ht="72.35" hidden="false" customHeight="false" outlineLevel="0" collapsed="false">
      <c r="A26" s="15" t="n">
        <v>23</v>
      </c>
      <c r="B26" s="15" t="s">
        <v>100</v>
      </c>
      <c r="C26" s="15" t="s">
        <v>9</v>
      </c>
      <c r="D26" s="14" t="s">
        <v>33</v>
      </c>
      <c r="E26" s="14" t="s">
        <v>170</v>
      </c>
      <c r="F26" s="2" t="s">
        <v>171</v>
      </c>
      <c r="G26" s="3" t="s">
        <v>172</v>
      </c>
      <c r="H26" s="2" t="s">
        <v>173</v>
      </c>
      <c r="I26" s="2" t="s">
        <v>99</v>
      </c>
      <c r="J26" s="5" t="n">
        <f aca="false">IFERROR(ROUND(L26*SUMIFS('07_시간 근거'!$F$2:$F$552,'07_시간 근거'!$A$2:$A$552,$E26,'07_시간 근거'!$E$2:$E$552,"개념 설명")/SUMIF('07_시간 근거'!$A$2:$A$552,$E26,'07_시간 근거'!$F$2:$F$552),0),0)</f>
        <v>5</v>
      </c>
      <c r="K26" s="5" t="n">
        <f aca="false">L26-J26</f>
        <v>18</v>
      </c>
      <c r="L26" s="7" t="n">
        <v>23</v>
      </c>
      <c r="M26" s="2" t="s">
        <v>704</v>
      </c>
    </row>
    <row r="27" customFormat="false" ht="44" hidden="false" customHeight="false" outlineLevel="0" collapsed="false">
      <c r="A27" s="15" t="n">
        <v>24</v>
      </c>
      <c r="B27" s="15" t="s">
        <v>100</v>
      </c>
      <c r="C27" s="15" t="s">
        <v>9</v>
      </c>
      <c r="D27" s="14" t="s">
        <v>33</v>
      </c>
      <c r="E27" s="14" t="s">
        <v>175</v>
      </c>
      <c r="F27" s="2" t="s">
        <v>176</v>
      </c>
      <c r="G27" s="3" t="s">
        <v>177</v>
      </c>
      <c r="H27" s="2" t="s">
        <v>178</v>
      </c>
      <c r="I27" s="2" t="s">
        <v>99</v>
      </c>
      <c r="J27" s="5" t="n">
        <f aca="false">IFERROR(ROUND(L27*SUMIFS('07_시간 근거'!$F$2:$F$552,'07_시간 근거'!$A$2:$A$552,$E27,'07_시간 근거'!$E$2:$E$552,"개념 설명")/SUMIF('07_시간 근거'!$A$2:$A$552,$E27,'07_시간 근거'!$F$2:$F$552),0),0)</f>
        <v>5</v>
      </c>
      <c r="K27" s="5" t="n">
        <f aca="false">L27-J27</f>
        <v>10</v>
      </c>
      <c r="L27" s="7" t="n">
        <v>15</v>
      </c>
      <c r="M27" s="2" t="s">
        <v>705</v>
      </c>
    </row>
    <row r="28" customFormat="false" ht="44" hidden="false" customHeight="false" outlineLevel="0" collapsed="false">
      <c r="A28" s="15" t="n">
        <v>25</v>
      </c>
      <c r="B28" s="15" t="s">
        <v>100</v>
      </c>
      <c r="C28" s="15" t="s">
        <v>9</v>
      </c>
      <c r="D28" s="14" t="s">
        <v>33</v>
      </c>
      <c r="E28" s="14" t="s">
        <v>180</v>
      </c>
      <c r="F28" s="2" t="s">
        <v>181</v>
      </c>
      <c r="G28" s="3" t="s">
        <v>182</v>
      </c>
      <c r="H28" s="2" t="s">
        <v>183</v>
      </c>
      <c r="I28" s="2" t="s">
        <v>99</v>
      </c>
      <c r="J28" s="5" t="n">
        <f aca="false">IFERROR(ROUND(L28*SUMIFS('07_시간 근거'!$F$2:$F$552,'07_시간 근거'!$A$2:$A$552,$E28,'07_시간 근거'!$E$2:$E$552,"개념 설명")/SUMIF('07_시간 근거'!$A$2:$A$552,$E28,'07_시간 근거'!$F$2:$F$552),0),0)</f>
        <v>4</v>
      </c>
      <c r="K28" s="5" t="n">
        <f aca="false">L28-J28</f>
        <v>10</v>
      </c>
      <c r="L28" s="7" t="n">
        <v>14</v>
      </c>
      <c r="M28" s="2" t="s">
        <v>706</v>
      </c>
    </row>
    <row r="29" customFormat="false" ht="72.35" hidden="false" customHeight="false" outlineLevel="0" collapsed="false">
      <c r="A29" s="15" t="n">
        <v>26</v>
      </c>
      <c r="B29" s="15" t="s">
        <v>100</v>
      </c>
      <c r="C29" s="15" t="s">
        <v>9</v>
      </c>
      <c r="D29" s="14" t="s">
        <v>184</v>
      </c>
      <c r="E29" s="14" t="s">
        <v>185</v>
      </c>
      <c r="F29" s="2" t="s">
        <v>186</v>
      </c>
      <c r="G29" s="3" t="s">
        <v>187</v>
      </c>
      <c r="H29" s="2" t="s">
        <v>188</v>
      </c>
      <c r="I29" s="2" t="s">
        <v>99</v>
      </c>
      <c r="J29" s="5" t="n">
        <f aca="false">IFERROR(ROUND(L29*SUMIFS('07_시간 근거'!$F$2:$F$552,'07_시간 근거'!$A$2:$A$552,$E29,'07_시간 근거'!$E$2:$E$552,"개념 설명")/SUMIF('07_시간 근거'!$A$2:$A$552,$E29,'07_시간 근거'!$F$2:$F$552),0),0)</f>
        <v>5</v>
      </c>
      <c r="K29" s="5" t="n">
        <f aca="false">L29-J29</f>
        <v>11</v>
      </c>
      <c r="L29" s="7" t="n">
        <v>16</v>
      </c>
      <c r="M29" s="2" t="s">
        <v>707</v>
      </c>
    </row>
    <row r="30" customFormat="false" ht="44" hidden="false" customHeight="false" outlineLevel="0" collapsed="false">
      <c r="A30" s="15" t="n">
        <v>27</v>
      </c>
      <c r="B30" s="15" t="s">
        <v>100</v>
      </c>
      <c r="C30" s="15" t="s">
        <v>9</v>
      </c>
      <c r="D30" s="14" t="s">
        <v>184</v>
      </c>
      <c r="E30" s="14" t="s">
        <v>190</v>
      </c>
      <c r="F30" s="2" t="s">
        <v>191</v>
      </c>
      <c r="G30" s="3" t="s">
        <v>192</v>
      </c>
      <c r="H30" s="2" t="s">
        <v>193</v>
      </c>
      <c r="I30" s="2" t="s">
        <v>99</v>
      </c>
      <c r="J30" s="5" t="n">
        <f aca="false">IFERROR(ROUND(L30*SUMIFS('07_시간 근거'!$F$2:$F$552,'07_시간 근거'!$A$2:$A$552,$E30,'07_시간 근거'!$E$2:$E$552,"개념 설명")/SUMIF('07_시간 근거'!$A$2:$A$552,$E30,'07_시간 근거'!$F$2:$F$552),0),0)</f>
        <v>1</v>
      </c>
      <c r="K30" s="5" t="n">
        <f aca="false">L30-J30</f>
        <v>7</v>
      </c>
      <c r="L30" s="7" t="n">
        <v>8</v>
      </c>
      <c r="M30" s="2" t="s">
        <v>708</v>
      </c>
    </row>
    <row r="31" customFormat="false" ht="44" hidden="false" customHeight="false" outlineLevel="0" collapsed="false">
      <c r="A31" s="15" t="n">
        <v>28</v>
      </c>
      <c r="B31" s="15" t="s">
        <v>100</v>
      </c>
      <c r="C31" s="15" t="s">
        <v>9</v>
      </c>
      <c r="D31" s="14" t="s">
        <v>184</v>
      </c>
      <c r="E31" s="14" t="s">
        <v>195</v>
      </c>
      <c r="F31" s="2" t="s">
        <v>196</v>
      </c>
      <c r="G31" s="3" t="s">
        <v>197</v>
      </c>
      <c r="H31" s="2" t="s">
        <v>198</v>
      </c>
      <c r="I31" s="2" t="s">
        <v>99</v>
      </c>
      <c r="J31" s="5" t="n">
        <f aca="false">IFERROR(ROUND(L31*SUMIFS('07_시간 근거'!$F$2:$F$552,'07_시간 근거'!$A$2:$A$552,$E31,'07_시간 근거'!$E$2:$E$552,"개념 설명")/SUMIF('07_시간 근거'!$A$2:$A$552,$E31,'07_시간 근거'!$F$2:$F$552),0),0)</f>
        <v>0</v>
      </c>
      <c r="K31" s="5" t="n">
        <f aca="false">L31-J31</f>
        <v>7</v>
      </c>
      <c r="L31" s="7" t="n">
        <v>7</v>
      </c>
      <c r="M31" s="2" t="s">
        <v>709</v>
      </c>
    </row>
    <row r="32" customFormat="false" ht="58.2" hidden="false" customHeight="false" outlineLevel="0" collapsed="false">
      <c r="A32" s="15" t="n">
        <v>29</v>
      </c>
      <c r="B32" s="15" t="s">
        <v>100</v>
      </c>
      <c r="C32" s="15" t="s">
        <v>9</v>
      </c>
      <c r="D32" s="14" t="s">
        <v>200</v>
      </c>
      <c r="E32" s="14" t="s">
        <v>201</v>
      </c>
      <c r="F32" s="2" t="s">
        <v>202</v>
      </c>
      <c r="G32" s="3" t="s">
        <v>203</v>
      </c>
      <c r="H32" s="2" t="s">
        <v>204</v>
      </c>
      <c r="I32" s="2" t="s">
        <v>99</v>
      </c>
      <c r="J32" s="5" t="n">
        <f aca="false">IFERROR(ROUND(L32*SUMIFS('07_시간 근거'!$F$2:$F$552,'07_시간 근거'!$A$2:$A$552,$E32,'07_시간 근거'!$E$2:$E$552,"개념 설명")/SUMIF('07_시간 근거'!$A$2:$A$552,$E32,'07_시간 근거'!$F$2:$F$552),0),0)</f>
        <v>4</v>
      </c>
      <c r="K32" s="5" t="n">
        <f aca="false">L32-J32</f>
        <v>10</v>
      </c>
      <c r="L32" s="7" t="n">
        <v>14</v>
      </c>
      <c r="M32" s="2" t="s">
        <v>710</v>
      </c>
    </row>
    <row r="33" customFormat="false" ht="29.85" hidden="false" customHeight="false" outlineLevel="0" collapsed="false">
      <c r="A33" s="15" t="n">
        <v>30</v>
      </c>
      <c r="B33" s="15" t="s">
        <v>100</v>
      </c>
      <c r="C33" s="15" t="s">
        <v>9</v>
      </c>
      <c r="D33" s="14" t="s">
        <v>200</v>
      </c>
      <c r="E33" s="14" t="s">
        <v>206</v>
      </c>
      <c r="F33" s="2" t="s">
        <v>207</v>
      </c>
      <c r="G33" s="3" t="s">
        <v>208</v>
      </c>
      <c r="H33" s="2" t="s">
        <v>209</v>
      </c>
      <c r="I33" s="2" t="s">
        <v>99</v>
      </c>
      <c r="J33" s="5" t="n">
        <f aca="false">IFERROR(ROUND(L33*SUMIFS('07_시간 근거'!$F$2:$F$552,'07_시간 근거'!$A$2:$A$552,$E33,'07_시간 근거'!$E$2:$E$552,"개념 설명")/SUMIF('07_시간 근거'!$A$2:$A$552,$E33,'07_시간 근거'!$F$2:$F$552),0),0)</f>
        <v>0</v>
      </c>
      <c r="K33" s="5" t="n">
        <f aca="false">L33-J33</f>
        <v>7</v>
      </c>
      <c r="L33" s="7" t="n">
        <v>7</v>
      </c>
      <c r="M33" s="2" t="s">
        <v>711</v>
      </c>
    </row>
    <row r="34" customFormat="false" ht="29.85" hidden="false" customHeight="false" outlineLevel="0" collapsed="false">
      <c r="A34" s="15" t="n">
        <v>31</v>
      </c>
      <c r="B34" s="15" t="s">
        <v>100</v>
      </c>
      <c r="C34" s="15" t="s">
        <v>9</v>
      </c>
      <c r="D34" s="14" t="s">
        <v>200</v>
      </c>
      <c r="E34" s="14" t="s">
        <v>211</v>
      </c>
      <c r="F34" s="2" t="s">
        <v>212</v>
      </c>
      <c r="G34" s="3" t="s">
        <v>213</v>
      </c>
      <c r="H34" s="2" t="s">
        <v>198</v>
      </c>
      <c r="I34" s="2" t="s">
        <v>99</v>
      </c>
      <c r="J34" s="5" t="n">
        <f aca="false">IFERROR(ROUND(L34*SUMIFS('07_시간 근거'!$F$2:$F$552,'07_시간 근거'!$A$2:$A$552,$E34,'07_시간 근거'!$E$2:$E$552,"개념 설명")/SUMIF('07_시간 근거'!$A$2:$A$552,$E34,'07_시간 근거'!$F$2:$F$552),0),0)</f>
        <v>0</v>
      </c>
      <c r="K34" s="5" t="n">
        <f aca="false">L34-J34</f>
        <v>6</v>
      </c>
      <c r="L34" s="7" t="n">
        <v>6</v>
      </c>
      <c r="M34" s="2" t="s">
        <v>712</v>
      </c>
    </row>
    <row r="35" customFormat="false" ht="29.85" hidden="false" customHeight="false" outlineLevel="0" collapsed="false">
      <c r="A35" s="15" t="n">
        <v>32</v>
      </c>
      <c r="B35" s="15" t="s">
        <v>100</v>
      </c>
      <c r="C35" s="15" t="s">
        <v>9</v>
      </c>
      <c r="D35" s="15" t="s">
        <v>215</v>
      </c>
      <c r="E35" s="14" t="s">
        <v>216</v>
      </c>
      <c r="F35" s="2" t="s">
        <v>217</v>
      </c>
      <c r="G35" s="3" t="s">
        <v>218</v>
      </c>
      <c r="H35" s="2" t="s">
        <v>219</v>
      </c>
      <c r="I35" s="2" t="s">
        <v>99</v>
      </c>
      <c r="J35" s="5" t="n">
        <f aca="false">IFERROR(ROUND(L35*SUMIFS('07_시간 근거'!$F$2:$F$552,'07_시간 근거'!$A$2:$A$552,$E35,'07_시간 근거'!$E$2:$E$552,"개념 설명")/SUMIF('07_시간 근거'!$A$2:$A$552,$E35,'07_시간 근거'!$F$2:$F$552),0),0)</f>
        <v>2</v>
      </c>
      <c r="K35" s="5" t="n">
        <f aca="false">L35-J35</f>
        <v>2</v>
      </c>
      <c r="L35" s="7" t="n">
        <v>4</v>
      </c>
      <c r="M35" s="2" t="s">
        <v>713</v>
      </c>
    </row>
    <row r="36" customFormat="false" ht="44" hidden="false" customHeight="false" outlineLevel="0" collapsed="false">
      <c r="A36" s="17" t="n">
        <v>33</v>
      </c>
      <c r="B36" s="17" t="s">
        <v>100</v>
      </c>
      <c r="C36" s="17" t="s">
        <v>11</v>
      </c>
      <c r="D36" s="17"/>
      <c r="E36" s="16" t="s">
        <v>220</v>
      </c>
      <c r="F36" s="2" t="s">
        <v>221</v>
      </c>
      <c r="G36" s="2" t="s">
        <v>222</v>
      </c>
      <c r="H36" s="2" t="s">
        <v>223</v>
      </c>
      <c r="I36" s="2" t="s">
        <v>224</v>
      </c>
      <c r="J36" s="5" t="n">
        <f aca="false">IFERROR(ROUND(L36*SUMIFS('07_시간 근거'!$F$2:$F$552,'07_시간 근거'!$A$2:$A$552,$E36,'07_시간 근거'!$E$2:$E$552,"개념 설명")/SUMIF('07_시간 근거'!$A$2:$A$552,$E36,'07_시간 근거'!$F$2:$F$552),0),0)</f>
        <v>4</v>
      </c>
      <c r="K36" s="5" t="n">
        <f aca="false">L36-J36</f>
        <v>29</v>
      </c>
      <c r="L36" s="7" t="n">
        <v>33</v>
      </c>
      <c r="M36" s="2" t="s">
        <v>714</v>
      </c>
    </row>
    <row r="37" customFormat="false" ht="44" hidden="false" customHeight="false" outlineLevel="0" collapsed="false">
      <c r="A37" s="17" t="n">
        <v>34</v>
      </c>
      <c r="B37" s="17" t="s">
        <v>100</v>
      </c>
      <c r="C37" s="17" t="s">
        <v>11</v>
      </c>
      <c r="D37" s="17"/>
      <c r="E37" s="16" t="s">
        <v>226</v>
      </c>
      <c r="F37" s="2" t="s">
        <v>227</v>
      </c>
      <c r="G37" s="3" t="s">
        <v>228</v>
      </c>
      <c r="H37" s="2" t="s">
        <v>229</v>
      </c>
      <c r="I37" s="2" t="s">
        <v>230</v>
      </c>
      <c r="J37" s="5" t="n">
        <f aca="false">IFERROR(ROUND(L37*SUMIFS('07_시간 근거'!$F$2:$F$552,'07_시간 근거'!$A$2:$A$552,$E37,'07_시간 근거'!$E$2:$E$552,"개념 설명")/SUMIF('07_시간 근거'!$A$2:$A$552,$E37,'07_시간 근거'!$F$2:$F$552),0),0)</f>
        <v>0</v>
      </c>
      <c r="K37" s="5" t="n">
        <f aca="false">L37-J37</f>
        <v>6</v>
      </c>
      <c r="L37" s="7" t="n">
        <v>6</v>
      </c>
      <c r="M37" s="2" t="s">
        <v>715</v>
      </c>
    </row>
    <row r="38" customFormat="false" ht="58.2" hidden="false" customHeight="false" outlineLevel="0" collapsed="false">
      <c r="A38" s="17" t="n">
        <v>35</v>
      </c>
      <c r="B38" s="17" t="s">
        <v>100</v>
      </c>
      <c r="C38" s="17" t="s">
        <v>11</v>
      </c>
      <c r="D38" s="17"/>
      <c r="E38" s="16" t="s">
        <v>232</v>
      </c>
      <c r="F38" s="2" t="s">
        <v>233</v>
      </c>
      <c r="G38" s="2" t="s">
        <v>234</v>
      </c>
      <c r="H38" s="2" t="s">
        <v>235</v>
      </c>
      <c r="I38" s="2" t="s">
        <v>224</v>
      </c>
      <c r="J38" s="5" t="n">
        <f aca="false">IFERROR(ROUND(L38*SUMIFS('07_시간 근거'!$F$2:$F$552,'07_시간 근거'!$A$2:$A$552,$E38,'07_시간 근거'!$E$2:$E$552,"개념 설명")/SUMIF('07_시간 근거'!$A$2:$A$552,$E38,'07_시간 근거'!$F$2:$F$552),0),0)</f>
        <v>7</v>
      </c>
      <c r="K38" s="5" t="n">
        <f aca="false">L38-J38</f>
        <v>22</v>
      </c>
      <c r="L38" s="7" t="n">
        <v>29</v>
      </c>
      <c r="M38" s="2" t="s">
        <v>716</v>
      </c>
    </row>
    <row r="39" customFormat="false" ht="44" hidden="false" customHeight="false" outlineLevel="0" collapsed="false">
      <c r="A39" s="17" t="n">
        <v>36</v>
      </c>
      <c r="B39" s="17" t="s">
        <v>100</v>
      </c>
      <c r="C39" s="17" t="s">
        <v>11</v>
      </c>
      <c r="D39" s="17"/>
      <c r="E39" s="16" t="s">
        <v>237</v>
      </c>
      <c r="F39" s="2" t="s">
        <v>238</v>
      </c>
      <c r="G39" s="2" t="s">
        <v>239</v>
      </c>
      <c r="H39" s="2" t="s">
        <v>240</v>
      </c>
      <c r="I39" s="2" t="s">
        <v>224</v>
      </c>
      <c r="J39" s="5" t="n">
        <f aca="false">IFERROR(ROUND(L39*SUMIFS('07_시간 근거'!$F$2:$F$552,'07_시간 근거'!$A$2:$A$552,$E39,'07_시간 근거'!$E$2:$E$552,"개념 설명")/SUMIF('07_시간 근거'!$A$2:$A$552,$E39,'07_시간 근거'!$F$2:$F$552),0),0)</f>
        <v>5</v>
      </c>
      <c r="K39" s="5" t="n">
        <f aca="false">L39-J39</f>
        <v>22</v>
      </c>
      <c r="L39" s="7" t="n">
        <v>27</v>
      </c>
      <c r="M39" s="2" t="s">
        <v>717</v>
      </c>
    </row>
    <row r="40" customFormat="false" ht="44" hidden="false" customHeight="false" outlineLevel="0" collapsed="false">
      <c r="A40" s="17" t="n">
        <v>37</v>
      </c>
      <c r="B40" s="17" t="s">
        <v>100</v>
      </c>
      <c r="C40" s="17" t="s">
        <v>11</v>
      </c>
      <c r="D40" s="17"/>
      <c r="E40" s="16" t="s">
        <v>242</v>
      </c>
      <c r="F40" s="2" t="s">
        <v>243</v>
      </c>
      <c r="G40" s="2" t="s">
        <v>244</v>
      </c>
      <c r="H40" s="2" t="s">
        <v>245</v>
      </c>
      <c r="I40" s="2" t="s">
        <v>224</v>
      </c>
      <c r="J40" s="5" t="n">
        <f aca="false">IFERROR(ROUND(L40*SUMIFS('07_시간 근거'!$F$2:$F$552,'07_시간 근거'!$A$2:$A$552,$E40,'07_시간 근거'!$E$2:$E$552,"개념 설명")/SUMIF('07_시간 근거'!$A$2:$A$552,$E40,'07_시간 근거'!$F$2:$F$552),0),0)</f>
        <v>6</v>
      </c>
      <c r="K40" s="5" t="n">
        <f aca="false">L40-J40</f>
        <v>24</v>
      </c>
      <c r="L40" s="7" t="n">
        <v>30</v>
      </c>
      <c r="M40" s="2" t="s">
        <v>718</v>
      </c>
    </row>
    <row r="41" customFormat="false" ht="44" hidden="false" customHeight="false" outlineLevel="0" collapsed="false">
      <c r="A41" s="17" t="n">
        <v>38</v>
      </c>
      <c r="B41" s="17" t="s">
        <v>100</v>
      </c>
      <c r="C41" s="17" t="s">
        <v>11</v>
      </c>
      <c r="D41" s="17"/>
      <c r="E41" s="16" t="s">
        <v>247</v>
      </c>
      <c r="F41" s="2" t="s">
        <v>248</v>
      </c>
      <c r="G41" s="2" t="s">
        <v>249</v>
      </c>
      <c r="H41" s="2" t="s">
        <v>250</v>
      </c>
      <c r="I41" s="2" t="s">
        <v>224</v>
      </c>
      <c r="J41" s="5" t="n">
        <f aca="false">IFERROR(ROUND(L41*SUMIFS('07_시간 근거'!$F$2:$F$552,'07_시간 근거'!$A$2:$A$552,$E41,'07_시간 근거'!$E$2:$E$552,"개념 설명")/SUMIF('07_시간 근거'!$A$2:$A$552,$E41,'07_시간 근거'!$F$2:$F$552),0),0)</f>
        <v>6</v>
      </c>
      <c r="K41" s="5" t="n">
        <f aca="false">L41-J41</f>
        <v>27</v>
      </c>
      <c r="L41" s="7" t="n">
        <v>33</v>
      </c>
      <c r="M41" s="2" t="s">
        <v>719</v>
      </c>
    </row>
    <row r="42" customFormat="false" ht="44" hidden="false" customHeight="false" outlineLevel="0" collapsed="false">
      <c r="A42" s="17" t="n">
        <v>39</v>
      </c>
      <c r="B42" s="17" t="s">
        <v>100</v>
      </c>
      <c r="C42" s="17" t="s">
        <v>11</v>
      </c>
      <c r="D42" s="17"/>
      <c r="E42" s="16" t="s">
        <v>252</v>
      </c>
      <c r="F42" s="2" t="s">
        <v>253</v>
      </c>
      <c r="G42" s="2" t="s">
        <v>254</v>
      </c>
      <c r="H42" s="2" t="s">
        <v>255</v>
      </c>
      <c r="I42" s="2" t="s">
        <v>224</v>
      </c>
      <c r="J42" s="5" t="n">
        <f aca="false">IFERROR(ROUND(L42*SUMIFS('07_시간 근거'!$F$2:$F$552,'07_시간 근거'!$A$2:$A$552,$E42,'07_시간 근거'!$E$2:$E$552,"개념 설명")/SUMIF('07_시간 근거'!$A$2:$A$552,$E42,'07_시간 근거'!$F$2:$F$552),0),0)</f>
        <v>6</v>
      </c>
      <c r="K42" s="5" t="n">
        <f aca="false">L42-J42</f>
        <v>26</v>
      </c>
      <c r="L42" s="7" t="n">
        <v>32</v>
      </c>
      <c r="M42" s="2" t="s">
        <v>720</v>
      </c>
    </row>
    <row r="43" customFormat="false" ht="58.2" hidden="false" customHeight="false" outlineLevel="0" collapsed="false">
      <c r="A43" s="17" t="n">
        <v>40</v>
      </c>
      <c r="B43" s="17" t="s">
        <v>100</v>
      </c>
      <c r="C43" s="17" t="s">
        <v>11</v>
      </c>
      <c r="D43" s="17"/>
      <c r="E43" s="16" t="s">
        <v>257</v>
      </c>
      <c r="F43" s="2" t="s">
        <v>258</v>
      </c>
      <c r="G43" s="2" t="s">
        <v>259</v>
      </c>
      <c r="H43" s="2" t="s">
        <v>260</v>
      </c>
      <c r="I43" s="2" t="s">
        <v>224</v>
      </c>
      <c r="J43" s="5" t="n">
        <f aca="false">IFERROR(ROUND(L43*SUMIFS('07_시간 근거'!$F$2:$F$552,'07_시간 근거'!$A$2:$A$552,$E43,'07_시간 근거'!$E$2:$E$552,"개념 설명")/SUMIF('07_시간 근거'!$A$2:$A$552,$E43,'07_시간 근거'!$F$2:$F$552),0),0)</f>
        <v>6</v>
      </c>
      <c r="K43" s="5" t="n">
        <f aca="false">L43-J43</f>
        <v>23</v>
      </c>
      <c r="L43" s="7" t="n">
        <v>29</v>
      </c>
      <c r="M43" s="2" t="s">
        <v>721</v>
      </c>
    </row>
    <row r="44" customFormat="false" ht="44" hidden="false" customHeight="false" outlineLevel="0" collapsed="false">
      <c r="A44" s="17" t="n">
        <v>41</v>
      </c>
      <c r="B44" s="17" t="s">
        <v>100</v>
      </c>
      <c r="C44" s="17" t="s">
        <v>11</v>
      </c>
      <c r="D44" s="17"/>
      <c r="E44" s="16" t="s">
        <v>262</v>
      </c>
      <c r="F44" s="2" t="s">
        <v>263</v>
      </c>
      <c r="G44" s="2" t="s">
        <v>264</v>
      </c>
      <c r="H44" s="2" t="s">
        <v>265</v>
      </c>
      <c r="I44" s="2" t="s">
        <v>224</v>
      </c>
      <c r="J44" s="5" t="n">
        <f aca="false">IFERROR(ROUND(L44*SUMIFS('07_시간 근거'!$F$2:$F$552,'07_시간 근거'!$A$2:$A$552,$E44,'07_시간 근거'!$E$2:$E$552,"개념 설명")/SUMIF('07_시간 근거'!$A$2:$A$552,$E44,'07_시간 근거'!$F$2:$F$552),0),0)</f>
        <v>6</v>
      </c>
      <c r="K44" s="5" t="n">
        <f aca="false">L44-J44</f>
        <v>23</v>
      </c>
      <c r="L44" s="7" t="n">
        <v>29</v>
      </c>
      <c r="M44" s="2" t="s">
        <v>722</v>
      </c>
    </row>
    <row r="45" customFormat="false" ht="44" hidden="false" customHeight="false" outlineLevel="0" collapsed="false">
      <c r="A45" s="17" t="n">
        <v>42</v>
      </c>
      <c r="B45" s="17" t="s">
        <v>100</v>
      </c>
      <c r="C45" s="17" t="s">
        <v>11</v>
      </c>
      <c r="D45" s="17"/>
      <c r="E45" s="16" t="s">
        <v>267</v>
      </c>
      <c r="F45" s="2" t="s">
        <v>268</v>
      </c>
      <c r="G45" s="2" t="s">
        <v>269</v>
      </c>
      <c r="H45" s="2" t="s">
        <v>270</v>
      </c>
      <c r="I45" s="2" t="s">
        <v>224</v>
      </c>
      <c r="J45" s="5" t="n">
        <f aca="false">IFERROR(ROUND(L45*SUMIFS('07_시간 근거'!$F$2:$F$552,'07_시간 근거'!$A$2:$A$552,$E45,'07_시간 근거'!$E$2:$E$552,"개념 설명")/SUMIF('07_시간 근거'!$A$2:$A$552,$E45,'07_시간 근거'!$F$2:$F$552),0),0)</f>
        <v>6</v>
      </c>
      <c r="K45" s="5" t="n">
        <f aca="false">L45-J45</f>
        <v>22</v>
      </c>
      <c r="L45" s="7" t="n">
        <v>28</v>
      </c>
      <c r="M45" s="2" t="s">
        <v>723</v>
      </c>
    </row>
    <row r="46" customFormat="false" ht="44" hidden="false" customHeight="false" outlineLevel="0" collapsed="false">
      <c r="A46" s="17" t="n">
        <v>43</v>
      </c>
      <c r="B46" s="17" t="s">
        <v>100</v>
      </c>
      <c r="C46" s="17" t="s">
        <v>11</v>
      </c>
      <c r="D46" s="17"/>
      <c r="E46" s="16" t="s">
        <v>272</v>
      </c>
      <c r="F46" s="2" t="s">
        <v>273</v>
      </c>
      <c r="G46" s="2" t="s">
        <v>274</v>
      </c>
      <c r="H46" s="2" t="s">
        <v>275</v>
      </c>
      <c r="I46" s="2" t="s">
        <v>224</v>
      </c>
      <c r="J46" s="5" t="n">
        <f aca="false">IFERROR(ROUND(L46*SUMIFS('07_시간 근거'!$F$2:$F$552,'07_시간 근거'!$A$2:$A$552,$E46,'07_시간 근거'!$E$2:$E$552,"개념 설명")/SUMIF('07_시간 근거'!$A$2:$A$552,$E46,'07_시간 근거'!$F$2:$F$552),0),0)</f>
        <v>7</v>
      </c>
      <c r="K46" s="5" t="n">
        <f aca="false">L46-J46</f>
        <v>22</v>
      </c>
      <c r="L46" s="7" t="n">
        <v>29</v>
      </c>
      <c r="M46" s="2" t="s">
        <v>724</v>
      </c>
    </row>
    <row r="47" customFormat="false" ht="29.85" hidden="false" customHeight="false" outlineLevel="0" collapsed="false">
      <c r="A47" s="17" t="n">
        <v>44</v>
      </c>
      <c r="B47" s="17" t="s">
        <v>100</v>
      </c>
      <c r="C47" s="17" t="s">
        <v>11</v>
      </c>
      <c r="D47" s="17"/>
      <c r="E47" s="16" t="s">
        <v>277</v>
      </c>
      <c r="F47" s="2" t="s">
        <v>278</v>
      </c>
      <c r="G47" s="2" t="s">
        <v>279</v>
      </c>
      <c r="H47" s="2" t="s">
        <v>69</v>
      </c>
      <c r="I47" s="2" t="s">
        <v>280</v>
      </c>
      <c r="J47" s="5" t="n">
        <f aca="false">IFERROR(ROUND(L47*SUMIFS('07_시간 근거'!$F$2:$F$552,'07_시간 근거'!$A$2:$A$552,$E47,'07_시간 근거'!$E$2:$E$552,"개념 설명")/SUMIF('07_시간 근거'!$A$2:$A$552,$E47,'07_시간 근거'!$F$2:$F$552),0),0)</f>
        <v>4</v>
      </c>
      <c r="K47" s="5" t="n">
        <f aca="false">L47-J47</f>
        <v>2</v>
      </c>
      <c r="L47" s="7" t="n">
        <v>6</v>
      </c>
      <c r="M47" s="2" t="s">
        <v>725</v>
      </c>
    </row>
    <row r="48" customFormat="false" ht="15" hidden="false" customHeight="false" outlineLevel="0" collapsed="false">
      <c r="A48" s="9" t="str">
        <f aca="false">"3. 에이전트 — AI 일꾼이 지식 지도와 지금 값을 근거로 추천안 하나를 제안한다  ("&amp;SUM(L49:L78)&amp;"분)"</f>
        <v>3. 에이전트 — AI 일꾼이 지식 지도와 지금 값을 근거로 추천안 하나를 제안한다  (531분)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customFormat="false" ht="58.2" hidden="false" customHeight="false" outlineLevel="0" collapsed="false">
      <c r="A49" s="13" t="n">
        <v>45</v>
      </c>
      <c r="B49" s="13" t="s">
        <v>281</v>
      </c>
      <c r="C49" s="13" t="s">
        <v>7</v>
      </c>
      <c r="D49" s="13"/>
      <c r="E49" s="12" t="s">
        <v>282</v>
      </c>
      <c r="F49" s="2" t="s">
        <v>283</v>
      </c>
      <c r="G49" s="2" t="s">
        <v>284</v>
      </c>
      <c r="H49" s="2" t="s">
        <v>285</v>
      </c>
      <c r="I49" s="2" t="s">
        <v>70</v>
      </c>
      <c r="J49" s="5" t="n">
        <f aca="false">IFERROR(ROUND(L49*SUMIFS('07_시간 근거'!$F$2:$F$552,'07_시간 근거'!$A$2:$A$552,$E49,'07_시간 근거'!$E$2:$E$552,"개념 설명")/SUMIF('07_시간 근거'!$A$2:$A$552,$E49,'07_시간 근거'!$F$2:$F$552),0),0)</f>
        <v>23</v>
      </c>
      <c r="K49" s="5" t="n">
        <f aca="false">L49-J49</f>
        <v>0</v>
      </c>
      <c r="L49" s="7" t="n">
        <v>23</v>
      </c>
      <c r="M49" s="2" t="s">
        <v>726</v>
      </c>
    </row>
    <row r="50" customFormat="false" ht="58.2" hidden="false" customHeight="false" outlineLevel="0" collapsed="false">
      <c r="A50" s="13" t="n">
        <v>46</v>
      </c>
      <c r="B50" s="13" t="s">
        <v>281</v>
      </c>
      <c r="C50" s="13" t="s">
        <v>7</v>
      </c>
      <c r="D50" s="13"/>
      <c r="E50" s="12" t="s">
        <v>286</v>
      </c>
      <c r="F50" s="2" t="s">
        <v>287</v>
      </c>
      <c r="G50" s="2" t="s">
        <v>288</v>
      </c>
      <c r="H50" s="2" t="s">
        <v>289</v>
      </c>
      <c r="I50" s="2" t="s">
        <v>290</v>
      </c>
      <c r="J50" s="5" t="n">
        <f aca="false">IFERROR(ROUND(L50*SUMIFS('07_시간 근거'!$F$2:$F$552,'07_시간 근거'!$A$2:$A$552,$E50,'07_시간 근거'!$E$2:$E$552,"개념 설명")/SUMIF('07_시간 근거'!$A$2:$A$552,$E50,'07_시간 근거'!$F$2:$F$552),0),0)</f>
        <v>0</v>
      </c>
      <c r="K50" s="5" t="n">
        <f aca="false">L50-J50</f>
        <v>22</v>
      </c>
      <c r="L50" s="7" t="n">
        <v>22</v>
      </c>
      <c r="M50" s="2" t="s">
        <v>727</v>
      </c>
    </row>
    <row r="51" customFormat="false" ht="44" hidden="false" customHeight="false" outlineLevel="0" collapsed="false">
      <c r="A51" s="13" t="n">
        <v>47</v>
      </c>
      <c r="B51" s="13" t="s">
        <v>281</v>
      </c>
      <c r="C51" s="13" t="s">
        <v>7</v>
      </c>
      <c r="D51" s="13"/>
      <c r="E51" s="12" t="s">
        <v>291</v>
      </c>
      <c r="F51" s="3" t="s">
        <v>292</v>
      </c>
      <c r="G51" s="2" t="s">
        <v>293</v>
      </c>
      <c r="H51" s="2" t="s">
        <v>294</v>
      </c>
      <c r="I51" s="2" t="s">
        <v>89</v>
      </c>
      <c r="J51" s="5" t="n">
        <f aca="false">IFERROR(ROUND(L51*SUMIFS('07_시간 근거'!$F$2:$F$552,'07_시간 근거'!$A$2:$A$552,$E51,'07_시간 근거'!$E$2:$E$552,"개념 설명")/SUMIF('07_시간 근거'!$A$2:$A$552,$E51,'07_시간 근거'!$F$2:$F$552),0),0)</f>
        <v>6</v>
      </c>
      <c r="K51" s="5" t="n">
        <f aca="false">L51-J51</f>
        <v>2</v>
      </c>
      <c r="L51" s="7" t="n">
        <v>8</v>
      </c>
      <c r="M51" s="2" t="s">
        <v>728</v>
      </c>
    </row>
    <row r="52" customFormat="false" ht="72.35" hidden="false" customHeight="false" outlineLevel="0" collapsed="false">
      <c r="A52" s="13" t="n">
        <v>48</v>
      </c>
      <c r="B52" s="13" t="s">
        <v>281</v>
      </c>
      <c r="C52" s="13" t="s">
        <v>7</v>
      </c>
      <c r="D52" s="13"/>
      <c r="E52" s="12" t="s">
        <v>295</v>
      </c>
      <c r="F52" s="2" t="s">
        <v>296</v>
      </c>
      <c r="G52" s="2" t="s">
        <v>297</v>
      </c>
      <c r="H52" s="2" t="s">
        <v>298</v>
      </c>
      <c r="I52" s="2" t="s">
        <v>70</v>
      </c>
      <c r="J52" s="5" t="n">
        <f aca="false">IFERROR(ROUND(L52*SUMIFS('07_시간 근거'!$F$2:$F$552,'07_시간 근거'!$A$2:$A$552,$E52,'07_시간 근거'!$E$2:$E$552,"개념 설명")/SUMIF('07_시간 근거'!$A$2:$A$552,$E52,'07_시간 근거'!$F$2:$F$552),0),0)</f>
        <v>16</v>
      </c>
      <c r="K52" s="5" t="n">
        <f aca="false">L52-J52</f>
        <v>0</v>
      </c>
      <c r="L52" s="7" t="n">
        <v>16</v>
      </c>
      <c r="M52" s="2" t="s">
        <v>729</v>
      </c>
    </row>
    <row r="53" customFormat="false" ht="44" hidden="false" customHeight="false" outlineLevel="0" collapsed="false">
      <c r="A53" s="13" t="n">
        <v>49</v>
      </c>
      <c r="B53" s="13" t="s">
        <v>281</v>
      </c>
      <c r="C53" s="13" t="s">
        <v>7</v>
      </c>
      <c r="D53" s="13"/>
      <c r="E53" s="12" t="s">
        <v>299</v>
      </c>
      <c r="F53" s="2" t="s">
        <v>300</v>
      </c>
      <c r="G53" s="2" t="s">
        <v>301</v>
      </c>
      <c r="H53" s="2" t="s">
        <v>302</v>
      </c>
      <c r="I53" s="2" t="s">
        <v>89</v>
      </c>
      <c r="J53" s="5" t="n">
        <f aca="false">IFERROR(ROUND(L53*SUMIFS('07_시간 근거'!$F$2:$F$552,'07_시간 근거'!$A$2:$A$552,$E53,'07_시간 근거'!$E$2:$E$552,"개념 설명")/SUMIF('07_시간 근거'!$A$2:$A$552,$E53,'07_시간 근거'!$F$2:$F$552),0),0)</f>
        <v>8</v>
      </c>
      <c r="K53" s="5" t="n">
        <f aca="false">L53-J53</f>
        <v>4</v>
      </c>
      <c r="L53" s="7" t="n">
        <v>12</v>
      </c>
      <c r="M53" s="2" t="s">
        <v>730</v>
      </c>
    </row>
    <row r="54" customFormat="false" ht="44" hidden="false" customHeight="false" outlineLevel="0" collapsed="false">
      <c r="A54" s="13" t="n">
        <v>50</v>
      </c>
      <c r="B54" s="13" t="s">
        <v>281</v>
      </c>
      <c r="C54" s="13" t="s">
        <v>7</v>
      </c>
      <c r="D54" s="13"/>
      <c r="E54" s="12" t="s">
        <v>303</v>
      </c>
      <c r="F54" s="3" t="s">
        <v>304</v>
      </c>
      <c r="G54" s="2" t="s">
        <v>305</v>
      </c>
      <c r="H54" s="2" t="s">
        <v>306</v>
      </c>
      <c r="I54" s="2" t="s">
        <v>70</v>
      </c>
      <c r="J54" s="5" t="n">
        <f aca="false">IFERROR(ROUND(L54*SUMIFS('07_시간 근거'!$F$2:$F$552,'07_시간 근거'!$A$2:$A$552,$E54,'07_시간 근거'!$E$2:$E$552,"개념 설명")/SUMIF('07_시간 근거'!$A$2:$A$552,$E54,'07_시간 근거'!$F$2:$F$552),0),0)</f>
        <v>5</v>
      </c>
      <c r="K54" s="5" t="n">
        <f aca="false">L54-J54</f>
        <v>0</v>
      </c>
      <c r="L54" s="7" t="n">
        <v>5</v>
      </c>
      <c r="M54" s="2" t="s">
        <v>731</v>
      </c>
    </row>
    <row r="55" customFormat="false" ht="55.2" hidden="false" customHeight="false" outlineLevel="0" collapsed="false">
      <c r="A55" s="13" t="n">
        <v>51</v>
      </c>
      <c r="B55" s="13" t="s">
        <v>281</v>
      </c>
      <c r="C55" s="13" t="s">
        <v>7</v>
      </c>
      <c r="D55" s="13"/>
      <c r="E55" s="12" t="s">
        <v>307</v>
      </c>
      <c r="F55" s="2" t="s">
        <v>308</v>
      </c>
      <c r="G55" s="2" t="s">
        <v>309</v>
      </c>
      <c r="H55" s="2" t="s">
        <v>310</v>
      </c>
      <c r="I55" s="2" t="s">
        <v>89</v>
      </c>
      <c r="J55" s="5" t="n">
        <f aca="false">IFERROR(ROUND(L55*SUMIFS('07_시간 근거'!$F$2:$F$552,'07_시간 근거'!$A$2:$A$552,$E55,'07_시간 근거'!$E$2:$E$552,"개념 설명")/SUMIF('07_시간 근거'!$A$2:$A$552,$E55,'07_시간 근거'!$F$2:$F$552),0),0)</f>
        <v>16</v>
      </c>
      <c r="K55" s="5" t="n">
        <f aca="false">L55-J55</f>
        <v>4</v>
      </c>
      <c r="L55" s="7" t="n">
        <v>20</v>
      </c>
      <c r="M55" s="2" t="s">
        <v>732</v>
      </c>
    </row>
    <row r="56" customFormat="false" ht="86.55" hidden="false" customHeight="false" outlineLevel="0" collapsed="false">
      <c r="A56" s="13" t="n">
        <v>52</v>
      </c>
      <c r="B56" s="13" t="s">
        <v>281</v>
      </c>
      <c r="C56" s="13" t="s">
        <v>7</v>
      </c>
      <c r="D56" s="13"/>
      <c r="E56" s="12" t="s">
        <v>311</v>
      </c>
      <c r="F56" s="2" t="s">
        <v>312</v>
      </c>
      <c r="G56" s="2" t="s">
        <v>313</v>
      </c>
      <c r="H56" s="2" t="s">
        <v>314</v>
      </c>
      <c r="I56" s="2" t="s">
        <v>315</v>
      </c>
      <c r="J56" s="5" t="n">
        <f aca="false">IFERROR(ROUND(L56*SUMIFS('07_시간 근거'!$F$2:$F$552,'07_시간 근거'!$A$2:$A$552,$E56,'07_시간 근거'!$E$2:$E$552,"개념 설명")/SUMIF('07_시간 근거'!$A$2:$A$552,$E56,'07_시간 근거'!$F$2:$F$552),0),0)</f>
        <v>17</v>
      </c>
      <c r="K56" s="5" t="n">
        <f aca="false">L56-J56</f>
        <v>7</v>
      </c>
      <c r="L56" s="7" t="n">
        <v>24</v>
      </c>
      <c r="M56" s="2" t="s">
        <v>733</v>
      </c>
    </row>
    <row r="57" customFormat="false" ht="58.2" hidden="false" customHeight="false" outlineLevel="0" collapsed="false">
      <c r="A57" s="13" t="n">
        <v>53</v>
      </c>
      <c r="B57" s="13" t="s">
        <v>281</v>
      </c>
      <c r="C57" s="13" t="s">
        <v>7</v>
      </c>
      <c r="D57" s="13"/>
      <c r="E57" s="12" t="s">
        <v>316</v>
      </c>
      <c r="F57" s="2" t="s">
        <v>317</v>
      </c>
      <c r="G57" s="2" t="s">
        <v>318</v>
      </c>
      <c r="H57" s="2" t="s">
        <v>319</v>
      </c>
      <c r="I57" s="2" t="s">
        <v>89</v>
      </c>
      <c r="J57" s="5" t="n">
        <f aca="false">IFERROR(ROUND(L57*SUMIFS('07_시간 근거'!$F$2:$F$552,'07_시간 근거'!$A$2:$A$552,$E57,'07_시간 근거'!$E$2:$E$552,"개념 설명")/SUMIF('07_시간 근거'!$A$2:$A$552,$E57,'07_시간 근거'!$F$2:$F$552),0),0)</f>
        <v>10</v>
      </c>
      <c r="K57" s="5" t="n">
        <f aca="false">L57-J57</f>
        <v>6</v>
      </c>
      <c r="L57" s="7" t="n">
        <v>16</v>
      </c>
      <c r="M57" s="2" t="s">
        <v>734</v>
      </c>
    </row>
    <row r="58" customFormat="false" ht="58.2" hidden="false" customHeight="false" outlineLevel="0" collapsed="false">
      <c r="A58" s="13" t="n">
        <v>54</v>
      </c>
      <c r="B58" s="13" t="s">
        <v>281</v>
      </c>
      <c r="C58" s="13" t="s">
        <v>7</v>
      </c>
      <c r="D58" s="13"/>
      <c r="E58" s="12" t="s">
        <v>324</v>
      </c>
      <c r="F58" s="3" t="s">
        <v>325</v>
      </c>
      <c r="G58" s="2" t="s">
        <v>326</v>
      </c>
      <c r="H58" s="2" t="s">
        <v>327</v>
      </c>
      <c r="I58" s="2" t="s">
        <v>89</v>
      </c>
      <c r="J58" s="5" t="n">
        <f aca="false">IFERROR(ROUND(L58*SUMIFS('07_시간 근거'!$F$2:$F$552,'07_시간 근거'!$A$2:$A$552,$E58,'07_시간 근거'!$E$2:$E$552,"개념 설명")/SUMIF('07_시간 근거'!$A$2:$A$552,$E58,'07_시간 근거'!$F$2:$F$552),0),0)</f>
        <v>10</v>
      </c>
      <c r="K58" s="5" t="n">
        <f aca="false">L58-J58</f>
        <v>6</v>
      </c>
      <c r="L58" s="7" t="n">
        <v>16</v>
      </c>
      <c r="M58" s="2" t="s">
        <v>726</v>
      </c>
    </row>
    <row r="59" customFormat="false" ht="58.2" hidden="false" customHeight="false" outlineLevel="0" collapsed="false">
      <c r="A59" s="15" t="n">
        <v>55</v>
      </c>
      <c r="B59" s="15" t="s">
        <v>281</v>
      </c>
      <c r="C59" s="15" t="s">
        <v>9</v>
      </c>
      <c r="D59" s="15" t="s">
        <v>159</v>
      </c>
      <c r="E59" s="14" t="s">
        <v>328</v>
      </c>
      <c r="F59" s="2" t="s">
        <v>161</v>
      </c>
      <c r="G59" s="2" t="s">
        <v>329</v>
      </c>
      <c r="H59" s="2" t="s">
        <v>163</v>
      </c>
      <c r="I59" s="2" t="s">
        <v>164</v>
      </c>
      <c r="J59" s="5" t="n">
        <f aca="false">IFERROR(ROUND(L59*SUMIFS('07_시간 근거'!$F$2:$F$552,'07_시간 근거'!$A$2:$A$552,$E59,'07_시간 근거'!$E$2:$E$552,"개념 설명")/SUMIF('07_시간 근거'!$A$2:$A$552,$E59,'07_시간 근거'!$F$2:$F$552),0),0)</f>
        <v>6</v>
      </c>
      <c r="K59" s="5" t="n">
        <f aca="false">L59-J59</f>
        <v>0</v>
      </c>
      <c r="L59" s="7" t="n">
        <v>6</v>
      </c>
      <c r="M59" s="2" t="s">
        <v>702</v>
      </c>
    </row>
    <row r="60" customFormat="false" ht="86.55" hidden="false" customHeight="false" outlineLevel="0" collapsed="false">
      <c r="A60" s="15" t="n">
        <v>56</v>
      </c>
      <c r="B60" s="15" t="s">
        <v>281</v>
      </c>
      <c r="C60" s="15" t="s">
        <v>9</v>
      </c>
      <c r="D60" s="14" t="s">
        <v>33</v>
      </c>
      <c r="E60" s="14" t="s">
        <v>330</v>
      </c>
      <c r="F60" s="2" t="s">
        <v>331</v>
      </c>
      <c r="G60" s="3" t="s">
        <v>332</v>
      </c>
      <c r="H60" s="2" t="s">
        <v>333</v>
      </c>
      <c r="I60" s="2" t="s">
        <v>99</v>
      </c>
      <c r="J60" s="5" t="n">
        <f aca="false">IFERROR(ROUND(L60*SUMIFS('07_시간 근거'!$F$2:$F$552,'07_시간 근거'!$A$2:$A$552,$E60,'07_시간 근거'!$E$2:$E$552,"개념 설명")/SUMIF('07_시간 근거'!$A$2:$A$552,$E60,'07_시간 근거'!$F$2:$F$552),0),0)</f>
        <v>7</v>
      </c>
      <c r="K60" s="5" t="n">
        <f aca="false">L60-J60</f>
        <v>17</v>
      </c>
      <c r="L60" s="7" t="n">
        <v>24</v>
      </c>
      <c r="M60" s="2" t="s">
        <v>735</v>
      </c>
    </row>
    <row r="61" customFormat="false" ht="58.2" hidden="false" customHeight="false" outlineLevel="0" collapsed="false">
      <c r="A61" s="15" t="n">
        <v>57</v>
      </c>
      <c r="B61" s="15" t="s">
        <v>281</v>
      </c>
      <c r="C61" s="15" t="s">
        <v>9</v>
      </c>
      <c r="D61" s="14" t="s">
        <v>33</v>
      </c>
      <c r="E61" s="14" t="s">
        <v>335</v>
      </c>
      <c r="F61" s="2" t="s">
        <v>336</v>
      </c>
      <c r="G61" s="3" t="s">
        <v>337</v>
      </c>
      <c r="H61" s="2" t="s">
        <v>338</v>
      </c>
      <c r="I61" s="2" t="s">
        <v>99</v>
      </c>
      <c r="J61" s="5" t="n">
        <f aca="false">IFERROR(ROUND(L61*SUMIFS('07_시간 근거'!$F$2:$F$552,'07_시간 근거'!$A$2:$A$552,$E61,'07_시간 근거'!$E$2:$E$552,"개념 설명")/SUMIF('07_시간 근거'!$A$2:$A$552,$E61,'07_시간 근거'!$F$2:$F$552),0),0)</f>
        <v>4</v>
      </c>
      <c r="K61" s="5" t="n">
        <f aca="false">L61-J61</f>
        <v>14</v>
      </c>
      <c r="L61" s="7" t="n">
        <v>18</v>
      </c>
      <c r="M61" s="2" t="s">
        <v>736</v>
      </c>
    </row>
    <row r="62" customFormat="false" ht="29.85" hidden="false" customHeight="false" outlineLevel="0" collapsed="false">
      <c r="A62" s="15" t="n">
        <v>58</v>
      </c>
      <c r="B62" s="15" t="s">
        <v>281</v>
      </c>
      <c r="C62" s="15" t="s">
        <v>9</v>
      </c>
      <c r="D62" s="14" t="s">
        <v>33</v>
      </c>
      <c r="E62" s="14" t="s">
        <v>340</v>
      </c>
      <c r="F62" s="2" t="s">
        <v>341</v>
      </c>
      <c r="G62" s="3" t="s">
        <v>342</v>
      </c>
      <c r="H62" s="2" t="s">
        <v>327</v>
      </c>
      <c r="I62" s="2" t="s">
        <v>99</v>
      </c>
      <c r="J62" s="5" t="n">
        <f aca="false">IFERROR(ROUND(L62*SUMIFS('07_시간 근거'!$F$2:$F$552,'07_시간 근거'!$A$2:$A$552,$E62,'07_시간 근거'!$E$2:$E$552,"개념 설명")/SUMIF('07_시간 근거'!$A$2:$A$552,$E62,'07_시간 근거'!$F$2:$F$552),0),0)</f>
        <v>2</v>
      </c>
      <c r="K62" s="5" t="n">
        <f aca="false">L62-J62</f>
        <v>4</v>
      </c>
      <c r="L62" s="7" t="n">
        <v>6</v>
      </c>
      <c r="M62" s="2" t="s">
        <v>737</v>
      </c>
    </row>
    <row r="63" customFormat="false" ht="58.2" hidden="false" customHeight="false" outlineLevel="0" collapsed="false">
      <c r="A63" s="15" t="n">
        <v>59</v>
      </c>
      <c r="B63" s="15" t="s">
        <v>281</v>
      </c>
      <c r="C63" s="15" t="s">
        <v>9</v>
      </c>
      <c r="D63" s="14" t="s">
        <v>184</v>
      </c>
      <c r="E63" s="14" t="s">
        <v>343</v>
      </c>
      <c r="F63" s="2" t="s">
        <v>344</v>
      </c>
      <c r="G63" s="3" t="s">
        <v>345</v>
      </c>
      <c r="H63" s="2" t="s">
        <v>346</v>
      </c>
      <c r="I63" s="2" t="s">
        <v>99</v>
      </c>
      <c r="J63" s="5" t="n">
        <f aca="false">IFERROR(ROUND(L63*SUMIFS('07_시간 근거'!$F$2:$F$552,'07_시간 근거'!$A$2:$A$552,$E63,'07_시간 근거'!$E$2:$E$552,"개념 설명")/SUMIF('07_시간 근거'!$A$2:$A$552,$E63,'07_시간 근거'!$F$2:$F$552),0),0)</f>
        <v>1</v>
      </c>
      <c r="K63" s="5" t="n">
        <f aca="false">L63-J63</f>
        <v>10</v>
      </c>
      <c r="L63" s="7" t="n">
        <v>11</v>
      </c>
      <c r="M63" s="2" t="s">
        <v>738</v>
      </c>
    </row>
    <row r="64" customFormat="false" ht="72.35" hidden="false" customHeight="false" outlineLevel="0" collapsed="false">
      <c r="A64" s="15" t="n">
        <v>60</v>
      </c>
      <c r="B64" s="15" t="s">
        <v>281</v>
      </c>
      <c r="C64" s="15" t="s">
        <v>9</v>
      </c>
      <c r="D64" s="14" t="s">
        <v>184</v>
      </c>
      <c r="E64" s="14" t="s">
        <v>348</v>
      </c>
      <c r="F64" s="2" t="s">
        <v>349</v>
      </c>
      <c r="G64" s="3" t="s">
        <v>350</v>
      </c>
      <c r="H64" s="2" t="s">
        <v>338</v>
      </c>
      <c r="I64" s="2" t="s">
        <v>99</v>
      </c>
      <c r="J64" s="5" t="n">
        <f aca="false">IFERROR(ROUND(L64*SUMIFS('07_시간 근거'!$F$2:$F$552,'07_시간 근거'!$A$2:$A$552,$E64,'07_시간 근거'!$E$2:$E$552,"개념 설명")/SUMIF('07_시간 근거'!$A$2:$A$552,$E64,'07_시간 근거'!$F$2:$F$552),0),0)</f>
        <v>3</v>
      </c>
      <c r="K64" s="5" t="n">
        <f aca="false">L64-J64</f>
        <v>13</v>
      </c>
      <c r="L64" s="7" t="n">
        <v>16</v>
      </c>
      <c r="M64" s="2" t="s">
        <v>739</v>
      </c>
    </row>
    <row r="65" customFormat="false" ht="29.85" hidden="false" customHeight="false" outlineLevel="0" collapsed="false">
      <c r="A65" s="15" t="n">
        <v>61</v>
      </c>
      <c r="B65" s="15" t="s">
        <v>281</v>
      </c>
      <c r="C65" s="15" t="s">
        <v>9</v>
      </c>
      <c r="D65" s="14" t="s">
        <v>184</v>
      </c>
      <c r="E65" s="14" t="s">
        <v>352</v>
      </c>
      <c r="F65" s="2" t="s">
        <v>353</v>
      </c>
      <c r="G65" s="3" t="s">
        <v>354</v>
      </c>
      <c r="H65" s="2" t="s">
        <v>355</v>
      </c>
      <c r="I65" s="2" t="s">
        <v>99</v>
      </c>
      <c r="J65" s="5" t="n">
        <f aca="false">IFERROR(ROUND(L65*SUMIFS('07_시간 근거'!$F$2:$F$552,'07_시간 근거'!$A$2:$A$552,$E65,'07_시간 근거'!$E$2:$E$552,"개념 설명")/SUMIF('07_시간 근거'!$A$2:$A$552,$E65,'07_시간 근거'!$F$2:$F$552),0),0)</f>
        <v>0</v>
      </c>
      <c r="K65" s="5" t="n">
        <f aca="false">L65-J65</f>
        <v>3</v>
      </c>
      <c r="L65" s="7" t="n">
        <v>3</v>
      </c>
      <c r="M65" s="2" t="s">
        <v>740</v>
      </c>
    </row>
    <row r="66" customFormat="false" ht="44" hidden="false" customHeight="false" outlineLevel="0" collapsed="false">
      <c r="A66" s="15" t="n">
        <v>62</v>
      </c>
      <c r="B66" s="15" t="s">
        <v>281</v>
      </c>
      <c r="C66" s="15" t="s">
        <v>9</v>
      </c>
      <c r="D66" s="14" t="s">
        <v>200</v>
      </c>
      <c r="E66" s="14" t="s">
        <v>356</v>
      </c>
      <c r="F66" s="2" t="s">
        <v>357</v>
      </c>
      <c r="G66" s="3" t="s">
        <v>358</v>
      </c>
      <c r="H66" s="2" t="s">
        <v>359</v>
      </c>
      <c r="I66" s="2" t="s">
        <v>99</v>
      </c>
      <c r="J66" s="5" t="n">
        <f aca="false">IFERROR(ROUND(L66*SUMIFS('07_시간 근거'!$F$2:$F$552,'07_시간 근거'!$A$2:$A$552,$E66,'07_시간 근거'!$E$2:$E$552,"개념 설명")/SUMIF('07_시간 근거'!$A$2:$A$552,$E66,'07_시간 근거'!$F$2:$F$552),0),0)</f>
        <v>1</v>
      </c>
      <c r="K66" s="5" t="n">
        <f aca="false">L66-J66</f>
        <v>9</v>
      </c>
      <c r="L66" s="7" t="n">
        <v>10</v>
      </c>
      <c r="M66" s="2" t="s">
        <v>741</v>
      </c>
    </row>
    <row r="67" customFormat="false" ht="55.2" hidden="false" customHeight="false" outlineLevel="0" collapsed="false">
      <c r="A67" s="15" t="n">
        <v>63</v>
      </c>
      <c r="B67" s="15" t="s">
        <v>281</v>
      </c>
      <c r="C67" s="15" t="s">
        <v>9</v>
      </c>
      <c r="D67" s="14" t="s">
        <v>200</v>
      </c>
      <c r="E67" s="14" t="s">
        <v>361</v>
      </c>
      <c r="F67" s="2" t="s">
        <v>362</v>
      </c>
      <c r="G67" s="3" t="s">
        <v>363</v>
      </c>
      <c r="H67" s="2" t="s">
        <v>338</v>
      </c>
      <c r="I67" s="2" t="s">
        <v>99</v>
      </c>
      <c r="J67" s="5" t="n">
        <f aca="false">IFERROR(ROUND(L67*SUMIFS('07_시간 근거'!$F$2:$F$552,'07_시간 근거'!$A$2:$A$552,$E67,'07_시간 근거'!$E$2:$E$552,"개념 설명")/SUMIF('07_시간 근거'!$A$2:$A$552,$E67,'07_시간 근거'!$F$2:$F$552),0),0)</f>
        <v>2</v>
      </c>
      <c r="K67" s="5" t="n">
        <f aca="false">L67-J67</f>
        <v>12</v>
      </c>
      <c r="L67" s="7" t="n">
        <v>14</v>
      </c>
      <c r="M67" s="2" t="s">
        <v>742</v>
      </c>
    </row>
    <row r="68" customFormat="false" ht="29.85" hidden="false" customHeight="false" outlineLevel="0" collapsed="false">
      <c r="A68" s="15" t="n">
        <v>64</v>
      </c>
      <c r="B68" s="15" t="s">
        <v>281</v>
      </c>
      <c r="C68" s="15" t="s">
        <v>9</v>
      </c>
      <c r="D68" s="14" t="s">
        <v>200</v>
      </c>
      <c r="E68" s="14" t="s">
        <v>365</v>
      </c>
      <c r="F68" s="2" t="s">
        <v>366</v>
      </c>
      <c r="G68" s="3" t="s">
        <v>367</v>
      </c>
      <c r="H68" s="2" t="s">
        <v>355</v>
      </c>
      <c r="I68" s="2" t="s">
        <v>99</v>
      </c>
      <c r="J68" s="5" t="n">
        <f aca="false">IFERROR(ROUND(L68*SUMIFS('07_시간 근거'!$F$2:$F$552,'07_시간 근거'!$A$2:$A$552,$E68,'07_시간 근거'!$E$2:$E$552,"개념 설명")/SUMIF('07_시간 근거'!$A$2:$A$552,$E68,'07_시간 근거'!$F$2:$F$552),0),0)</f>
        <v>0</v>
      </c>
      <c r="K68" s="5" t="n">
        <f aca="false">L68-J68</f>
        <v>3</v>
      </c>
      <c r="L68" s="7" t="n">
        <v>3</v>
      </c>
      <c r="M68" s="2" t="s">
        <v>743</v>
      </c>
    </row>
    <row r="69" customFormat="false" ht="29.85" hidden="false" customHeight="false" outlineLevel="0" collapsed="false">
      <c r="A69" s="15" t="n">
        <v>65</v>
      </c>
      <c r="B69" s="15" t="s">
        <v>281</v>
      </c>
      <c r="C69" s="15" t="s">
        <v>9</v>
      </c>
      <c r="D69" s="15" t="s">
        <v>215</v>
      </c>
      <c r="E69" s="14" t="s">
        <v>368</v>
      </c>
      <c r="F69" s="2" t="s">
        <v>369</v>
      </c>
      <c r="G69" s="3" t="s">
        <v>370</v>
      </c>
      <c r="H69" s="2" t="s">
        <v>371</v>
      </c>
      <c r="I69" s="2" t="s">
        <v>99</v>
      </c>
      <c r="J69" s="5" t="n">
        <f aca="false">IFERROR(ROUND(L69*SUMIFS('07_시간 근거'!$F$2:$F$552,'07_시간 근거'!$A$2:$A$552,$E69,'07_시간 근거'!$E$2:$E$552,"개념 설명")/SUMIF('07_시간 근거'!$A$2:$A$552,$E69,'07_시간 근거'!$F$2:$F$552),0),0)</f>
        <v>2</v>
      </c>
      <c r="K69" s="5" t="n">
        <f aca="false">L69-J69</f>
        <v>3</v>
      </c>
      <c r="L69" s="7" t="n">
        <v>5</v>
      </c>
      <c r="M69" s="2" t="s">
        <v>744</v>
      </c>
    </row>
    <row r="70" customFormat="false" ht="44" hidden="false" customHeight="false" outlineLevel="0" collapsed="false">
      <c r="A70" s="17" t="n">
        <v>66</v>
      </c>
      <c r="B70" s="17" t="s">
        <v>281</v>
      </c>
      <c r="C70" s="17" t="s">
        <v>11</v>
      </c>
      <c r="D70" s="17"/>
      <c r="E70" s="16" t="s">
        <v>372</v>
      </c>
      <c r="F70" s="2" t="s">
        <v>373</v>
      </c>
      <c r="G70" s="2" t="s">
        <v>374</v>
      </c>
      <c r="H70" s="2" t="s">
        <v>375</v>
      </c>
      <c r="I70" s="2" t="s">
        <v>224</v>
      </c>
      <c r="J70" s="5" t="n">
        <f aca="false">IFERROR(ROUND(L70*SUMIFS('07_시간 근거'!$F$2:$F$552,'07_시간 근거'!$A$2:$A$552,$E70,'07_시간 근거'!$E$2:$E$552,"개념 설명")/SUMIF('07_시간 근거'!$A$2:$A$552,$E70,'07_시간 근거'!$F$2:$F$552),0),0)</f>
        <v>6</v>
      </c>
      <c r="K70" s="5" t="n">
        <f aca="false">L70-J70</f>
        <v>27</v>
      </c>
      <c r="L70" s="7" t="n">
        <v>33</v>
      </c>
      <c r="M70" s="2" t="s">
        <v>745</v>
      </c>
    </row>
    <row r="71" customFormat="false" ht="29.85" hidden="false" customHeight="false" outlineLevel="0" collapsed="false">
      <c r="A71" s="17" t="n">
        <v>67</v>
      </c>
      <c r="B71" s="17" t="s">
        <v>281</v>
      </c>
      <c r="C71" s="17" t="s">
        <v>11</v>
      </c>
      <c r="D71" s="17"/>
      <c r="E71" s="16" t="s">
        <v>377</v>
      </c>
      <c r="F71" s="2" t="s">
        <v>378</v>
      </c>
      <c r="G71" s="2" t="s">
        <v>379</v>
      </c>
      <c r="H71" s="2" t="s">
        <v>380</v>
      </c>
      <c r="I71" s="2" t="s">
        <v>224</v>
      </c>
      <c r="J71" s="5" t="n">
        <f aca="false">IFERROR(ROUND(L71*SUMIFS('07_시간 근거'!$F$2:$F$552,'07_시간 근거'!$A$2:$A$552,$E71,'07_시간 근거'!$E$2:$E$552,"개념 설명")/SUMIF('07_시간 근거'!$A$2:$A$552,$E71,'07_시간 근거'!$F$2:$F$552),0),0)</f>
        <v>6</v>
      </c>
      <c r="K71" s="5" t="n">
        <f aca="false">L71-J71</f>
        <v>22</v>
      </c>
      <c r="L71" s="7" t="n">
        <v>28</v>
      </c>
      <c r="M71" s="2" t="s">
        <v>746</v>
      </c>
    </row>
    <row r="72" customFormat="false" ht="44" hidden="false" customHeight="false" outlineLevel="0" collapsed="false">
      <c r="A72" s="17" t="n">
        <v>68</v>
      </c>
      <c r="B72" s="17" t="s">
        <v>281</v>
      </c>
      <c r="C72" s="17" t="s">
        <v>11</v>
      </c>
      <c r="D72" s="17"/>
      <c r="E72" s="16" t="s">
        <v>382</v>
      </c>
      <c r="F72" s="2" t="s">
        <v>383</v>
      </c>
      <c r="G72" s="2" t="s">
        <v>384</v>
      </c>
      <c r="H72" s="2" t="s">
        <v>385</v>
      </c>
      <c r="I72" s="2" t="s">
        <v>224</v>
      </c>
      <c r="J72" s="5" t="n">
        <f aca="false">IFERROR(ROUND(L72*SUMIFS('07_시간 근거'!$F$2:$F$552,'07_시간 근거'!$A$2:$A$552,$E72,'07_시간 근거'!$E$2:$E$552,"개념 설명")/SUMIF('07_시간 근거'!$A$2:$A$552,$E72,'07_시간 근거'!$F$2:$F$552),0),0)</f>
        <v>6</v>
      </c>
      <c r="K72" s="5" t="n">
        <f aca="false">L72-J72</f>
        <v>27</v>
      </c>
      <c r="L72" s="7" t="n">
        <v>33</v>
      </c>
      <c r="M72" s="2" t="s">
        <v>747</v>
      </c>
    </row>
    <row r="73" customFormat="false" ht="58.2" hidden="false" customHeight="false" outlineLevel="0" collapsed="false">
      <c r="A73" s="17" t="n">
        <v>69</v>
      </c>
      <c r="B73" s="17" t="s">
        <v>281</v>
      </c>
      <c r="C73" s="17" t="s">
        <v>11</v>
      </c>
      <c r="D73" s="17"/>
      <c r="E73" s="16" t="s">
        <v>387</v>
      </c>
      <c r="F73" s="2" t="s">
        <v>388</v>
      </c>
      <c r="G73" s="2" t="s">
        <v>389</v>
      </c>
      <c r="H73" s="2" t="s">
        <v>390</v>
      </c>
      <c r="I73" s="2" t="s">
        <v>224</v>
      </c>
      <c r="J73" s="5" t="n">
        <f aca="false">IFERROR(ROUND(L73*SUMIFS('07_시간 근거'!$F$2:$F$552,'07_시간 근거'!$A$2:$A$552,$E73,'07_시간 근거'!$E$2:$E$552,"개념 설명")/SUMIF('07_시간 근거'!$A$2:$A$552,$E73,'07_시간 근거'!$F$2:$F$552),0),0)</f>
        <v>6</v>
      </c>
      <c r="K73" s="5" t="n">
        <f aca="false">L73-J73</f>
        <v>29</v>
      </c>
      <c r="L73" s="7" t="n">
        <v>35</v>
      </c>
      <c r="M73" s="2" t="s">
        <v>748</v>
      </c>
    </row>
    <row r="74" customFormat="false" ht="29.85" hidden="false" customHeight="false" outlineLevel="0" collapsed="false">
      <c r="A74" s="17" t="n">
        <v>70</v>
      </c>
      <c r="B74" s="17" t="s">
        <v>281</v>
      </c>
      <c r="C74" s="17" t="s">
        <v>11</v>
      </c>
      <c r="D74" s="17"/>
      <c r="E74" s="16" t="s">
        <v>392</v>
      </c>
      <c r="F74" s="2" t="s">
        <v>393</v>
      </c>
      <c r="G74" s="2" t="s">
        <v>394</v>
      </c>
      <c r="H74" s="2" t="s">
        <v>395</v>
      </c>
      <c r="I74" s="2" t="s">
        <v>224</v>
      </c>
      <c r="J74" s="5" t="n">
        <f aca="false">IFERROR(ROUND(L74*SUMIFS('07_시간 근거'!$F$2:$F$552,'07_시간 근거'!$A$2:$A$552,$E74,'07_시간 근거'!$E$2:$E$552,"개념 설명")/SUMIF('07_시간 근거'!$A$2:$A$552,$E74,'07_시간 근거'!$F$2:$F$552),0),0)</f>
        <v>6</v>
      </c>
      <c r="K74" s="5" t="n">
        <f aca="false">L74-J74</f>
        <v>22</v>
      </c>
      <c r="L74" s="7" t="n">
        <v>28</v>
      </c>
      <c r="M74" s="2" t="s">
        <v>749</v>
      </c>
    </row>
    <row r="75" customFormat="false" ht="44" hidden="false" customHeight="false" outlineLevel="0" collapsed="false">
      <c r="A75" s="17" t="n">
        <v>71</v>
      </c>
      <c r="B75" s="17" t="s">
        <v>281</v>
      </c>
      <c r="C75" s="17" t="s">
        <v>11</v>
      </c>
      <c r="D75" s="17"/>
      <c r="E75" s="16" t="s">
        <v>397</v>
      </c>
      <c r="F75" s="2" t="s">
        <v>398</v>
      </c>
      <c r="G75" s="2" t="s">
        <v>399</v>
      </c>
      <c r="H75" s="2" t="s">
        <v>400</v>
      </c>
      <c r="I75" s="2" t="s">
        <v>224</v>
      </c>
      <c r="J75" s="5" t="n">
        <f aca="false">IFERROR(ROUND(L75*SUMIFS('07_시간 근거'!$F$2:$F$552,'07_시간 근거'!$A$2:$A$552,$E75,'07_시간 근거'!$E$2:$E$552,"개념 설명")/SUMIF('07_시간 근거'!$A$2:$A$552,$E75,'07_시간 근거'!$F$2:$F$552),0),0)</f>
        <v>7</v>
      </c>
      <c r="K75" s="5" t="n">
        <f aca="false">L75-J75</f>
        <v>23</v>
      </c>
      <c r="L75" s="7" t="n">
        <v>30</v>
      </c>
      <c r="M75" s="2" t="s">
        <v>750</v>
      </c>
    </row>
    <row r="76" customFormat="false" ht="29.85" hidden="false" customHeight="false" outlineLevel="0" collapsed="false">
      <c r="A76" s="17" t="n">
        <v>72</v>
      </c>
      <c r="B76" s="17" t="s">
        <v>281</v>
      </c>
      <c r="C76" s="17" t="s">
        <v>11</v>
      </c>
      <c r="D76" s="17"/>
      <c r="E76" s="16" t="s">
        <v>402</v>
      </c>
      <c r="F76" s="2" t="s">
        <v>403</v>
      </c>
      <c r="G76" s="2" t="s">
        <v>404</v>
      </c>
      <c r="H76" s="2" t="s">
        <v>405</v>
      </c>
      <c r="I76" s="2" t="s">
        <v>224</v>
      </c>
      <c r="J76" s="5" t="n">
        <f aca="false">IFERROR(ROUND(L76*SUMIFS('07_시간 근거'!$F$2:$F$552,'07_시간 근거'!$A$2:$A$552,$E76,'07_시간 근거'!$E$2:$E$552,"개념 설명")/SUMIF('07_시간 근거'!$A$2:$A$552,$E76,'07_시간 근거'!$F$2:$F$552),0),0)</f>
        <v>6</v>
      </c>
      <c r="K76" s="5" t="n">
        <f aca="false">L76-J76</f>
        <v>22</v>
      </c>
      <c r="L76" s="7" t="n">
        <v>28</v>
      </c>
      <c r="M76" s="2" t="s">
        <v>751</v>
      </c>
    </row>
    <row r="77" customFormat="false" ht="29.85" hidden="false" customHeight="false" outlineLevel="0" collapsed="false">
      <c r="A77" s="17" t="n">
        <v>73</v>
      </c>
      <c r="B77" s="17" t="s">
        <v>281</v>
      </c>
      <c r="C77" s="17" t="s">
        <v>11</v>
      </c>
      <c r="D77" s="17"/>
      <c r="E77" s="16" t="s">
        <v>407</v>
      </c>
      <c r="F77" s="2" t="s">
        <v>408</v>
      </c>
      <c r="G77" s="2" t="s">
        <v>409</v>
      </c>
      <c r="H77" s="2" t="s">
        <v>410</v>
      </c>
      <c r="I77" s="2" t="s">
        <v>224</v>
      </c>
      <c r="J77" s="5" t="n">
        <f aca="false">IFERROR(ROUND(L77*SUMIFS('07_시간 근거'!$F$2:$F$552,'07_시간 근거'!$A$2:$A$552,$E77,'07_시간 근거'!$E$2:$E$552,"개념 설명")/SUMIF('07_시간 근거'!$A$2:$A$552,$E77,'07_시간 근거'!$F$2:$F$552),0),0)</f>
        <v>6</v>
      </c>
      <c r="K77" s="5" t="n">
        <f aca="false">L77-J77</f>
        <v>26</v>
      </c>
      <c r="L77" s="7" t="n">
        <v>32</v>
      </c>
      <c r="M77" s="2" t="s">
        <v>752</v>
      </c>
    </row>
    <row r="78" customFormat="false" ht="29.85" hidden="false" customHeight="false" outlineLevel="0" collapsed="false">
      <c r="A78" s="17" t="n">
        <v>74</v>
      </c>
      <c r="B78" s="17" t="s">
        <v>281</v>
      </c>
      <c r="C78" s="17" t="s">
        <v>11</v>
      </c>
      <c r="D78" s="17"/>
      <c r="E78" s="16" t="s">
        <v>412</v>
      </c>
      <c r="F78" s="2" t="s">
        <v>413</v>
      </c>
      <c r="G78" s="2" t="s">
        <v>414</v>
      </c>
      <c r="H78" s="2" t="s">
        <v>69</v>
      </c>
      <c r="I78" s="2" t="s">
        <v>280</v>
      </c>
      <c r="J78" s="5" t="n">
        <f aca="false">IFERROR(ROUND(L78*SUMIFS('07_시간 근거'!$F$2:$F$552,'07_시간 근거'!$A$2:$A$552,$E78,'07_시간 근거'!$E$2:$E$552,"개념 설명")/SUMIF('07_시간 근거'!$A$2:$A$552,$E78,'07_시간 근거'!$F$2:$F$552),0),0)</f>
        <v>4</v>
      </c>
      <c r="K78" s="5" t="n">
        <f aca="false">L78-J78</f>
        <v>2</v>
      </c>
      <c r="L78" s="7" t="n">
        <v>6</v>
      </c>
      <c r="M78" s="2" t="s">
        <v>725</v>
      </c>
    </row>
    <row r="79" customFormat="false" ht="15" hidden="false" customHeight="false" outlineLevel="0" collapsed="false">
      <c r="A79" s="9" t="str">
        <f aca="false">"4. BPMN — 제안이 한 번 승인되고, 실행되고, 자동 확인되어야 일이 닫힌다  ("&amp;SUM(L80:L103)&amp;"분)"</f>
        <v>4. BPMN — 제안이 한 번 승인되고, 실행되고, 자동 확인되어야 일이 닫힌다  (420분)</v>
      </c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</row>
    <row r="80" customFormat="false" ht="58.2" hidden="false" customHeight="false" outlineLevel="0" collapsed="false">
      <c r="A80" s="13" t="n">
        <v>75</v>
      </c>
      <c r="B80" s="12" t="s">
        <v>415</v>
      </c>
      <c r="C80" s="13" t="s">
        <v>7</v>
      </c>
      <c r="D80" s="13"/>
      <c r="E80" s="12" t="s">
        <v>416</v>
      </c>
      <c r="F80" s="2" t="s">
        <v>417</v>
      </c>
      <c r="G80" s="2" t="s">
        <v>418</v>
      </c>
      <c r="H80" s="2" t="s">
        <v>419</v>
      </c>
      <c r="I80" s="2" t="s">
        <v>70</v>
      </c>
      <c r="J80" s="5" t="n">
        <f aca="false">IFERROR(ROUND(L80*SUMIFS('07_시간 근거'!$F$2:$F$552,'07_시간 근거'!$A$2:$A$552,$E80,'07_시간 근거'!$E$2:$E$552,"개념 설명")/SUMIF('07_시간 근거'!$A$2:$A$552,$E80,'07_시간 근거'!$F$2:$F$552),0),0)</f>
        <v>16</v>
      </c>
      <c r="K80" s="5" t="n">
        <f aca="false">L80-J80</f>
        <v>0</v>
      </c>
      <c r="L80" s="7" t="n">
        <v>16</v>
      </c>
      <c r="M80" s="2" t="s">
        <v>753</v>
      </c>
    </row>
    <row r="81" customFormat="false" ht="44" hidden="false" customHeight="false" outlineLevel="0" collapsed="false">
      <c r="A81" s="13" t="n">
        <v>76</v>
      </c>
      <c r="B81" s="12" t="s">
        <v>415</v>
      </c>
      <c r="C81" s="13" t="s">
        <v>7</v>
      </c>
      <c r="D81" s="13"/>
      <c r="E81" s="12" t="s">
        <v>420</v>
      </c>
      <c r="F81" s="2" t="s">
        <v>421</v>
      </c>
      <c r="G81" s="2" t="s">
        <v>422</v>
      </c>
      <c r="H81" s="3" t="s">
        <v>423</v>
      </c>
      <c r="I81" s="2" t="s">
        <v>424</v>
      </c>
      <c r="J81" s="5" t="n">
        <f aca="false">IFERROR(ROUND(L81*SUMIFS('07_시간 근거'!$F$2:$F$552,'07_시간 근거'!$A$2:$A$552,$E81,'07_시간 근거'!$E$2:$E$552,"개념 설명")/SUMIF('07_시간 근거'!$A$2:$A$552,$E81,'07_시간 근거'!$F$2:$F$552),0),0)</f>
        <v>0</v>
      </c>
      <c r="K81" s="5" t="n">
        <f aca="false">L81-J81</f>
        <v>7</v>
      </c>
      <c r="L81" s="7" t="n">
        <v>7</v>
      </c>
      <c r="M81" s="2" t="s">
        <v>754</v>
      </c>
    </row>
    <row r="82" customFormat="false" ht="72.35" hidden="false" customHeight="false" outlineLevel="0" collapsed="false">
      <c r="A82" s="13" t="n">
        <v>77</v>
      </c>
      <c r="B82" s="12" t="s">
        <v>415</v>
      </c>
      <c r="C82" s="13" t="s">
        <v>7</v>
      </c>
      <c r="D82" s="13"/>
      <c r="E82" s="12" t="s">
        <v>425</v>
      </c>
      <c r="F82" s="2" t="s">
        <v>426</v>
      </c>
      <c r="G82" s="2" t="s">
        <v>427</v>
      </c>
      <c r="H82" s="2" t="s">
        <v>428</v>
      </c>
      <c r="I82" s="2" t="s">
        <v>429</v>
      </c>
      <c r="J82" s="5" t="n">
        <f aca="false">IFERROR(ROUND(L82*SUMIFS('07_시간 근거'!$F$2:$F$552,'07_시간 근거'!$A$2:$A$552,$E82,'07_시간 근거'!$E$2:$E$552,"개념 설명")/SUMIF('07_시간 근거'!$A$2:$A$552,$E82,'07_시간 근거'!$F$2:$F$552),0),0)</f>
        <v>13</v>
      </c>
      <c r="K82" s="5" t="n">
        <f aca="false">L82-J82</f>
        <v>10</v>
      </c>
      <c r="L82" s="7" t="n">
        <v>23</v>
      </c>
      <c r="M82" s="2" t="s">
        <v>755</v>
      </c>
    </row>
    <row r="83" customFormat="false" ht="58.2" hidden="false" customHeight="false" outlineLevel="0" collapsed="false">
      <c r="A83" s="13" t="n">
        <v>78</v>
      </c>
      <c r="B83" s="12" t="s">
        <v>415</v>
      </c>
      <c r="C83" s="13" t="s">
        <v>7</v>
      </c>
      <c r="D83" s="13"/>
      <c r="E83" s="12" t="s">
        <v>430</v>
      </c>
      <c r="F83" s="2" t="s">
        <v>431</v>
      </c>
      <c r="G83" s="2" t="s">
        <v>432</v>
      </c>
      <c r="H83" s="2" t="s">
        <v>433</v>
      </c>
      <c r="I83" s="2" t="s">
        <v>70</v>
      </c>
      <c r="J83" s="5" t="n">
        <f aca="false">IFERROR(ROUND(L83*SUMIFS('07_시간 근거'!$F$2:$F$552,'07_시간 근거'!$A$2:$A$552,$E83,'07_시간 근거'!$E$2:$E$552,"개념 설명")/SUMIF('07_시간 근거'!$A$2:$A$552,$E83,'07_시간 근거'!$F$2:$F$552),0),0)</f>
        <v>6</v>
      </c>
      <c r="K83" s="5" t="n">
        <f aca="false">L83-J83</f>
        <v>0</v>
      </c>
      <c r="L83" s="7" t="n">
        <v>6</v>
      </c>
      <c r="M83" s="2" t="s">
        <v>731</v>
      </c>
    </row>
    <row r="84" customFormat="false" ht="72.35" hidden="false" customHeight="false" outlineLevel="0" collapsed="false">
      <c r="A84" s="13" t="n">
        <v>79</v>
      </c>
      <c r="B84" s="12" t="s">
        <v>415</v>
      </c>
      <c r="C84" s="13" t="s">
        <v>7</v>
      </c>
      <c r="D84" s="13"/>
      <c r="E84" s="12" t="s">
        <v>434</v>
      </c>
      <c r="F84" s="3" t="s">
        <v>435</v>
      </c>
      <c r="G84" s="2" t="s">
        <v>436</v>
      </c>
      <c r="H84" s="2" t="s">
        <v>437</v>
      </c>
      <c r="I84" s="2" t="s">
        <v>290</v>
      </c>
      <c r="J84" s="5" t="n">
        <f aca="false">IFERROR(ROUND(L84*SUMIFS('07_시간 근거'!$F$2:$F$552,'07_시간 근거'!$A$2:$A$552,$E84,'07_시간 근거'!$E$2:$E$552,"개념 설명")/SUMIF('07_시간 근거'!$A$2:$A$552,$E84,'07_시간 근거'!$F$2:$F$552),0),0)</f>
        <v>15</v>
      </c>
      <c r="K84" s="5" t="n">
        <f aca="false">L84-J84</f>
        <v>8</v>
      </c>
      <c r="L84" s="7" t="n">
        <v>23</v>
      </c>
      <c r="M84" s="2" t="s">
        <v>756</v>
      </c>
    </row>
    <row r="85" customFormat="false" ht="72.35" hidden="false" customHeight="false" outlineLevel="0" collapsed="false">
      <c r="A85" s="13" t="n">
        <v>80</v>
      </c>
      <c r="B85" s="12" t="s">
        <v>415</v>
      </c>
      <c r="C85" s="13" t="s">
        <v>7</v>
      </c>
      <c r="D85" s="13"/>
      <c r="E85" s="12" t="s">
        <v>438</v>
      </c>
      <c r="F85" s="2" t="s">
        <v>439</v>
      </c>
      <c r="G85" s="2" t="s">
        <v>440</v>
      </c>
      <c r="H85" s="2" t="s">
        <v>441</v>
      </c>
      <c r="I85" s="2" t="s">
        <v>442</v>
      </c>
      <c r="J85" s="5" t="n">
        <f aca="false">IFERROR(ROUND(L85*SUMIFS('07_시간 근거'!$F$2:$F$552,'07_시간 근거'!$A$2:$A$552,$E85,'07_시간 근거'!$E$2:$E$552,"개념 설명")/SUMIF('07_시간 근거'!$A$2:$A$552,$E85,'07_시간 근거'!$F$2:$F$552),0),0)</f>
        <v>11</v>
      </c>
      <c r="K85" s="5" t="n">
        <f aca="false">L85-J85</f>
        <v>4</v>
      </c>
      <c r="L85" s="7" t="n">
        <v>15</v>
      </c>
      <c r="M85" s="2" t="s">
        <v>757</v>
      </c>
    </row>
    <row r="86" customFormat="false" ht="69.4" hidden="false" customHeight="false" outlineLevel="0" collapsed="false">
      <c r="A86" s="13" t="n">
        <v>81</v>
      </c>
      <c r="B86" s="12" t="s">
        <v>415</v>
      </c>
      <c r="C86" s="13" t="s">
        <v>7</v>
      </c>
      <c r="D86" s="13"/>
      <c r="E86" s="12" t="s">
        <v>443</v>
      </c>
      <c r="F86" s="2" t="s">
        <v>444</v>
      </c>
      <c r="G86" s="2" t="s">
        <v>445</v>
      </c>
      <c r="H86" s="2" t="s">
        <v>446</v>
      </c>
      <c r="I86" s="2" t="s">
        <v>70</v>
      </c>
      <c r="J86" s="5" t="n">
        <f aca="false">IFERROR(ROUND(L86*SUMIFS('07_시간 근거'!$F$2:$F$552,'07_시간 근거'!$A$2:$A$552,$E86,'07_시간 근거'!$E$2:$E$552,"개념 설명")/SUMIF('07_시간 근거'!$A$2:$A$552,$E86,'07_시간 근거'!$F$2:$F$552),0),0)</f>
        <v>13</v>
      </c>
      <c r="K86" s="5" t="n">
        <f aca="false">L86-J86</f>
        <v>0</v>
      </c>
      <c r="L86" s="7" t="n">
        <v>13</v>
      </c>
      <c r="M86" s="2" t="s">
        <v>753</v>
      </c>
    </row>
    <row r="87" customFormat="false" ht="41" hidden="false" customHeight="false" outlineLevel="0" collapsed="false">
      <c r="A87" s="13" t="n">
        <v>82</v>
      </c>
      <c r="B87" s="12" t="s">
        <v>415</v>
      </c>
      <c r="C87" s="13" t="s">
        <v>7</v>
      </c>
      <c r="D87" s="13"/>
      <c r="E87" s="12" t="s">
        <v>447</v>
      </c>
      <c r="F87" s="2" t="s">
        <v>448</v>
      </c>
      <c r="G87" s="2" t="s">
        <v>449</v>
      </c>
      <c r="H87" s="2" t="s">
        <v>450</v>
      </c>
      <c r="I87" s="2" t="s">
        <v>70</v>
      </c>
      <c r="J87" s="5" t="n">
        <f aca="false">IFERROR(ROUND(L87*SUMIFS('07_시간 근거'!$F$2:$F$552,'07_시간 근거'!$A$2:$A$552,$E87,'07_시간 근거'!$E$2:$E$552,"개념 설명")/SUMIF('07_시간 근거'!$A$2:$A$552,$E87,'07_시간 근거'!$F$2:$F$552),0),0)</f>
        <v>10</v>
      </c>
      <c r="K87" s="5" t="n">
        <f aca="false">L87-J87</f>
        <v>0</v>
      </c>
      <c r="L87" s="7" t="n">
        <v>10</v>
      </c>
      <c r="M87" s="2" t="s">
        <v>731</v>
      </c>
    </row>
    <row r="88" customFormat="false" ht="44" hidden="false" customHeight="false" outlineLevel="0" collapsed="false">
      <c r="A88" s="13" t="n">
        <v>83</v>
      </c>
      <c r="B88" s="12" t="s">
        <v>415</v>
      </c>
      <c r="C88" s="13" t="s">
        <v>7</v>
      </c>
      <c r="D88" s="13"/>
      <c r="E88" s="12" t="s">
        <v>451</v>
      </c>
      <c r="F88" s="2" t="s">
        <v>452</v>
      </c>
      <c r="G88" s="2" t="s">
        <v>453</v>
      </c>
      <c r="H88" s="2" t="s">
        <v>454</v>
      </c>
      <c r="I88" s="2" t="s">
        <v>89</v>
      </c>
      <c r="J88" s="5" t="n">
        <f aca="false">IFERROR(ROUND(L88*SUMIFS('07_시간 근거'!$F$2:$F$552,'07_시간 근거'!$A$2:$A$552,$E88,'07_시간 근거'!$E$2:$E$552,"개념 설명")/SUMIF('07_시간 근거'!$A$2:$A$552,$E88,'07_시간 근거'!$F$2:$F$552),0),0)</f>
        <v>6</v>
      </c>
      <c r="K88" s="5" t="n">
        <f aca="false">L88-J88</f>
        <v>6</v>
      </c>
      <c r="L88" s="7" t="n">
        <v>12</v>
      </c>
      <c r="M88" s="2" t="s">
        <v>758</v>
      </c>
    </row>
    <row r="89" customFormat="false" ht="58.2" hidden="false" customHeight="false" outlineLevel="0" collapsed="false">
      <c r="A89" s="15" t="n">
        <v>84</v>
      </c>
      <c r="B89" s="14" t="s">
        <v>415</v>
      </c>
      <c r="C89" s="15" t="s">
        <v>9</v>
      </c>
      <c r="D89" s="15" t="s">
        <v>159</v>
      </c>
      <c r="E89" s="14" t="s">
        <v>459</v>
      </c>
      <c r="F89" s="2" t="s">
        <v>161</v>
      </c>
      <c r="G89" s="2" t="s">
        <v>460</v>
      </c>
      <c r="H89" s="2" t="s">
        <v>163</v>
      </c>
      <c r="I89" s="2" t="s">
        <v>164</v>
      </c>
      <c r="J89" s="5" t="n">
        <f aca="false">IFERROR(ROUND(L89*SUMIFS('07_시간 근거'!$F$2:$F$552,'07_시간 근거'!$A$2:$A$552,$E89,'07_시간 근거'!$E$2:$E$552,"개념 설명")/SUMIF('07_시간 근거'!$A$2:$A$552,$E89,'07_시간 근거'!$F$2:$F$552),0),0)</f>
        <v>6</v>
      </c>
      <c r="K89" s="5" t="n">
        <f aca="false">L89-J89</f>
        <v>0</v>
      </c>
      <c r="L89" s="7" t="n">
        <v>6</v>
      </c>
      <c r="M89" s="2" t="s">
        <v>702</v>
      </c>
    </row>
    <row r="90" customFormat="false" ht="86.55" hidden="false" customHeight="false" outlineLevel="0" collapsed="false">
      <c r="A90" s="15" t="n">
        <v>85</v>
      </c>
      <c r="B90" s="14" t="s">
        <v>415</v>
      </c>
      <c r="C90" s="15" t="s">
        <v>9</v>
      </c>
      <c r="D90" s="14" t="s">
        <v>33</v>
      </c>
      <c r="E90" s="14" t="s">
        <v>461</v>
      </c>
      <c r="F90" s="2" t="s">
        <v>462</v>
      </c>
      <c r="G90" s="3" t="s">
        <v>463</v>
      </c>
      <c r="H90" s="3" t="s">
        <v>464</v>
      </c>
      <c r="I90" s="2" t="s">
        <v>99</v>
      </c>
      <c r="J90" s="5" t="n">
        <f aca="false">IFERROR(ROUND(L90*SUMIFS('07_시간 근거'!$F$2:$F$552,'07_시간 근거'!$A$2:$A$552,$E90,'07_시간 근거'!$E$2:$E$552,"개념 설명")/SUMIF('07_시간 근거'!$A$2:$A$552,$E90,'07_시간 근거'!$F$2:$F$552),0),0)</f>
        <v>4</v>
      </c>
      <c r="K90" s="5" t="n">
        <f aca="false">L90-J90</f>
        <v>15</v>
      </c>
      <c r="L90" s="7" t="n">
        <v>19</v>
      </c>
      <c r="M90" s="2" t="s">
        <v>759</v>
      </c>
    </row>
    <row r="91" customFormat="false" ht="72.35" hidden="false" customHeight="false" outlineLevel="0" collapsed="false">
      <c r="A91" s="15" t="n">
        <v>86</v>
      </c>
      <c r="B91" s="14" t="s">
        <v>415</v>
      </c>
      <c r="C91" s="15" t="s">
        <v>9</v>
      </c>
      <c r="D91" s="14" t="s">
        <v>33</v>
      </c>
      <c r="E91" s="14" t="s">
        <v>465</v>
      </c>
      <c r="F91" s="2" t="s">
        <v>466</v>
      </c>
      <c r="G91" s="3" t="s">
        <v>467</v>
      </c>
      <c r="H91" s="2" t="s">
        <v>468</v>
      </c>
      <c r="I91" s="2" t="s">
        <v>99</v>
      </c>
      <c r="J91" s="5" t="n">
        <f aca="false">IFERROR(ROUND(L91*SUMIFS('07_시간 근거'!$F$2:$F$552,'07_시간 근거'!$A$2:$A$552,$E91,'07_시간 근거'!$E$2:$E$552,"개념 설명")/SUMIF('07_시간 근거'!$A$2:$A$552,$E91,'07_시간 근거'!$F$2:$F$552),0),0)</f>
        <v>5</v>
      </c>
      <c r="K91" s="5" t="n">
        <f aca="false">L91-J91</f>
        <v>20</v>
      </c>
      <c r="L91" s="7" t="n">
        <v>25</v>
      </c>
      <c r="M91" s="2" t="s">
        <v>760</v>
      </c>
    </row>
    <row r="92" customFormat="false" ht="58.2" hidden="false" customHeight="false" outlineLevel="0" collapsed="false">
      <c r="A92" s="15" t="n">
        <v>87</v>
      </c>
      <c r="B92" s="14" t="s">
        <v>415</v>
      </c>
      <c r="C92" s="15" t="s">
        <v>9</v>
      </c>
      <c r="D92" s="14" t="s">
        <v>184</v>
      </c>
      <c r="E92" s="14" t="s">
        <v>470</v>
      </c>
      <c r="F92" s="2" t="s">
        <v>471</v>
      </c>
      <c r="G92" s="3" t="s">
        <v>472</v>
      </c>
      <c r="H92" s="2" t="s">
        <v>473</v>
      </c>
      <c r="I92" s="2" t="s">
        <v>99</v>
      </c>
      <c r="J92" s="5" t="n">
        <f aca="false">IFERROR(ROUND(L92*SUMIFS('07_시간 근거'!$F$2:$F$552,'07_시간 근거'!$A$2:$A$552,$E92,'07_시간 근거'!$E$2:$E$552,"개념 설명")/SUMIF('07_시간 근거'!$A$2:$A$552,$E92,'07_시간 근거'!$F$2:$F$552),0),0)</f>
        <v>1</v>
      </c>
      <c r="K92" s="5" t="n">
        <f aca="false">L92-J92</f>
        <v>7</v>
      </c>
      <c r="L92" s="7" t="n">
        <v>8</v>
      </c>
      <c r="M92" s="2" t="s">
        <v>709</v>
      </c>
    </row>
    <row r="93" customFormat="false" ht="58.2" hidden="false" customHeight="false" outlineLevel="0" collapsed="false">
      <c r="A93" s="15" t="n">
        <v>88</v>
      </c>
      <c r="B93" s="14" t="s">
        <v>415</v>
      </c>
      <c r="C93" s="15" t="s">
        <v>9</v>
      </c>
      <c r="D93" s="14" t="s">
        <v>184</v>
      </c>
      <c r="E93" s="14" t="s">
        <v>474</v>
      </c>
      <c r="F93" s="2" t="s">
        <v>475</v>
      </c>
      <c r="G93" s="3" t="s">
        <v>476</v>
      </c>
      <c r="H93" s="2" t="s">
        <v>477</v>
      </c>
      <c r="I93" s="2" t="s">
        <v>99</v>
      </c>
      <c r="J93" s="5" t="n">
        <f aca="false">IFERROR(ROUND(L93*SUMIFS('07_시간 근거'!$F$2:$F$552,'07_시간 근거'!$A$2:$A$552,$E93,'07_시간 근거'!$E$2:$E$552,"개념 설명")/SUMIF('07_시간 근거'!$A$2:$A$552,$E93,'07_시간 근거'!$F$2:$F$552),0),0)</f>
        <v>2</v>
      </c>
      <c r="K93" s="5" t="n">
        <f aca="false">L93-J93</f>
        <v>17</v>
      </c>
      <c r="L93" s="7" t="n">
        <v>19</v>
      </c>
      <c r="M93" s="2" t="s">
        <v>761</v>
      </c>
    </row>
    <row r="94" customFormat="false" ht="44" hidden="false" customHeight="false" outlineLevel="0" collapsed="false">
      <c r="A94" s="15" t="n">
        <v>89</v>
      </c>
      <c r="B94" s="14" t="s">
        <v>415</v>
      </c>
      <c r="C94" s="15" t="s">
        <v>9</v>
      </c>
      <c r="D94" s="14" t="s">
        <v>200</v>
      </c>
      <c r="E94" s="14" t="s">
        <v>479</v>
      </c>
      <c r="F94" s="2" t="s">
        <v>480</v>
      </c>
      <c r="G94" s="3" t="s">
        <v>481</v>
      </c>
      <c r="H94" s="2" t="s">
        <v>482</v>
      </c>
      <c r="I94" s="2" t="s">
        <v>99</v>
      </c>
      <c r="J94" s="5" t="n">
        <f aca="false">IFERROR(ROUND(L94*SUMIFS('07_시간 근거'!$F$2:$F$552,'07_시간 근거'!$A$2:$A$552,$E94,'07_시간 근거'!$E$2:$E$552,"개념 설명")/SUMIF('07_시간 근거'!$A$2:$A$552,$E94,'07_시간 근거'!$F$2:$F$552),0),0)</f>
        <v>2</v>
      </c>
      <c r="K94" s="5" t="n">
        <f aca="false">L94-J94</f>
        <v>6</v>
      </c>
      <c r="L94" s="7" t="n">
        <v>8</v>
      </c>
      <c r="M94" s="2" t="s">
        <v>712</v>
      </c>
    </row>
    <row r="95" customFormat="false" ht="58.2" hidden="false" customHeight="false" outlineLevel="0" collapsed="false">
      <c r="A95" s="15" t="n">
        <v>90</v>
      </c>
      <c r="B95" s="14" t="s">
        <v>415</v>
      </c>
      <c r="C95" s="15" t="s">
        <v>9</v>
      </c>
      <c r="D95" s="14" t="s">
        <v>200</v>
      </c>
      <c r="E95" s="14" t="s">
        <v>483</v>
      </c>
      <c r="F95" s="2" t="s">
        <v>484</v>
      </c>
      <c r="G95" s="3" t="s">
        <v>485</v>
      </c>
      <c r="H95" s="2" t="s">
        <v>486</v>
      </c>
      <c r="I95" s="2" t="s">
        <v>99</v>
      </c>
      <c r="J95" s="5" t="n">
        <f aca="false">IFERROR(ROUND(L95*SUMIFS('07_시간 근거'!$F$2:$F$552,'07_시간 근거'!$A$2:$A$552,$E95,'07_시간 근거'!$E$2:$E$552,"개념 설명")/SUMIF('07_시간 근거'!$A$2:$A$552,$E95,'07_시간 근거'!$F$2:$F$552),0),0)</f>
        <v>2</v>
      </c>
      <c r="K95" s="5" t="n">
        <f aca="false">L95-J95</f>
        <v>15</v>
      </c>
      <c r="L95" s="7" t="n">
        <v>17</v>
      </c>
      <c r="M95" s="2" t="s">
        <v>762</v>
      </c>
    </row>
    <row r="96" customFormat="false" ht="29.85" hidden="false" customHeight="false" outlineLevel="0" collapsed="false">
      <c r="A96" s="15" t="n">
        <v>91</v>
      </c>
      <c r="B96" s="14" t="s">
        <v>415</v>
      </c>
      <c r="C96" s="15" t="s">
        <v>9</v>
      </c>
      <c r="D96" s="15" t="s">
        <v>215</v>
      </c>
      <c r="E96" s="14" t="s">
        <v>488</v>
      </c>
      <c r="F96" s="2" t="s">
        <v>489</v>
      </c>
      <c r="G96" s="3" t="s">
        <v>490</v>
      </c>
      <c r="H96" s="2" t="s">
        <v>491</v>
      </c>
      <c r="I96" s="2" t="s">
        <v>99</v>
      </c>
      <c r="J96" s="5" t="n">
        <f aca="false">IFERROR(ROUND(L96*SUMIFS('07_시간 근거'!$F$2:$F$552,'07_시간 근거'!$A$2:$A$552,$E96,'07_시간 근거'!$E$2:$E$552,"개념 설명")/SUMIF('07_시간 근거'!$A$2:$A$552,$E96,'07_시간 근거'!$F$2:$F$552),0),0)</f>
        <v>2</v>
      </c>
      <c r="K96" s="5" t="n">
        <f aca="false">L96-J96</f>
        <v>2</v>
      </c>
      <c r="L96" s="7" t="n">
        <v>4</v>
      </c>
      <c r="M96" s="2" t="s">
        <v>713</v>
      </c>
    </row>
    <row r="97" customFormat="false" ht="29.85" hidden="false" customHeight="false" outlineLevel="0" collapsed="false">
      <c r="A97" s="17" t="n">
        <v>92</v>
      </c>
      <c r="B97" s="16" t="s">
        <v>415</v>
      </c>
      <c r="C97" s="17" t="s">
        <v>11</v>
      </c>
      <c r="D97" s="17"/>
      <c r="E97" s="16" t="s">
        <v>492</v>
      </c>
      <c r="F97" s="2" t="s">
        <v>493</v>
      </c>
      <c r="G97" s="2" t="s">
        <v>494</v>
      </c>
      <c r="H97" s="2" t="s">
        <v>495</v>
      </c>
      <c r="I97" s="2" t="s">
        <v>224</v>
      </c>
      <c r="J97" s="5" t="n">
        <f aca="false">IFERROR(ROUND(L97*SUMIFS('07_시간 근거'!$F$2:$F$552,'07_시간 근거'!$A$2:$A$552,$E97,'07_시간 근거'!$E$2:$E$552,"개념 설명")/SUMIF('07_시간 근거'!$A$2:$A$552,$E97,'07_시간 근거'!$F$2:$F$552),0),0)</f>
        <v>6</v>
      </c>
      <c r="K97" s="5" t="n">
        <f aca="false">L97-J97</f>
        <v>28</v>
      </c>
      <c r="L97" s="7" t="n">
        <v>34</v>
      </c>
      <c r="M97" s="2" t="s">
        <v>763</v>
      </c>
    </row>
    <row r="98" customFormat="false" ht="44" hidden="false" customHeight="false" outlineLevel="0" collapsed="false">
      <c r="A98" s="17" t="n">
        <v>93</v>
      </c>
      <c r="B98" s="16" t="s">
        <v>415</v>
      </c>
      <c r="C98" s="17" t="s">
        <v>11</v>
      </c>
      <c r="D98" s="17"/>
      <c r="E98" s="16" t="s">
        <v>497</v>
      </c>
      <c r="F98" s="2" t="s">
        <v>498</v>
      </c>
      <c r="G98" s="2" t="s">
        <v>499</v>
      </c>
      <c r="H98" s="2" t="s">
        <v>500</v>
      </c>
      <c r="I98" s="2" t="s">
        <v>224</v>
      </c>
      <c r="J98" s="5" t="n">
        <f aca="false">IFERROR(ROUND(L98*SUMIFS('07_시간 근거'!$F$2:$F$552,'07_시간 근거'!$A$2:$A$552,$E98,'07_시간 근거'!$E$2:$E$552,"개념 설명")/SUMIF('07_시간 근거'!$A$2:$A$552,$E98,'07_시간 근거'!$F$2:$F$552),0),0)</f>
        <v>6</v>
      </c>
      <c r="K98" s="5" t="n">
        <f aca="false">L98-J98</f>
        <v>30</v>
      </c>
      <c r="L98" s="7" t="n">
        <v>36</v>
      </c>
      <c r="M98" s="2" t="s">
        <v>764</v>
      </c>
    </row>
    <row r="99" customFormat="false" ht="29.85" hidden="false" customHeight="false" outlineLevel="0" collapsed="false">
      <c r="A99" s="17" t="n">
        <v>94</v>
      </c>
      <c r="B99" s="16" t="s">
        <v>415</v>
      </c>
      <c r="C99" s="17" t="s">
        <v>11</v>
      </c>
      <c r="D99" s="17"/>
      <c r="E99" s="16" t="s">
        <v>502</v>
      </c>
      <c r="F99" s="2" t="s">
        <v>503</v>
      </c>
      <c r="G99" s="2" t="s">
        <v>504</v>
      </c>
      <c r="H99" s="2" t="s">
        <v>505</v>
      </c>
      <c r="I99" s="2" t="s">
        <v>224</v>
      </c>
      <c r="J99" s="5" t="n">
        <f aca="false">IFERROR(ROUND(L99*SUMIFS('07_시간 근거'!$F$2:$F$552,'07_시간 근거'!$A$2:$A$552,$E99,'07_시간 근거'!$E$2:$E$552,"개념 설명")/SUMIF('07_시간 근거'!$A$2:$A$552,$E99,'07_시간 근거'!$F$2:$F$552),0),0)</f>
        <v>6</v>
      </c>
      <c r="K99" s="5" t="n">
        <f aca="false">L99-J99</f>
        <v>22</v>
      </c>
      <c r="L99" s="7" t="n">
        <v>28</v>
      </c>
      <c r="M99" s="2" t="s">
        <v>765</v>
      </c>
    </row>
    <row r="100" customFormat="false" ht="29.85" hidden="false" customHeight="false" outlineLevel="0" collapsed="false">
      <c r="A100" s="17" t="n">
        <v>95</v>
      </c>
      <c r="B100" s="16" t="s">
        <v>415</v>
      </c>
      <c r="C100" s="17" t="s">
        <v>11</v>
      </c>
      <c r="D100" s="17"/>
      <c r="E100" s="16" t="s">
        <v>507</v>
      </c>
      <c r="F100" s="2" t="s">
        <v>508</v>
      </c>
      <c r="G100" s="3" t="s">
        <v>509</v>
      </c>
      <c r="H100" s="2" t="s">
        <v>510</v>
      </c>
      <c r="I100" s="2" t="s">
        <v>224</v>
      </c>
      <c r="J100" s="5" t="n">
        <f aca="false">IFERROR(ROUND(L100*SUMIFS('07_시간 근거'!$F$2:$F$552,'07_시간 근거'!$A$2:$A$552,$E100,'07_시간 근거'!$E$2:$E$552,"개념 설명")/SUMIF('07_시간 근거'!$A$2:$A$552,$E100,'07_시간 근거'!$F$2:$F$552),0),0)</f>
        <v>3</v>
      </c>
      <c r="K100" s="5" t="n">
        <f aca="false">L100-J100</f>
        <v>17</v>
      </c>
      <c r="L100" s="7" t="n">
        <v>20</v>
      </c>
      <c r="M100" s="2" t="s">
        <v>766</v>
      </c>
    </row>
    <row r="101" customFormat="false" ht="44" hidden="false" customHeight="false" outlineLevel="0" collapsed="false">
      <c r="A101" s="17" t="n">
        <v>96</v>
      </c>
      <c r="B101" s="16" t="s">
        <v>415</v>
      </c>
      <c r="C101" s="17" t="s">
        <v>11</v>
      </c>
      <c r="D101" s="17"/>
      <c r="E101" s="16" t="s">
        <v>512</v>
      </c>
      <c r="F101" s="2" t="s">
        <v>513</v>
      </c>
      <c r="G101" s="2" t="s">
        <v>514</v>
      </c>
      <c r="H101" s="2" t="s">
        <v>515</v>
      </c>
      <c r="I101" s="2" t="s">
        <v>224</v>
      </c>
      <c r="J101" s="5" t="n">
        <f aca="false">IFERROR(ROUND(L101*SUMIFS('07_시간 근거'!$F$2:$F$552,'07_시간 근거'!$A$2:$A$552,$E101,'07_시간 근거'!$E$2:$E$552,"개념 설명")/SUMIF('07_시간 근거'!$A$2:$A$552,$E101,'07_시간 근거'!$F$2:$F$552),0),0)</f>
        <v>6</v>
      </c>
      <c r="K101" s="5" t="n">
        <f aca="false">L101-J101</f>
        <v>26</v>
      </c>
      <c r="L101" s="7" t="n">
        <v>32</v>
      </c>
      <c r="M101" s="2" t="s">
        <v>767</v>
      </c>
    </row>
    <row r="102" customFormat="false" ht="29.85" hidden="false" customHeight="false" outlineLevel="0" collapsed="false">
      <c r="A102" s="17" t="n">
        <v>97</v>
      </c>
      <c r="B102" s="16" t="s">
        <v>415</v>
      </c>
      <c r="C102" s="17" t="s">
        <v>11</v>
      </c>
      <c r="D102" s="17"/>
      <c r="E102" s="16" t="s">
        <v>517</v>
      </c>
      <c r="F102" s="2" t="s">
        <v>518</v>
      </c>
      <c r="G102" s="2" t="s">
        <v>519</v>
      </c>
      <c r="H102" s="2" t="s">
        <v>520</v>
      </c>
      <c r="I102" s="2" t="s">
        <v>224</v>
      </c>
      <c r="J102" s="5" t="n">
        <f aca="false">IFERROR(ROUND(L102*SUMIFS('07_시간 근거'!$F$2:$F$552,'07_시간 근거'!$A$2:$A$552,$E102,'07_시간 근거'!$E$2:$E$552,"개념 설명")/SUMIF('07_시간 근거'!$A$2:$A$552,$E102,'07_시간 근거'!$F$2:$F$552),0),0)</f>
        <v>6</v>
      </c>
      <c r="K102" s="5" t="n">
        <f aca="false">L102-J102</f>
        <v>27</v>
      </c>
      <c r="L102" s="7" t="n">
        <v>33</v>
      </c>
      <c r="M102" s="2" t="s">
        <v>768</v>
      </c>
    </row>
    <row r="103" customFormat="false" ht="44" hidden="false" customHeight="false" outlineLevel="0" collapsed="false">
      <c r="A103" s="17" t="n">
        <v>98</v>
      </c>
      <c r="B103" s="16" t="s">
        <v>415</v>
      </c>
      <c r="C103" s="17" t="s">
        <v>11</v>
      </c>
      <c r="D103" s="17"/>
      <c r="E103" s="16" t="s">
        <v>522</v>
      </c>
      <c r="F103" s="2" t="s">
        <v>523</v>
      </c>
      <c r="G103" s="3" t="s">
        <v>524</v>
      </c>
      <c r="H103" s="2" t="s">
        <v>69</v>
      </c>
      <c r="I103" s="2" t="s">
        <v>280</v>
      </c>
      <c r="J103" s="5" t="n">
        <f aca="false">IFERROR(ROUND(L103*SUMIFS('07_시간 근거'!$F$2:$F$552,'07_시간 근거'!$A$2:$A$552,$E103,'07_시간 근거'!$E$2:$E$552,"개념 설명")/SUMIF('07_시간 근거'!$A$2:$A$552,$E103,'07_시간 근거'!$F$2:$F$552),0),0)</f>
        <v>4</v>
      </c>
      <c r="K103" s="5" t="n">
        <f aca="false">L103-J103</f>
        <v>2</v>
      </c>
      <c r="L103" s="7" t="n">
        <v>6</v>
      </c>
      <c r="M103" s="2" t="s">
        <v>725</v>
      </c>
    </row>
    <row r="104" customFormat="false" ht="15" hidden="false" customHeight="false" outlineLevel="0" collapsed="false">
      <c r="A104" s="9" t="str">
        <f aca="false">"5. 마무리 — 내가 만든 것이 실제 제품에서는 어디에 있나  ("&amp;SUM(L105)&amp;"분)"</f>
        <v>5. 마무리 — 내가 만든 것이 실제 제품에서는 어디에 있나  (32분)</v>
      </c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</row>
    <row r="105" customFormat="false" ht="58.2" hidden="false" customHeight="false" outlineLevel="0" collapsed="false">
      <c r="A105" s="11" t="n">
        <v>99</v>
      </c>
      <c r="B105" s="11" t="s">
        <v>525</v>
      </c>
      <c r="C105" s="11" t="s">
        <v>525</v>
      </c>
      <c r="D105" s="11"/>
      <c r="E105" s="10" t="s">
        <v>526</v>
      </c>
      <c r="F105" s="2" t="s">
        <v>527</v>
      </c>
      <c r="G105" s="2" t="s">
        <v>528</v>
      </c>
      <c r="H105" s="3" t="s">
        <v>529</v>
      </c>
      <c r="I105" s="2" t="s">
        <v>46</v>
      </c>
      <c r="J105" s="5" t="n">
        <f aca="false">IFERROR(ROUND(L105*SUMIFS('07_시간 근거'!$F$2:$F$552,'07_시간 근거'!$A$2:$A$552,$E105,'07_시간 근거'!$E$2:$E$552,"개념 설명")/SUMIF('07_시간 근거'!$A$2:$A$552,$E105,'07_시간 근거'!$F$2:$F$552),0),0)</f>
        <v>0</v>
      </c>
      <c r="K105" s="5" t="n">
        <f aca="false">L105-J105</f>
        <v>32</v>
      </c>
      <c r="L105" s="7" t="n">
        <v>32</v>
      </c>
      <c r="M105" s="2" t="s">
        <v>769</v>
      </c>
    </row>
    <row r="106" customFormat="false" ht="15" hidden="false" customHeight="false" outlineLevel="0" collapsed="false">
      <c r="F106" s="1" t="s">
        <v>531</v>
      </c>
      <c r="J106" s="6" t="n">
        <f aca="false">SUM(J2:J105)</f>
        <v>669</v>
      </c>
      <c r="K106" s="6" t="n">
        <f aca="false">SUM(K2:K105)</f>
        <v>1082</v>
      </c>
      <c r="L106" s="6" t="n">
        <f aca="false">SUM(L2:L105)</f>
        <v>1751</v>
      </c>
    </row>
    <row r="107" customFormat="false" ht="15" hidden="false" customHeight="false" outlineLevel="0" collapsed="false">
      <c r="F107" s="1" t="s">
        <v>532</v>
      </c>
      <c r="L107" s="6" t="n">
        <f aca="false">ROUND(L106/60,1)</f>
        <v>29.2</v>
      </c>
    </row>
    <row r="108" customFormat="false" ht="15" hidden="false" customHeight="false" outlineLevel="0" collapsed="false">
      <c r="F108" s="1" t="s">
        <v>533</v>
      </c>
      <c r="L108" s="7" t="n">
        <v>1920</v>
      </c>
    </row>
    <row r="109" customFormat="false" ht="15" hidden="false" customHeight="false" outlineLevel="0" collapsed="false">
      <c r="F109" s="1" t="s">
        <v>534</v>
      </c>
      <c r="L109" s="6" t="n">
        <f aca="false">L106-L108</f>
        <v>-169</v>
      </c>
    </row>
  </sheetData>
  <autoFilter ref="A1:M105"/>
  <mergeCells count="5">
    <mergeCell ref="A2:M2"/>
    <mergeCell ref="A9:M9"/>
    <mergeCell ref="A48:M48"/>
    <mergeCell ref="A79:M79"/>
    <mergeCell ref="A104:M10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4.55"/>
    <col collapsed="false" customWidth="true" hidden="false" outlineLevel="0" max="2" min="2" style="0" width="8.19"/>
    <col collapsed="false" customWidth="true" hidden="false" outlineLevel="0" max="3" min="3" style="0" width="5.46"/>
    <col collapsed="false" customWidth="true" hidden="false" outlineLevel="0" max="5" min="4" style="0" width="6.37"/>
    <col collapsed="false" customWidth="true" hidden="false" outlineLevel="0" max="6" min="6" style="0" width="36.39"/>
    <col collapsed="false" customWidth="true" hidden="false" outlineLevel="0" max="7" min="7" style="0" width="54.59"/>
    <col collapsed="false" customWidth="true" hidden="false" outlineLevel="0" max="8" min="8" style="0" width="32.76"/>
    <col collapsed="false" customWidth="true" hidden="false" outlineLevel="0" max="9" min="9" style="0" width="21.84"/>
    <col collapsed="false" customWidth="true" hidden="false" outlineLevel="0" max="10" min="10" style="0" width="14.56"/>
    <col collapsed="false" customWidth="true" hidden="false" outlineLevel="0" max="11" min="11" style="0" width="7.28"/>
    <col collapsed="false" customWidth="true" hidden="false" outlineLevel="0" max="12" min="12" style="0" width="27.3"/>
  </cols>
  <sheetData>
    <row r="1" customFormat="false" ht="29.85" hidden="false" customHeight="false" outlineLevel="0" collapsed="false">
      <c r="A1" s="8" t="s">
        <v>53</v>
      </c>
      <c r="B1" s="4" t="s">
        <v>21</v>
      </c>
      <c r="C1" s="4" t="s">
        <v>54</v>
      </c>
      <c r="D1" s="4" t="s">
        <v>55</v>
      </c>
      <c r="E1" s="4" t="s">
        <v>56</v>
      </c>
      <c r="F1" s="4" t="s">
        <v>535</v>
      </c>
      <c r="G1" s="4" t="s">
        <v>536</v>
      </c>
      <c r="H1" s="4" t="s">
        <v>537</v>
      </c>
      <c r="I1" s="4" t="s">
        <v>59</v>
      </c>
      <c r="J1" s="4" t="s">
        <v>538</v>
      </c>
      <c r="K1" s="4" t="s">
        <v>63</v>
      </c>
      <c r="L1" s="4" t="s">
        <v>64</v>
      </c>
    </row>
    <row r="2" customFormat="false" ht="15" hidden="false" customHeight="false" outlineLevel="0" collapsed="false">
      <c r="A2" s="9" t="str">
        <f aca="false">"1. 시작 — 공장의 값이 업무가 되기까지, 우리가 끝까지 만들 것을 먼저 본다  ("&amp;SUM(K3:K8)&amp;"분)"</f>
        <v>1. 시작 — 공장의 값이 업무가 되기까지, 우리가 끝까지 만들 것을 먼저 본다  (119분)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3" customFormat="false" ht="44" hidden="false" customHeight="false" outlineLevel="0" collapsed="false">
      <c r="A3" s="11" t="n">
        <v>1</v>
      </c>
      <c r="B3" s="11" t="s">
        <v>65</v>
      </c>
      <c r="C3" s="11" t="s">
        <v>65</v>
      </c>
      <c r="D3" s="11"/>
      <c r="E3" s="10" t="s">
        <v>71</v>
      </c>
      <c r="F3" s="2" t="s">
        <v>72</v>
      </c>
      <c r="G3" s="3" t="s">
        <v>73</v>
      </c>
      <c r="H3" s="2" t="s">
        <v>542</v>
      </c>
      <c r="I3" s="3" t="s">
        <v>74</v>
      </c>
      <c r="J3" s="3" t="s">
        <v>543</v>
      </c>
      <c r="K3" s="7" t="n">
        <v>28</v>
      </c>
      <c r="L3" s="2" t="s">
        <v>682</v>
      </c>
    </row>
    <row r="4" customFormat="false" ht="58.2" hidden="false" customHeight="false" outlineLevel="0" collapsed="false">
      <c r="A4" s="11" t="n">
        <v>2</v>
      </c>
      <c r="B4" s="11" t="s">
        <v>65</v>
      </c>
      <c r="C4" s="11" t="s">
        <v>65</v>
      </c>
      <c r="D4" s="11"/>
      <c r="E4" s="10" t="s">
        <v>76</v>
      </c>
      <c r="F4" s="2" t="s">
        <v>77</v>
      </c>
      <c r="G4" s="2" t="s">
        <v>78</v>
      </c>
      <c r="H4" s="3" t="s">
        <v>544</v>
      </c>
      <c r="I4" s="3" t="s">
        <v>79</v>
      </c>
      <c r="J4" s="2" t="s">
        <v>545</v>
      </c>
      <c r="K4" s="7" t="n">
        <v>22</v>
      </c>
      <c r="L4" s="2" t="s">
        <v>683</v>
      </c>
    </row>
    <row r="5" customFormat="false" ht="29.85" hidden="false" customHeight="false" outlineLevel="0" collapsed="false">
      <c r="A5" s="11" t="n">
        <v>3</v>
      </c>
      <c r="B5" s="11" t="s">
        <v>65</v>
      </c>
      <c r="C5" s="11" t="s">
        <v>65</v>
      </c>
      <c r="D5" s="11"/>
      <c r="E5" s="10" t="s">
        <v>81</v>
      </c>
      <c r="F5" s="2" t="s">
        <v>82</v>
      </c>
      <c r="G5" s="2" t="s">
        <v>83</v>
      </c>
      <c r="H5" s="2" t="s">
        <v>546</v>
      </c>
      <c r="I5" s="2" t="s">
        <v>84</v>
      </c>
      <c r="J5" s="2" t="s">
        <v>541</v>
      </c>
      <c r="K5" s="7" t="n">
        <v>17</v>
      </c>
      <c r="L5" s="2" t="s">
        <v>684</v>
      </c>
    </row>
    <row r="6" customFormat="false" ht="44" hidden="false" customHeight="false" outlineLevel="0" collapsed="false">
      <c r="A6" s="11" t="n">
        <v>4</v>
      </c>
      <c r="B6" s="11" t="s">
        <v>65</v>
      </c>
      <c r="C6" s="11" t="s">
        <v>65</v>
      </c>
      <c r="D6" s="11"/>
      <c r="E6" s="10" t="s">
        <v>85</v>
      </c>
      <c r="F6" s="2" t="s">
        <v>86</v>
      </c>
      <c r="G6" s="2" t="s">
        <v>87</v>
      </c>
      <c r="H6" s="3" t="s">
        <v>547</v>
      </c>
      <c r="I6" s="2" t="s">
        <v>88</v>
      </c>
      <c r="J6" s="2" t="s">
        <v>548</v>
      </c>
      <c r="K6" s="7" t="n">
        <v>22</v>
      </c>
      <c r="L6" s="2" t="s">
        <v>685</v>
      </c>
    </row>
    <row r="7" customFormat="false" ht="86.55" hidden="false" customHeight="false" outlineLevel="0" collapsed="false">
      <c r="A7" s="11" t="n">
        <v>5</v>
      </c>
      <c r="B7" s="11" t="s">
        <v>65</v>
      </c>
      <c r="C7" s="11" t="s">
        <v>65</v>
      </c>
      <c r="D7" s="11"/>
      <c r="E7" s="10" t="s">
        <v>90</v>
      </c>
      <c r="F7" s="2" t="s">
        <v>91</v>
      </c>
      <c r="G7" s="2" t="s">
        <v>92</v>
      </c>
      <c r="H7" s="2" t="s">
        <v>549</v>
      </c>
      <c r="I7" s="2" t="s">
        <v>93</v>
      </c>
      <c r="J7" s="2" t="s">
        <v>541</v>
      </c>
      <c r="K7" s="7" t="n">
        <v>18</v>
      </c>
      <c r="L7" s="2" t="s">
        <v>686</v>
      </c>
    </row>
    <row r="8" customFormat="false" ht="29.85" hidden="false" customHeight="false" outlineLevel="0" collapsed="false">
      <c r="A8" s="11" t="n">
        <v>6</v>
      </c>
      <c r="B8" s="11" t="s">
        <v>65</v>
      </c>
      <c r="C8" s="11" t="s">
        <v>65</v>
      </c>
      <c r="D8" s="11"/>
      <c r="E8" s="10" t="s">
        <v>95</v>
      </c>
      <c r="F8" s="2" t="s">
        <v>96</v>
      </c>
      <c r="G8" s="2" t="s">
        <v>97</v>
      </c>
      <c r="H8" s="2" t="s">
        <v>550</v>
      </c>
      <c r="I8" s="2" t="s">
        <v>98</v>
      </c>
      <c r="J8" s="2" t="s">
        <v>9</v>
      </c>
      <c r="K8" s="7" t="n">
        <v>12</v>
      </c>
      <c r="L8" s="2" t="s">
        <v>687</v>
      </c>
    </row>
    <row r="9" customFormat="false" ht="15" hidden="false" customHeight="false" outlineLevel="0" collapsed="false">
      <c r="A9" s="9" t="str">
        <f aca="false">"2. 온톨로지 — 문서를 공장의 지식 지도로 만들면 AI가 근거를 들고 답한다  ("&amp;SUM(K10:K47)&amp;"분)"</f>
        <v>2. 온톨로지 — 문서를 공장의 지식 지도로 만들면 AI가 근거를 들고 답한다  (859분)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</row>
    <row r="10" customFormat="false" ht="44" hidden="false" customHeight="false" outlineLevel="0" collapsed="false">
      <c r="A10" s="13" t="n">
        <v>7</v>
      </c>
      <c r="B10" s="13" t="s">
        <v>100</v>
      </c>
      <c r="C10" s="13" t="s">
        <v>7</v>
      </c>
      <c r="D10" s="13"/>
      <c r="E10" s="12" t="s">
        <v>101</v>
      </c>
      <c r="F10" s="3" t="s">
        <v>102</v>
      </c>
      <c r="G10" s="2" t="s">
        <v>551</v>
      </c>
      <c r="H10" s="3" t="s">
        <v>552</v>
      </c>
      <c r="I10" s="2" t="s">
        <v>104</v>
      </c>
      <c r="J10" s="2" t="s">
        <v>541</v>
      </c>
      <c r="K10" s="7" t="n">
        <v>23</v>
      </c>
      <c r="L10" s="2" t="s">
        <v>688</v>
      </c>
    </row>
    <row r="11" customFormat="false" ht="58.2" hidden="false" customHeight="false" outlineLevel="0" collapsed="false">
      <c r="A11" s="13" t="n">
        <v>8</v>
      </c>
      <c r="B11" s="13" t="s">
        <v>100</v>
      </c>
      <c r="C11" s="13" t="s">
        <v>7</v>
      </c>
      <c r="D11" s="13"/>
      <c r="E11" s="12" t="s">
        <v>105</v>
      </c>
      <c r="F11" s="2" t="s">
        <v>106</v>
      </c>
      <c r="G11" s="2" t="s">
        <v>553</v>
      </c>
      <c r="H11" s="2" t="s">
        <v>554</v>
      </c>
      <c r="I11" s="2" t="s">
        <v>108</v>
      </c>
      <c r="J11" s="2" t="s">
        <v>541</v>
      </c>
      <c r="K11" s="7" t="n">
        <v>14</v>
      </c>
      <c r="L11" s="2" t="s">
        <v>689</v>
      </c>
    </row>
    <row r="12" customFormat="false" ht="29.85" hidden="false" customHeight="false" outlineLevel="0" collapsed="false">
      <c r="A12" s="13" t="n">
        <v>9</v>
      </c>
      <c r="B12" s="13" t="s">
        <v>100</v>
      </c>
      <c r="C12" s="13" t="s">
        <v>7</v>
      </c>
      <c r="D12" s="13"/>
      <c r="E12" s="12" t="s">
        <v>109</v>
      </c>
      <c r="F12" s="2" t="s">
        <v>110</v>
      </c>
      <c r="G12" s="2" t="s">
        <v>555</v>
      </c>
      <c r="H12" s="2" t="s">
        <v>556</v>
      </c>
      <c r="I12" s="2" t="s">
        <v>112</v>
      </c>
      <c r="J12" s="2" t="s">
        <v>541</v>
      </c>
      <c r="K12" s="7" t="n">
        <v>21</v>
      </c>
      <c r="L12" s="2" t="s">
        <v>690</v>
      </c>
    </row>
    <row r="13" customFormat="false" ht="44" hidden="false" customHeight="false" outlineLevel="0" collapsed="false">
      <c r="A13" s="13" t="n">
        <v>10</v>
      </c>
      <c r="B13" s="13" t="s">
        <v>100</v>
      </c>
      <c r="C13" s="13" t="s">
        <v>7</v>
      </c>
      <c r="D13" s="13"/>
      <c r="E13" s="12" t="s">
        <v>113</v>
      </c>
      <c r="F13" s="2" t="s">
        <v>114</v>
      </c>
      <c r="G13" s="2" t="s">
        <v>557</v>
      </c>
      <c r="H13" s="2" t="s">
        <v>558</v>
      </c>
      <c r="I13" s="2" t="s">
        <v>116</v>
      </c>
      <c r="J13" s="2" t="s">
        <v>541</v>
      </c>
      <c r="K13" s="7" t="n">
        <v>16</v>
      </c>
      <c r="L13" s="2" t="s">
        <v>691</v>
      </c>
    </row>
    <row r="14" customFormat="false" ht="29.85" hidden="false" customHeight="false" outlineLevel="0" collapsed="false">
      <c r="A14" s="13" t="n">
        <v>11</v>
      </c>
      <c r="B14" s="13" t="s">
        <v>100</v>
      </c>
      <c r="C14" s="13" t="s">
        <v>7</v>
      </c>
      <c r="D14" s="13"/>
      <c r="E14" s="12" t="s">
        <v>117</v>
      </c>
      <c r="F14" s="2" t="s">
        <v>118</v>
      </c>
      <c r="G14" s="3" t="s">
        <v>559</v>
      </c>
      <c r="H14" s="2" t="s">
        <v>560</v>
      </c>
      <c r="I14" s="3" t="s">
        <v>120</v>
      </c>
      <c r="J14" s="3" t="s">
        <v>561</v>
      </c>
      <c r="K14" s="7" t="n">
        <v>25</v>
      </c>
      <c r="L14" s="2" t="s">
        <v>692</v>
      </c>
    </row>
    <row r="15" customFormat="false" ht="44" hidden="false" customHeight="false" outlineLevel="0" collapsed="false">
      <c r="A15" s="13" t="n">
        <v>12</v>
      </c>
      <c r="B15" s="13" t="s">
        <v>100</v>
      </c>
      <c r="C15" s="13" t="s">
        <v>7</v>
      </c>
      <c r="D15" s="13"/>
      <c r="E15" s="12" t="s">
        <v>122</v>
      </c>
      <c r="F15" s="2" t="s">
        <v>123</v>
      </c>
      <c r="G15" s="2" t="s">
        <v>562</v>
      </c>
      <c r="H15" s="2" t="s">
        <v>563</v>
      </c>
      <c r="I15" s="2" t="s">
        <v>125</v>
      </c>
      <c r="J15" s="2" t="s">
        <v>548</v>
      </c>
      <c r="K15" s="7" t="n">
        <v>26</v>
      </c>
      <c r="L15" s="2" t="s">
        <v>693</v>
      </c>
    </row>
    <row r="16" customFormat="false" ht="72.35" hidden="false" customHeight="false" outlineLevel="0" collapsed="false">
      <c r="A16" s="13" t="n">
        <v>13</v>
      </c>
      <c r="B16" s="13" t="s">
        <v>100</v>
      </c>
      <c r="C16" s="13" t="s">
        <v>7</v>
      </c>
      <c r="D16" s="13"/>
      <c r="E16" s="12" t="s">
        <v>126</v>
      </c>
      <c r="F16" s="2" t="s">
        <v>127</v>
      </c>
      <c r="G16" s="2" t="s">
        <v>564</v>
      </c>
      <c r="H16" s="2" t="s">
        <v>565</v>
      </c>
      <c r="I16" s="2" t="s">
        <v>129</v>
      </c>
      <c r="J16" s="2" t="s">
        <v>541</v>
      </c>
      <c r="K16" s="7" t="n">
        <v>14</v>
      </c>
      <c r="L16" s="2" t="s">
        <v>694</v>
      </c>
    </row>
    <row r="17" customFormat="false" ht="44" hidden="false" customHeight="false" outlineLevel="0" collapsed="false">
      <c r="A17" s="13" t="n">
        <v>14</v>
      </c>
      <c r="B17" s="13" t="s">
        <v>100</v>
      </c>
      <c r="C17" s="13" t="s">
        <v>7</v>
      </c>
      <c r="D17" s="13"/>
      <c r="E17" s="12" t="s">
        <v>130</v>
      </c>
      <c r="F17" s="2" t="s">
        <v>131</v>
      </c>
      <c r="G17" s="2" t="s">
        <v>566</v>
      </c>
      <c r="H17" s="2" t="s">
        <v>567</v>
      </c>
      <c r="I17" s="2" t="s">
        <v>133</v>
      </c>
      <c r="J17" s="2" t="s">
        <v>548</v>
      </c>
      <c r="K17" s="7" t="n">
        <v>19</v>
      </c>
      <c r="L17" s="2" t="s">
        <v>695</v>
      </c>
    </row>
    <row r="18" customFormat="false" ht="58.2" hidden="false" customHeight="false" outlineLevel="0" collapsed="false">
      <c r="A18" s="13" t="n">
        <v>15</v>
      </c>
      <c r="B18" s="13" t="s">
        <v>100</v>
      </c>
      <c r="C18" s="13" t="s">
        <v>7</v>
      </c>
      <c r="D18" s="13"/>
      <c r="E18" s="12" t="s">
        <v>134</v>
      </c>
      <c r="F18" s="2" t="s">
        <v>135</v>
      </c>
      <c r="G18" s="2" t="s">
        <v>568</v>
      </c>
      <c r="H18" s="2" t="s">
        <v>569</v>
      </c>
      <c r="I18" s="2" t="s">
        <v>137</v>
      </c>
      <c r="J18" s="2" t="s">
        <v>548</v>
      </c>
      <c r="K18" s="7" t="n">
        <v>35</v>
      </c>
      <c r="L18" s="2" t="s">
        <v>696</v>
      </c>
    </row>
    <row r="19" customFormat="false" ht="58.2" hidden="false" customHeight="false" outlineLevel="0" collapsed="false">
      <c r="A19" s="13" t="n">
        <v>16</v>
      </c>
      <c r="B19" s="13" t="s">
        <v>100</v>
      </c>
      <c r="C19" s="13" t="s">
        <v>7</v>
      </c>
      <c r="D19" s="13"/>
      <c r="E19" s="12" t="s">
        <v>138</v>
      </c>
      <c r="F19" s="2" t="s">
        <v>139</v>
      </c>
      <c r="G19" s="2" t="s">
        <v>570</v>
      </c>
      <c r="H19" s="2" t="s">
        <v>571</v>
      </c>
      <c r="I19" s="2" t="s">
        <v>141</v>
      </c>
      <c r="J19" s="3" t="s">
        <v>561</v>
      </c>
      <c r="K19" s="7" t="n">
        <v>28</v>
      </c>
      <c r="L19" s="2" t="s">
        <v>697</v>
      </c>
    </row>
    <row r="20" customFormat="false" ht="29.85" hidden="false" customHeight="false" outlineLevel="0" collapsed="false">
      <c r="A20" s="13" t="n">
        <v>17</v>
      </c>
      <c r="B20" s="13" t="s">
        <v>100</v>
      </c>
      <c r="C20" s="13" t="s">
        <v>7</v>
      </c>
      <c r="D20" s="13"/>
      <c r="E20" s="12" t="s">
        <v>143</v>
      </c>
      <c r="F20" s="2" t="s">
        <v>144</v>
      </c>
      <c r="G20" s="2" t="s">
        <v>572</v>
      </c>
      <c r="H20" s="2" t="s">
        <v>573</v>
      </c>
      <c r="I20" s="2" t="s">
        <v>146</v>
      </c>
      <c r="J20" s="3" t="s">
        <v>561</v>
      </c>
      <c r="K20" s="7" t="n">
        <v>14</v>
      </c>
      <c r="L20" s="2" t="s">
        <v>698</v>
      </c>
    </row>
    <row r="21" customFormat="false" ht="44" hidden="false" customHeight="false" outlineLevel="0" collapsed="false">
      <c r="A21" s="13" t="n">
        <v>18</v>
      </c>
      <c r="B21" s="13" t="s">
        <v>100</v>
      </c>
      <c r="C21" s="13" t="s">
        <v>7</v>
      </c>
      <c r="D21" s="13"/>
      <c r="E21" s="12" t="s">
        <v>147</v>
      </c>
      <c r="F21" s="2" t="s">
        <v>148</v>
      </c>
      <c r="G21" s="2" t="s">
        <v>574</v>
      </c>
      <c r="H21" s="2" t="s">
        <v>575</v>
      </c>
      <c r="I21" s="2" t="s">
        <v>150</v>
      </c>
      <c r="J21" s="2" t="s">
        <v>548</v>
      </c>
      <c r="K21" s="7" t="n">
        <v>12</v>
      </c>
      <c r="L21" s="2" t="s">
        <v>699</v>
      </c>
    </row>
    <row r="22" customFormat="false" ht="44" hidden="false" customHeight="false" outlineLevel="0" collapsed="false">
      <c r="A22" s="13" t="n">
        <v>19</v>
      </c>
      <c r="B22" s="13" t="s">
        <v>100</v>
      </c>
      <c r="C22" s="13" t="s">
        <v>7</v>
      </c>
      <c r="D22" s="13"/>
      <c r="E22" s="12" t="s">
        <v>151</v>
      </c>
      <c r="F22" s="2" t="s">
        <v>152</v>
      </c>
      <c r="G22" s="2" t="s">
        <v>576</v>
      </c>
      <c r="H22" s="2" t="s">
        <v>577</v>
      </c>
      <c r="I22" s="2" t="s">
        <v>154</v>
      </c>
      <c r="J22" s="2" t="s">
        <v>548</v>
      </c>
      <c r="K22" s="7" t="n">
        <v>28</v>
      </c>
      <c r="L22" s="2" t="s">
        <v>700</v>
      </c>
    </row>
    <row r="23" customFormat="false" ht="44" hidden="false" customHeight="false" outlineLevel="0" collapsed="false">
      <c r="A23" s="13" t="n">
        <v>20</v>
      </c>
      <c r="B23" s="13" t="s">
        <v>100</v>
      </c>
      <c r="C23" s="13" t="s">
        <v>7</v>
      </c>
      <c r="D23" s="13"/>
      <c r="E23" s="12" t="s">
        <v>155</v>
      </c>
      <c r="F23" s="2" t="s">
        <v>156</v>
      </c>
      <c r="G23" s="2" t="s">
        <v>578</v>
      </c>
      <c r="H23" s="2" t="s">
        <v>579</v>
      </c>
      <c r="I23" s="2" t="s">
        <v>158</v>
      </c>
      <c r="J23" s="2" t="s">
        <v>541</v>
      </c>
      <c r="K23" s="7" t="n">
        <v>11</v>
      </c>
      <c r="L23" s="2" t="s">
        <v>701</v>
      </c>
    </row>
    <row r="24" customFormat="false" ht="58.2" hidden="false" customHeight="false" outlineLevel="0" collapsed="false">
      <c r="A24" s="15" t="n">
        <v>21</v>
      </c>
      <c r="B24" s="15" t="s">
        <v>100</v>
      </c>
      <c r="C24" s="15" t="s">
        <v>9</v>
      </c>
      <c r="D24" s="15" t="s">
        <v>159</v>
      </c>
      <c r="E24" s="14" t="s">
        <v>160</v>
      </c>
      <c r="F24" s="2" t="s">
        <v>161</v>
      </c>
      <c r="G24" s="2" t="s">
        <v>162</v>
      </c>
      <c r="H24" s="2" t="s">
        <v>580</v>
      </c>
      <c r="I24" s="2" t="s">
        <v>163</v>
      </c>
      <c r="J24" s="2" t="s">
        <v>541</v>
      </c>
      <c r="K24" s="7" t="n">
        <v>8</v>
      </c>
      <c r="L24" s="2" t="s">
        <v>702</v>
      </c>
    </row>
    <row r="25" customFormat="false" ht="58.2" hidden="false" customHeight="false" outlineLevel="0" collapsed="false">
      <c r="A25" s="15" t="n">
        <v>22</v>
      </c>
      <c r="B25" s="15" t="s">
        <v>100</v>
      </c>
      <c r="C25" s="15" t="s">
        <v>9</v>
      </c>
      <c r="D25" s="14" t="s">
        <v>33</v>
      </c>
      <c r="E25" s="14" t="s">
        <v>165</v>
      </c>
      <c r="F25" s="2" t="s">
        <v>166</v>
      </c>
      <c r="G25" s="2" t="s">
        <v>167</v>
      </c>
      <c r="H25" s="3" t="s">
        <v>581</v>
      </c>
      <c r="I25" s="2" t="s">
        <v>168</v>
      </c>
      <c r="J25" s="2" t="s">
        <v>9</v>
      </c>
      <c r="K25" s="7" t="n">
        <v>19</v>
      </c>
      <c r="L25" s="2" t="s">
        <v>703</v>
      </c>
    </row>
    <row r="26" customFormat="false" ht="86.55" hidden="false" customHeight="false" outlineLevel="0" collapsed="false">
      <c r="A26" s="15" t="n">
        <v>23</v>
      </c>
      <c r="B26" s="15" t="s">
        <v>100</v>
      </c>
      <c r="C26" s="15" t="s">
        <v>9</v>
      </c>
      <c r="D26" s="14" t="s">
        <v>33</v>
      </c>
      <c r="E26" s="14" t="s">
        <v>170</v>
      </c>
      <c r="F26" s="2" t="s">
        <v>171</v>
      </c>
      <c r="G26" s="3" t="s">
        <v>172</v>
      </c>
      <c r="H26" s="3" t="s">
        <v>582</v>
      </c>
      <c r="I26" s="2" t="s">
        <v>173</v>
      </c>
      <c r="J26" s="2" t="s">
        <v>9</v>
      </c>
      <c r="K26" s="7" t="n">
        <v>33</v>
      </c>
      <c r="L26" s="2" t="s">
        <v>704</v>
      </c>
    </row>
    <row r="27" customFormat="false" ht="58.2" hidden="false" customHeight="false" outlineLevel="0" collapsed="false">
      <c r="A27" s="15" t="n">
        <v>24</v>
      </c>
      <c r="B27" s="15" t="s">
        <v>100</v>
      </c>
      <c r="C27" s="15" t="s">
        <v>9</v>
      </c>
      <c r="D27" s="14" t="s">
        <v>33</v>
      </c>
      <c r="E27" s="14" t="s">
        <v>175</v>
      </c>
      <c r="F27" s="2" t="s">
        <v>176</v>
      </c>
      <c r="G27" s="3" t="s">
        <v>177</v>
      </c>
      <c r="H27" s="3" t="s">
        <v>583</v>
      </c>
      <c r="I27" s="2" t="s">
        <v>178</v>
      </c>
      <c r="J27" s="2" t="s">
        <v>9</v>
      </c>
      <c r="K27" s="7" t="n">
        <v>20</v>
      </c>
      <c r="L27" s="2" t="s">
        <v>705</v>
      </c>
    </row>
    <row r="28" customFormat="false" ht="58.2" hidden="false" customHeight="false" outlineLevel="0" collapsed="false">
      <c r="A28" s="15" t="n">
        <v>25</v>
      </c>
      <c r="B28" s="15" t="s">
        <v>100</v>
      </c>
      <c r="C28" s="15" t="s">
        <v>9</v>
      </c>
      <c r="D28" s="14" t="s">
        <v>33</v>
      </c>
      <c r="E28" s="14" t="s">
        <v>180</v>
      </c>
      <c r="F28" s="2" t="s">
        <v>181</v>
      </c>
      <c r="G28" s="3" t="s">
        <v>182</v>
      </c>
      <c r="H28" s="3" t="s">
        <v>584</v>
      </c>
      <c r="I28" s="2" t="s">
        <v>183</v>
      </c>
      <c r="J28" s="2" t="s">
        <v>9</v>
      </c>
      <c r="K28" s="7" t="n">
        <v>20</v>
      </c>
      <c r="L28" s="2" t="s">
        <v>706</v>
      </c>
    </row>
    <row r="29" customFormat="false" ht="86.55" hidden="false" customHeight="false" outlineLevel="0" collapsed="false">
      <c r="A29" s="15" t="n">
        <v>26</v>
      </c>
      <c r="B29" s="15" t="s">
        <v>100</v>
      </c>
      <c r="C29" s="15" t="s">
        <v>9</v>
      </c>
      <c r="D29" s="14" t="s">
        <v>184</v>
      </c>
      <c r="E29" s="14" t="s">
        <v>185</v>
      </c>
      <c r="F29" s="2" t="s">
        <v>186</v>
      </c>
      <c r="G29" s="3" t="s">
        <v>187</v>
      </c>
      <c r="H29" s="3" t="s">
        <v>585</v>
      </c>
      <c r="I29" s="2" t="s">
        <v>188</v>
      </c>
      <c r="J29" s="2" t="s">
        <v>9</v>
      </c>
      <c r="K29" s="7" t="n">
        <v>23</v>
      </c>
      <c r="L29" s="2" t="s">
        <v>707</v>
      </c>
    </row>
    <row r="30" customFormat="false" ht="44" hidden="false" customHeight="false" outlineLevel="0" collapsed="false">
      <c r="A30" s="15" t="n">
        <v>27</v>
      </c>
      <c r="B30" s="15" t="s">
        <v>100</v>
      </c>
      <c r="C30" s="15" t="s">
        <v>9</v>
      </c>
      <c r="D30" s="14" t="s">
        <v>184</v>
      </c>
      <c r="E30" s="14" t="s">
        <v>190</v>
      </c>
      <c r="F30" s="2" t="s">
        <v>191</v>
      </c>
      <c r="G30" s="3" t="s">
        <v>192</v>
      </c>
      <c r="H30" s="3" t="s">
        <v>586</v>
      </c>
      <c r="I30" s="2" t="s">
        <v>193</v>
      </c>
      <c r="J30" s="2" t="s">
        <v>9</v>
      </c>
      <c r="K30" s="7" t="n">
        <v>11</v>
      </c>
      <c r="L30" s="2" t="s">
        <v>708</v>
      </c>
    </row>
    <row r="31" customFormat="false" ht="44" hidden="false" customHeight="false" outlineLevel="0" collapsed="false">
      <c r="A31" s="15" t="n">
        <v>28</v>
      </c>
      <c r="B31" s="15" t="s">
        <v>100</v>
      </c>
      <c r="C31" s="15" t="s">
        <v>9</v>
      </c>
      <c r="D31" s="14" t="s">
        <v>184</v>
      </c>
      <c r="E31" s="14" t="s">
        <v>195</v>
      </c>
      <c r="F31" s="2" t="s">
        <v>196</v>
      </c>
      <c r="G31" s="3" t="s">
        <v>197</v>
      </c>
      <c r="H31" s="3" t="s">
        <v>587</v>
      </c>
      <c r="I31" s="2" t="s">
        <v>198</v>
      </c>
      <c r="J31" s="2" t="s">
        <v>9</v>
      </c>
      <c r="K31" s="7" t="n">
        <v>11</v>
      </c>
      <c r="L31" s="2" t="s">
        <v>709</v>
      </c>
    </row>
    <row r="32" customFormat="false" ht="72.35" hidden="false" customHeight="false" outlineLevel="0" collapsed="false">
      <c r="A32" s="15" t="n">
        <v>29</v>
      </c>
      <c r="B32" s="15" t="s">
        <v>100</v>
      </c>
      <c r="C32" s="15" t="s">
        <v>9</v>
      </c>
      <c r="D32" s="14" t="s">
        <v>200</v>
      </c>
      <c r="E32" s="14" t="s">
        <v>201</v>
      </c>
      <c r="F32" s="2" t="s">
        <v>202</v>
      </c>
      <c r="G32" s="3" t="s">
        <v>203</v>
      </c>
      <c r="H32" s="3" t="s">
        <v>588</v>
      </c>
      <c r="I32" s="2" t="s">
        <v>204</v>
      </c>
      <c r="J32" s="2" t="s">
        <v>9</v>
      </c>
      <c r="K32" s="7" t="n">
        <v>20</v>
      </c>
      <c r="L32" s="2" t="s">
        <v>710</v>
      </c>
    </row>
    <row r="33" customFormat="false" ht="29.85" hidden="false" customHeight="false" outlineLevel="0" collapsed="false">
      <c r="A33" s="15" t="n">
        <v>30</v>
      </c>
      <c r="B33" s="15" t="s">
        <v>100</v>
      </c>
      <c r="C33" s="15" t="s">
        <v>9</v>
      </c>
      <c r="D33" s="14" t="s">
        <v>200</v>
      </c>
      <c r="E33" s="14" t="s">
        <v>206</v>
      </c>
      <c r="F33" s="2" t="s">
        <v>207</v>
      </c>
      <c r="G33" s="3" t="s">
        <v>208</v>
      </c>
      <c r="H33" s="3" t="s">
        <v>589</v>
      </c>
      <c r="I33" s="2" t="s">
        <v>209</v>
      </c>
      <c r="J33" s="2" t="s">
        <v>9</v>
      </c>
      <c r="K33" s="7" t="n">
        <v>10</v>
      </c>
      <c r="L33" s="2" t="s">
        <v>711</v>
      </c>
    </row>
    <row r="34" customFormat="false" ht="29.85" hidden="false" customHeight="false" outlineLevel="0" collapsed="false">
      <c r="A34" s="15" t="n">
        <v>31</v>
      </c>
      <c r="B34" s="15" t="s">
        <v>100</v>
      </c>
      <c r="C34" s="15" t="s">
        <v>9</v>
      </c>
      <c r="D34" s="14" t="s">
        <v>200</v>
      </c>
      <c r="E34" s="14" t="s">
        <v>211</v>
      </c>
      <c r="F34" s="2" t="s">
        <v>212</v>
      </c>
      <c r="G34" s="3" t="s">
        <v>213</v>
      </c>
      <c r="H34" s="3" t="s">
        <v>590</v>
      </c>
      <c r="I34" s="2" t="s">
        <v>198</v>
      </c>
      <c r="J34" s="2" t="s">
        <v>9</v>
      </c>
      <c r="K34" s="7" t="n">
        <v>10</v>
      </c>
      <c r="L34" s="2" t="s">
        <v>712</v>
      </c>
    </row>
    <row r="35" customFormat="false" ht="29.85" hidden="false" customHeight="false" outlineLevel="0" collapsed="false">
      <c r="A35" s="15" t="n">
        <v>32</v>
      </c>
      <c r="B35" s="15" t="s">
        <v>100</v>
      </c>
      <c r="C35" s="15" t="s">
        <v>9</v>
      </c>
      <c r="D35" s="15" t="s">
        <v>215</v>
      </c>
      <c r="E35" s="14" t="s">
        <v>216</v>
      </c>
      <c r="F35" s="2" t="s">
        <v>217</v>
      </c>
      <c r="G35" s="3" t="s">
        <v>218</v>
      </c>
      <c r="H35" s="2" t="s">
        <v>591</v>
      </c>
      <c r="I35" s="2" t="s">
        <v>219</v>
      </c>
      <c r="J35" s="2" t="s">
        <v>9</v>
      </c>
      <c r="K35" s="7" t="n">
        <v>4</v>
      </c>
      <c r="L35" s="2" t="s">
        <v>713</v>
      </c>
    </row>
    <row r="36" customFormat="false" ht="58.2" hidden="false" customHeight="false" outlineLevel="0" collapsed="false">
      <c r="A36" s="17" t="n">
        <v>33</v>
      </c>
      <c r="B36" s="17" t="s">
        <v>100</v>
      </c>
      <c r="C36" s="17" t="s">
        <v>11</v>
      </c>
      <c r="D36" s="17"/>
      <c r="E36" s="16" t="s">
        <v>220</v>
      </c>
      <c r="F36" s="2" t="s">
        <v>221</v>
      </c>
      <c r="G36" s="2" t="s">
        <v>222</v>
      </c>
      <c r="H36" s="2" t="s">
        <v>592</v>
      </c>
      <c r="I36" s="2" t="s">
        <v>223</v>
      </c>
      <c r="J36" s="3" t="s">
        <v>593</v>
      </c>
      <c r="K36" s="7" t="n">
        <v>42</v>
      </c>
      <c r="L36" s="2" t="s">
        <v>714</v>
      </c>
    </row>
    <row r="37" customFormat="false" ht="44" hidden="false" customHeight="false" outlineLevel="0" collapsed="false">
      <c r="A37" s="17" t="n">
        <v>34</v>
      </c>
      <c r="B37" s="17" t="s">
        <v>100</v>
      </c>
      <c r="C37" s="17" t="s">
        <v>11</v>
      </c>
      <c r="D37" s="17"/>
      <c r="E37" s="16" t="s">
        <v>226</v>
      </c>
      <c r="F37" s="2" t="s">
        <v>227</v>
      </c>
      <c r="G37" s="3" t="s">
        <v>228</v>
      </c>
      <c r="H37" s="2" t="s">
        <v>594</v>
      </c>
      <c r="I37" s="2" t="s">
        <v>229</v>
      </c>
      <c r="J37" s="3" t="s">
        <v>595</v>
      </c>
      <c r="K37" s="7" t="n">
        <v>10</v>
      </c>
      <c r="L37" s="2" t="s">
        <v>715</v>
      </c>
    </row>
    <row r="38" customFormat="false" ht="72.35" hidden="false" customHeight="false" outlineLevel="0" collapsed="false">
      <c r="A38" s="17" t="n">
        <v>35</v>
      </c>
      <c r="B38" s="17" t="s">
        <v>100</v>
      </c>
      <c r="C38" s="17" t="s">
        <v>11</v>
      </c>
      <c r="D38" s="17"/>
      <c r="E38" s="16" t="s">
        <v>232</v>
      </c>
      <c r="F38" s="2" t="s">
        <v>233</v>
      </c>
      <c r="G38" s="2" t="s">
        <v>234</v>
      </c>
      <c r="H38" s="2" t="s">
        <v>596</v>
      </c>
      <c r="I38" s="2" t="s">
        <v>235</v>
      </c>
      <c r="J38" s="3" t="s">
        <v>593</v>
      </c>
      <c r="K38" s="7" t="n">
        <v>36</v>
      </c>
      <c r="L38" s="2" t="s">
        <v>716</v>
      </c>
    </row>
    <row r="39" customFormat="false" ht="58.2" hidden="false" customHeight="false" outlineLevel="0" collapsed="false">
      <c r="A39" s="17" t="n">
        <v>36</v>
      </c>
      <c r="B39" s="17" t="s">
        <v>100</v>
      </c>
      <c r="C39" s="17" t="s">
        <v>11</v>
      </c>
      <c r="D39" s="17"/>
      <c r="E39" s="16" t="s">
        <v>237</v>
      </c>
      <c r="F39" s="2" t="s">
        <v>238</v>
      </c>
      <c r="G39" s="2" t="s">
        <v>239</v>
      </c>
      <c r="H39" s="2" t="s">
        <v>597</v>
      </c>
      <c r="I39" s="2" t="s">
        <v>240</v>
      </c>
      <c r="J39" s="3" t="s">
        <v>593</v>
      </c>
      <c r="K39" s="7" t="n">
        <v>34</v>
      </c>
      <c r="L39" s="2" t="s">
        <v>717</v>
      </c>
    </row>
    <row r="40" customFormat="false" ht="44" hidden="false" customHeight="false" outlineLevel="0" collapsed="false">
      <c r="A40" s="17" t="n">
        <v>37</v>
      </c>
      <c r="B40" s="17" t="s">
        <v>100</v>
      </c>
      <c r="C40" s="17" t="s">
        <v>11</v>
      </c>
      <c r="D40" s="17"/>
      <c r="E40" s="16" t="s">
        <v>242</v>
      </c>
      <c r="F40" s="2" t="s">
        <v>243</v>
      </c>
      <c r="G40" s="2" t="s">
        <v>244</v>
      </c>
      <c r="H40" s="2" t="s">
        <v>598</v>
      </c>
      <c r="I40" s="2" t="s">
        <v>245</v>
      </c>
      <c r="J40" s="3" t="s">
        <v>593</v>
      </c>
      <c r="K40" s="7" t="n">
        <v>37</v>
      </c>
      <c r="L40" s="2" t="s">
        <v>718</v>
      </c>
    </row>
    <row r="41" customFormat="false" ht="44" hidden="false" customHeight="false" outlineLevel="0" collapsed="false">
      <c r="A41" s="17" t="n">
        <v>38</v>
      </c>
      <c r="B41" s="17" t="s">
        <v>100</v>
      </c>
      <c r="C41" s="17" t="s">
        <v>11</v>
      </c>
      <c r="D41" s="17"/>
      <c r="E41" s="16" t="s">
        <v>247</v>
      </c>
      <c r="F41" s="2" t="s">
        <v>248</v>
      </c>
      <c r="G41" s="2" t="s">
        <v>249</v>
      </c>
      <c r="H41" s="2" t="s">
        <v>599</v>
      </c>
      <c r="I41" s="2" t="s">
        <v>250</v>
      </c>
      <c r="J41" s="3" t="s">
        <v>593</v>
      </c>
      <c r="K41" s="7" t="n">
        <v>40</v>
      </c>
      <c r="L41" s="2" t="s">
        <v>719</v>
      </c>
    </row>
    <row r="42" customFormat="false" ht="44" hidden="false" customHeight="false" outlineLevel="0" collapsed="false">
      <c r="A42" s="17" t="n">
        <v>39</v>
      </c>
      <c r="B42" s="17" t="s">
        <v>100</v>
      </c>
      <c r="C42" s="17" t="s">
        <v>11</v>
      </c>
      <c r="D42" s="17"/>
      <c r="E42" s="16" t="s">
        <v>252</v>
      </c>
      <c r="F42" s="2" t="s">
        <v>253</v>
      </c>
      <c r="G42" s="2" t="s">
        <v>254</v>
      </c>
      <c r="H42" s="2" t="s">
        <v>600</v>
      </c>
      <c r="I42" s="2" t="s">
        <v>255</v>
      </c>
      <c r="J42" s="3" t="s">
        <v>593</v>
      </c>
      <c r="K42" s="7" t="n">
        <v>38</v>
      </c>
      <c r="L42" s="2" t="s">
        <v>720</v>
      </c>
    </row>
    <row r="43" customFormat="false" ht="72.35" hidden="false" customHeight="false" outlineLevel="0" collapsed="false">
      <c r="A43" s="17" t="n">
        <v>40</v>
      </c>
      <c r="B43" s="17" t="s">
        <v>100</v>
      </c>
      <c r="C43" s="17" t="s">
        <v>11</v>
      </c>
      <c r="D43" s="17"/>
      <c r="E43" s="16" t="s">
        <v>257</v>
      </c>
      <c r="F43" s="2" t="s">
        <v>258</v>
      </c>
      <c r="G43" s="2" t="s">
        <v>259</v>
      </c>
      <c r="H43" s="2" t="s">
        <v>601</v>
      </c>
      <c r="I43" s="2" t="s">
        <v>260</v>
      </c>
      <c r="J43" s="3" t="s">
        <v>593</v>
      </c>
      <c r="K43" s="7" t="n">
        <v>35</v>
      </c>
      <c r="L43" s="2" t="s">
        <v>721</v>
      </c>
    </row>
    <row r="44" customFormat="false" ht="44" hidden="false" customHeight="false" outlineLevel="0" collapsed="false">
      <c r="A44" s="17" t="n">
        <v>41</v>
      </c>
      <c r="B44" s="17" t="s">
        <v>100</v>
      </c>
      <c r="C44" s="17" t="s">
        <v>11</v>
      </c>
      <c r="D44" s="17"/>
      <c r="E44" s="16" t="s">
        <v>262</v>
      </c>
      <c r="F44" s="2" t="s">
        <v>263</v>
      </c>
      <c r="G44" s="2" t="s">
        <v>264</v>
      </c>
      <c r="H44" s="2" t="s">
        <v>602</v>
      </c>
      <c r="I44" s="2" t="s">
        <v>265</v>
      </c>
      <c r="J44" s="3" t="s">
        <v>593</v>
      </c>
      <c r="K44" s="7" t="n">
        <v>35</v>
      </c>
      <c r="L44" s="2" t="s">
        <v>722</v>
      </c>
    </row>
    <row r="45" customFormat="false" ht="55.2" hidden="false" customHeight="false" outlineLevel="0" collapsed="false">
      <c r="A45" s="17" t="n">
        <v>42</v>
      </c>
      <c r="B45" s="17" t="s">
        <v>100</v>
      </c>
      <c r="C45" s="17" t="s">
        <v>11</v>
      </c>
      <c r="D45" s="17"/>
      <c r="E45" s="16" t="s">
        <v>267</v>
      </c>
      <c r="F45" s="2" t="s">
        <v>268</v>
      </c>
      <c r="G45" s="2" t="s">
        <v>269</v>
      </c>
      <c r="H45" s="2" t="s">
        <v>603</v>
      </c>
      <c r="I45" s="2" t="s">
        <v>270</v>
      </c>
      <c r="J45" s="3" t="s">
        <v>593</v>
      </c>
      <c r="K45" s="7" t="n">
        <v>34</v>
      </c>
      <c r="L45" s="2" t="s">
        <v>723</v>
      </c>
    </row>
    <row r="46" customFormat="false" ht="44" hidden="false" customHeight="false" outlineLevel="0" collapsed="false">
      <c r="A46" s="17" t="n">
        <v>43</v>
      </c>
      <c r="B46" s="17" t="s">
        <v>100</v>
      </c>
      <c r="C46" s="17" t="s">
        <v>11</v>
      </c>
      <c r="D46" s="17"/>
      <c r="E46" s="16" t="s">
        <v>272</v>
      </c>
      <c r="F46" s="2" t="s">
        <v>273</v>
      </c>
      <c r="G46" s="2" t="s">
        <v>274</v>
      </c>
      <c r="H46" s="2" t="s">
        <v>604</v>
      </c>
      <c r="I46" s="2" t="s">
        <v>275</v>
      </c>
      <c r="J46" s="3" t="s">
        <v>593</v>
      </c>
      <c r="K46" s="7" t="n">
        <v>35</v>
      </c>
      <c r="L46" s="2" t="s">
        <v>724</v>
      </c>
    </row>
    <row r="47" customFormat="false" ht="44" hidden="false" customHeight="false" outlineLevel="0" collapsed="false">
      <c r="A47" s="17" t="n">
        <v>44</v>
      </c>
      <c r="B47" s="17" t="s">
        <v>100</v>
      </c>
      <c r="C47" s="17" t="s">
        <v>11</v>
      </c>
      <c r="D47" s="17"/>
      <c r="E47" s="16" t="s">
        <v>277</v>
      </c>
      <c r="F47" s="2" t="s">
        <v>278</v>
      </c>
      <c r="G47" s="2" t="s">
        <v>279</v>
      </c>
      <c r="H47" s="2" t="s">
        <v>605</v>
      </c>
      <c r="I47" s="2" t="s">
        <v>69</v>
      </c>
      <c r="J47" s="3" t="s">
        <v>543</v>
      </c>
      <c r="K47" s="7" t="n">
        <v>8</v>
      </c>
      <c r="L47" s="2" t="s">
        <v>725</v>
      </c>
    </row>
    <row r="48" customFormat="false" ht="15" hidden="false" customHeight="false" outlineLevel="0" collapsed="false">
      <c r="A48" s="9" t="str">
        <f aca="false">"3. 에이전트 — AI 일꾼이 지식 지도와 지금 값을 근거로 추천안 하나를 제안한다  ("&amp;SUM(K49:K78)&amp;"분)"</f>
        <v>3. 에이전트 — AI 일꾼이 지식 지도와 지금 값을 근거로 추천안 하나를 제안한다  (671분)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customFormat="false" ht="58.2" hidden="false" customHeight="false" outlineLevel="0" collapsed="false">
      <c r="A49" s="13" t="n">
        <v>45</v>
      </c>
      <c r="B49" s="13" t="s">
        <v>281</v>
      </c>
      <c r="C49" s="13" t="s">
        <v>7</v>
      </c>
      <c r="D49" s="13"/>
      <c r="E49" s="12" t="s">
        <v>282</v>
      </c>
      <c r="F49" s="2" t="s">
        <v>283</v>
      </c>
      <c r="G49" s="2" t="s">
        <v>606</v>
      </c>
      <c r="H49" s="2" t="s">
        <v>607</v>
      </c>
      <c r="I49" s="2" t="s">
        <v>285</v>
      </c>
      <c r="J49" s="2" t="s">
        <v>541</v>
      </c>
      <c r="K49" s="7" t="n">
        <v>23</v>
      </c>
      <c r="L49" s="2" t="s">
        <v>726</v>
      </c>
    </row>
    <row r="50" customFormat="false" ht="44" hidden="false" customHeight="false" outlineLevel="0" collapsed="false">
      <c r="A50" s="13" t="n">
        <v>46</v>
      </c>
      <c r="B50" s="13" t="s">
        <v>281</v>
      </c>
      <c r="C50" s="13" t="s">
        <v>7</v>
      </c>
      <c r="D50" s="13"/>
      <c r="E50" s="12" t="s">
        <v>286</v>
      </c>
      <c r="F50" s="2" t="s">
        <v>287</v>
      </c>
      <c r="G50" s="2" t="s">
        <v>608</v>
      </c>
      <c r="H50" s="2" t="s">
        <v>609</v>
      </c>
      <c r="I50" s="2" t="s">
        <v>289</v>
      </c>
      <c r="J50" s="2" t="s">
        <v>548</v>
      </c>
      <c r="K50" s="7" t="n">
        <v>38</v>
      </c>
      <c r="L50" s="2" t="s">
        <v>727</v>
      </c>
    </row>
    <row r="51" customFormat="false" ht="29.85" hidden="false" customHeight="false" outlineLevel="0" collapsed="false">
      <c r="A51" s="13" t="n">
        <v>47</v>
      </c>
      <c r="B51" s="13" t="s">
        <v>281</v>
      </c>
      <c r="C51" s="13" t="s">
        <v>7</v>
      </c>
      <c r="D51" s="13"/>
      <c r="E51" s="12" t="s">
        <v>291</v>
      </c>
      <c r="F51" s="3" t="s">
        <v>292</v>
      </c>
      <c r="G51" s="2" t="s">
        <v>610</v>
      </c>
      <c r="H51" s="3" t="s">
        <v>611</v>
      </c>
      <c r="I51" s="2" t="s">
        <v>294</v>
      </c>
      <c r="J51" s="2" t="s">
        <v>548</v>
      </c>
      <c r="K51" s="7" t="n">
        <v>12</v>
      </c>
      <c r="L51" s="2" t="s">
        <v>728</v>
      </c>
    </row>
    <row r="52" customFormat="false" ht="44" hidden="false" customHeight="false" outlineLevel="0" collapsed="false">
      <c r="A52" s="13" t="n">
        <v>48</v>
      </c>
      <c r="B52" s="13" t="s">
        <v>281</v>
      </c>
      <c r="C52" s="13" t="s">
        <v>7</v>
      </c>
      <c r="D52" s="13"/>
      <c r="E52" s="12" t="s">
        <v>295</v>
      </c>
      <c r="F52" s="2" t="s">
        <v>296</v>
      </c>
      <c r="G52" s="2" t="s">
        <v>612</v>
      </c>
      <c r="H52" s="2" t="s">
        <v>613</v>
      </c>
      <c r="I52" s="2" t="s">
        <v>298</v>
      </c>
      <c r="J52" s="2" t="s">
        <v>541</v>
      </c>
      <c r="K52" s="7" t="n">
        <v>17</v>
      </c>
      <c r="L52" s="2" t="s">
        <v>729</v>
      </c>
    </row>
    <row r="53" customFormat="false" ht="29.85" hidden="false" customHeight="false" outlineLevel="0" collapsed="false">
      <c r="A53" s="13" t="n">
        <v>49</v>
      </c>
      <c r="B53" s="13" t="s">
        <v>281</v>
      </c>
      <c r="C53" s="13" t="s">
        <v>7</v>
      </c>
      <c r="D53" s="13"/>
      <c r="E53" s="12" t="s">
        <v>299</v>
      </c>
      <c r="F53" s="2" t="s">
        <v>300</v>
      </c>
      <c r="G53" s="2" t="s">
        <v>614</v>
      </c>
      <c r="H53" s="2" t="s">
        <v>615</v>
      </c>
      <c r="I53" s="2" t="s">
        <v>302</v>
      </c>
      <c r="J53" s="2" t="s">
        <v>548</v>
      </c>
      <c r="K53" s="7" t="n">
        <v>13</v>
      </c>
      <c r="L53" s="2" t="s">
        <v>730</v>
      </c>
    </row>
    <row r="54" customFormat="false" ht="29.85" hidden="false" customHeight="false" outlineLevel="0" collapsed="false">
      <c r="A54" s="13" t="n">
        <v>50</v>
      </c>
      <c r="B54" s="13" t="s">
        <v>281</v>
      </c>
      <c r="C54" s="13" t="s">
        <v>7</v>
      </c>
      <c r="D54" s="13"/>
      <c r="E54" s="12" t="s">
        <v>303</v>
      </c>
      <c r="F54" s="3" t="s">
        <v>304</v>
      </c>
      <c r="G54" s="2" t="s">
        <v>616</v>
      </c>
      <c r="H54" s="2" t="s">
        <v>617</v>
      </c>
      <c r="I54" s="2" t="s">
        <v>306</v>
      </c>
      <c r="J54" s="2" t="s">
        <v>541</v>
      </c>
      <c r="K54" s="7" t="n">
        <v>6</v>
      </c>
      <c r="L54" s="2" t="s">
        <v>731</v>
      </c>
    </row>
    <row r="55" customFormat="false" ht="29.85" hidden="false" customHeight="false" outlineLevel="0" collapsed="false">
      <c r="A55" s="13" t="n">
        <v>51</v>
      </c>
      <c r="B55" s="13" t="s">
        <v>281</v>
      </c>
      <c r="C55" s="13" t="s">
        <v>7</v>
      </c>
      <c r="D55" s="13"/>
      <c r="E55" s="12" t="s">
        <v>307</v>
      </c>
      <c r="F55" s="2" t="s">
        <v>308</v>
      </c>
      <c r="G55" s="2" t="s">
        <v>618</v>
      </c>
      <c r="H55" s="3" t="s">
        <v>619</v>
      </c>
      <c r="I55" s="2" t="s">
        <v>310</v>
      </c>
      <c r="J55" s="2" t="s">
        <v>548</v>
      </c>
      <c r="K55" s="7" t="n">
        <v>25</v>
      </c>
      <c r="L55" s="2" t="s">
        <v>732</v>
      </c>
    </row>
    <row r="56" customFormat="false" ht="58.2" hidden="false" customHeight="false" outlineLevel="0" collapsed="false">
      <c r="A56" s="13" t="n">
        <v>52</v>
      </c>
      <c r="B56" s="13" t="s">
        <v>281</v>
      </c>
      <c r="C56" s="13" t="s">
        <v>7</v>
      </c>
      <c r="D56" s="13"/>
      <c r="E56" s="12" t="s">
        <v>311</v>
      </c>
      <c r="F56" s="2" t="s">
        <v>312</v>
      </c>
      <c r="G56" s="2" t="s">
        <v>620</v>
      </c>
      <c r="H56" s="2" t="s">
        <v>621</v>
      </c>
      <c r="I56" s="2" t="s">
        <v>314</v>
      </c>
      <c r="J56" s="3" t="s">
        <v>423</v>
      </c>
      <c r="K56" s="7" t="n">
        <v>32</v>
      </c>
      <c r="L56" s="2" t="s">
        <v>733</v>
      </c>
    </row>
    <row r="57" customFormat="false" ht="44" hidden="false" customHeight="false" outlineLevel="0" collapsed="false">
      <c r="A57" s="13" t="n">
        <v>53</v>
      </c>
      <c r="B57" s="13" t="s">
        <v>281</v>
      </c>
      <c r="C57" s="13" t="s">
        <v>7</v>
      </c>
      <c r="D57" s="13"/>
      <c r="E57" s="12" t="s">
        <v>316</v>
      </c>
      <c r="F57" s="2" t="s">
        <v>317</v>
      </c>
      <c r="G57" s="2" t="s">
        <v>622</v>
      </c>
      <c r="H57" s="2" t="s">
        <v>623</v>
      </c>
      <c r="I57" s="2" t="s">
        <v>319</v>
      </c>
      <c r="J57" s="2" t="s">
        <v>548</v>
      </c>
      <c r="K57" s="7" t="n">
        <v>18</v>
      </c>
      <c r="L57" s="2" t="s">
        <v>734</v>
      </c>
    </row>
    <row r="58" customFormat="false" ht="44" hidden="false" customHeight="false" outlineLevel="0" collapsed="false">
      <c r="A58" s="13" t="n">
        <v>54</v>
      </c>
      <c r="B58" s="13" t="s">
        <v>281</v>
      </c>
      <c r="C58" s="13" t="s">
        <v>7</v>
      </c>
      <c r="D58" s="13"/>
      <c r="E58" s="12" t="s">
        <v>324</v>
      </c>
      <c r="F58" s="3" t="s">
        <v>325</v>
      </c>
      <c r="G58" s="2" t="s">
        <v>626</v>
      </c>
      <c r="H58" s="2" t="s">
        <v>627</v>
      </c>
      <c r="I58" s="2" t="s">
        <v>327</v>
      </c>
      <c r="J58" s="2" t="s">
        <v>548</v>
      </c>
      <c r="K58" s="7" t="n">
        <v>18</v>
      </c>
      <c r="L58" s="2" t="s">
        <v>726</v>
      </c>
    </row>
    <row r="59" customFormat="false" ht="58.2" hidden="false" customHeight="false" outlineLevel="0" collapsed="false">
      <c r="A59" s="15" t="n">
        <v>55</v>
      </c>
      <c r="B59" s="15" t="s">
        <v>281</v>
      </c>
      <c r="C59" s="15" t="s">
        <v>9</v>
      </c>
      <c r="D59" s="15" t="s">
        <v>159</v>
      </c>
      <c r="E59" s="14" t="s">
        <v>328</v>
      </c>
      <c r="F59" s="2" t="s">
        <v>161</v>
      </c>
      <c r="G59" s="2" t="s">
        <v>329</v>
      </c>
      <c r="H59" s="2" t="s">
        <v>580</v>
      </c>
      <c r="I59" s="2" t="s">
        <v>163</v>
      </c>
      <c r="J59" s="2" t="s">
        <v>541</v>
      </c>
      <c r="K59" s="7" t="n">
        <v>8</v>
      </c>
      <c r="L59" s="2" t="s">
        <v>702</v>
      </c>
    </row>
    <row r="60" customFormat="false" ht="100.7" hidden="false" customHeight="false" outlineLevel="0" collapsed="false">
      <c r="A60" s="15" t="n">
        <v>56</v>
      </c>
      <c r="B60" s="15" t="s">
        <v>281</v>
      </c>
      <c r="C60" s="15" t="s">
        <v>9</v>
      </c>
      <c r="D60" s="14" t="s">
        <v>33</v>
      </c>
      <c r="E60" s="14" t="s">
        <v>330</v>
      </c>
      <c r="F60" s="2" t="s">
        <v>331</v>
      </c>
      <c r="G60" s="3" t="s">
        <v>332</v>
      </c>
      <c r="H60" s="3" t="s">
        <v>628</v>
      </c>
      <c r="I60" s="2" t="s">
        <v>333</v>
      </c>
      <c r="J60" s="2" t="s">
        <v>9</v>
      </c>
      <c r="K60" s="7" t="n">
        <v>34</v>
      </c>
      <c r="L60" s="2" t="s">
        <v>735</v>
      </c>
    </row>
    <row r="61" customFormat="false" ht="72.35" hidden="false" customHeight="false" outlineLevel="0" collapsed="false">
      <c r="A61" s="15" t="n">
        <v>57</v>
      </c>
      <c r="B61" s="15" t="s">
        <v>281</v>
      </c>
      <c r="C61" s="15" t="s">
        <v>9</v>
      </c>
      <c r="D61" s="14" t="s">
        <v>33</v>
      </c>
      <c r="E61" s="14" t="s">
        <v>335</v>
      </c>
      <c r="F61" s="2" t="s">
        <v>336</v>
      </c>
      <c r="G61" s="3" t="s">
        <v>337</v>
      </c>
      <c r="H61" s="3" t="s">
        <v>629</v>
      </c>
      <c r="I61" s="2" t="s">
        <v>338</v>
      </c>
      <c r="J61" s="2" t="s">
        <v>9</v>
      </c>
      <c r="K61" s="7" t="n">
        <v>25</v>
      </c>
      <c r="L61" s="2" t="s">
        <v>736</v>
      </c>
    </row>
    <row r="62" customFormat="false" ht="29.85" hidden="false" customHeight="false" outlineLevel="0" collapsed="false">
      <c r="A62" s="15" t="n">
        <v>58</v>
      </c>
      <c r="B62" s="15" t="s">
        <v>281</v>
      </c>
      <c r="C62" s="15" t="s">
        <v>9</v>
      </c>
      <c r="D62" s="14" t="s">
        <v>33</v>
      </c>
      <c r="E62" s="14" t="s">
        <v>340</v>
      </c>
      <c r="F62" s="2" t="s">
        <v>341</v>
      </c>
      <c r="G62" s="3" t="s">
        <v>342</v>
      </c>
      <c r="H62" s="3" t="s">
        <v>630</v>
      </c>
      <c r="I62" s="2" t="s">
        <v>327</v>
      </c>
      <c r="J62" s="2" t="s">
        <v>9</v>
      </c>
      <c r="K62" s="7" t="n">
        <v>10</v>
      </c>
      <c r="L62" s="2" t="s">
        <v>737</v>
      </c>
    </row>
    <row r="63" customFormat="false" ht="72.35" hidden="false" customHeight="false" outlineLevel="0" collapsed="false">
      <c r="A63" s="15" t="n">
        <v>59</v>
      </c>
      <c r="B63" s="15" t="s">
        <v>281</v>
      </c>
      <c r="C63" s="15" t="s">
        <v>9</v>
      </c>
      <c r="D63" s="14" t="s">
        <v>184</v>
      </c>
      <c r="E63" s="14" t="s">
        <v>343</v>
      </c>
      <c r="F63" s="2" t="s">
        <v>344</v>
      </c>
      <c r="G63" s="3" t="s">
        <v>345</v>
      </c>
      <c r="H63" s="3" t="s">
        <v>631</v>
      </c>
      <c r="I63" s="2" t="s">
        <v>346</v>
      </c>
      <c r="J63" s="2" t="s">
        <v>9</v>
      </c>
      <c r="K63" s="7" t="n">
        <v>16</v>
      </c>
      <c r="L63" s="2" t="s">
        <v>738</v>
      </c>
    </row>
    <row r="64" customFormat="false" ht="86.55" hidden="false" customHeight="false" outlineLevel="0" collapsed="false">
      <c r="A64" s="15" t="n">
        <v>60</v>
      </c>
      <c r="B64" s="15" t="s">
        <v>281</v>
      </c>
      <c r="C64" s="15" t="s">
        <v>9</v>
      </c>
      <c r="D64" s="14" t="s">
        <v>184</v>
      </c>
      <c r="E64" s="14" t="s">
        <v>348</v>
      </c>
      <c r="F64" s="2" t="s">
        <v>349</v>
      </c>
      <c r="G64" s="3" t="s">
        <v>350</v>
      </c>
      <c r="H64" s="3" t="s">
        <v>632</v>
      </c>
      <c r="I64" s="2" t="s">
        <v>338</v>
      </c>
      <c r="J64" s="2" t="s">
        <v>9</v>
      </c>
      <c r="K64" s="7" t="n">
        <v>21</v>
      </c>
      <c r="L64" s="2" t="s">
        <v>739</v>
      </c>
    </row>
    <row r="65" customFormat="false" ht="29.85" hidden="false" customHeight="false" outlineLevel="0" collapsed="false">
      <c r="A65" s="15" t="n">
        <v>61</v>
      </c>
      <c r="B65" s="15" t="s">
        <v>281</v>
      </c>
      <c r="C65" s="15" t="s">
        <v>9</v>
      </c>
      <c r="D65" s="14" t="s">
        <v>184</v>
      </c>
      <c r="E65" s="14" t="s">
        <v>352</v>
      </c>
      <c r="F65" s="2" t="s">
        <v>353</v>
      </c>
      <c r="G65" s="3" t="s">
        <v>354</v>
      </c>
      <c r="H65" s="3" t="s">
        <v>633</v>
      </c>
      <c r="I65" s="2" t="s">
        <v>355</v>
      </c>
      <c r="J65" s="2" t="s">
        <v>9</v>
      </c>
      <c r="K65" s="7" t="n">
        <v>4</v>
      </c>
      <c r="L65" s="2" t="s">
        <v>740</v>
      </c>
    </row>
    <row r="66" customFormat="false" ht="44" hidden="false" customHeight="false" outlineLevel="0" collapsed="false">
      <c r="A66" s="15" t="n">
        <v>62</v>
      </c>
      <c r="B66" s="15" t="s">
        <v>281</v>
      </c>
      <c r="C66" s="15" t="s">
        <v>9</v>
      </c>
      <c r="D66" s="14" t="s">
        <v>200</v>
      </c>
      <c r="E66" s="14" t="s">
        <v>356</v>
      </c>
      <c r="F66" s="2" t="s">
        <v>357</v>
      </c>
      <c r="G66" s="3" t="s">
        <v>358</v>
      </c>
      <c r="H66" s="3" t="s">
        <v>634</v>
      </c>
      <c r="I66" s="2" t="s">
        <v>359</v>
      </c>
      <c r="J66" s="2" t="s">
        <v>9</v>
      </c>
      <c r="K66" s="7" t="n">
        <v>16</v>
      </c>
      <c r="L66" s="2" t="s">
        <v>741</v>
      </c>
    </row>
    <row r="67" customFormat="false" ht="58.2" hidden="false" customHeight="false" outlineLevel="0" collapsed="false">
      <c r="A67" s="15" t="n">
        <v>63</v>
      </c>
      <c r="B67" s="15" t="s">
        <v>281</v>
      </c>
      <c r="C67" s="15" t="s">
        <v>9</v>
      </c>
      <c r="D67" s="14" t="s">
        <v>200</v>
      </c>
      <c r="E67" s="14" t="s">
        <v>361</v>
      </c>
      <c r="F67" s="2" t="s">
        <v>362</v>
      </c>
      <c r="G67" s="3" t="s">
        <v>363</v>
      </c>
      <c r="H67" s="3" t="s">
        <v>635</v>
      </c>
      <c r="I67" s="2" t="s">
        <v>338</v>
      </c>
      <c r="J67" s="2" t="s">
        <v>9</v>
      </c>
      <c r="K67" s="7" t="n">
        <v>19</v>
      </c>
      <c r="L67" s="2" t="s">
        <v>742</v>
      </c>
    </row>
    <row r="68" customFormat="false" ht="29.85" hidden="false" customHeight="false" outlineLevel="0" collapsed="false">
      <c r="A68" s="15" t="n">
        <v>64</v>
      </c>
      <c r="B68" s="15" t="s">
        <v>281</v>
      </c>
      <c r="C68" s="15" t="s">
        <v>9</v>
      </c>
      <c r="D68" s="14" t="s">
        <v>200</v>
      </c>
      <c r="E68" s="14" t="s">
        <v>365</v>
      </c>
      <c r="F68" s="2" t="s">
        <v>366</v>
      </c>
      <c r="G68" s="3" t="s">
        <v>367</v>
      </c>
      <c r="H68" s="3" t="s">
        <v>636</v>
      </c>
      <c r="I68" s="2" t="s">
        <v>355</v>
      </c>
      <c r="J68" s="2" t="s">
        <v>9</v>
      </c>
      <c r="K68" s="7" t="n">
        <v>4</v>
      </c>
      <c r="L68" s="2" t="s">
        <v>743</v>
      </c>
    </row>
    <row r="69" customFormat="false" ht="29.85" hidden="false" customHeight="false" outlineLevel="0" collapsed="false">
      <c r="A69" s="15" t="n">
        <v>65</v>
      </c>
      <c r="B69" s="15" t="s">
        <v>281</v>
      </c>
      <c r="C69" s="15" t="s">
        <v>9</v>
      </c>
      <c r="D69" s="15" t="s">
        <v>215</v>
      </c>
      <c r="E69" s="14" t="s">
        <v>368</v>
      </c>
      <c r="F69" s="2" t="s">
        <v>369</v>
      </c>
      <c r="G69" s="3" t="s">
        <v>370</v>
      </c>
      <c r="H69" s="2" t="s">
        <v>637</v>
      </c>
      <c r="I69" s="2" t="s">
        <v>371</v>
      </c>
      <c r="J69" s="2" t="s">
        <v>9</v>
      </c>
      <c r="K69" s="7" t="n">
        <v>7</v>
      </c>
      <c r="L69" s="2" t="s">
        <v>744</v>
      </c>
    </row>
    <row r="70" customFormat="false" ht="58.2" hidden="false" customHeight="false" outlineLevel="0" collapsed="false">
      <c r="A70" s="17" t="n">
        <v>66</v>
      </c>
      <c r="B70" s="17" t="s">
        <v>281</v>
      </c>
      <c r="C70" s="17" t="s">
        <v>11</v>
      </c>
      <c r="D70" s="17"/>
      <c r="E70" s="16" t="s">
        <v>372</v>
      </c>
      <c r="F70" s="2" t="s">
        <v>373</v>
      </c>
      <c r="G70" s="2" t="s">
        <v>374</v>
      </c>
      <c r="H70" s="2" t="s">
        <v>638</v>
      </c>
      <c r="I70" s="2" t="s">
        <v>375</v>
      </c>
      <c r="J70" s="3" t="s">
        <v>593</v>
      </c>
      <c r="K70" s="7" t="n">
        <v>39</v>
      </c>
      <c r="L70" s="2" t="s">
        <v>745</v>
      </c>
    </row>
    <row r="71" customFormat="false" ht="44" hidden="false" customHeight="false" outlineLevel="0" collapsed="false">
      <c r="A71" s="17" t="n">
        <v>67</v>
      </c>
      <c r="B71" s="17" t="s">
        <v>281</v>
      </c>
      <c r="C71" s="17" t="s">
        <v>11</v>
      </c>
      <c r="D71" s="17"/>
      <c r="E71" s="16" t="s">
        <v>377</v>
      </c>
      <c r="F71" s="2" t="s">
        <v>378</v>
      </c>
      <c r="G71" s="2" t="s">
        <v>379</v>
      </c>
      <c r="H71" s="2" t="s">
        <v>639</v>
      </c>
      <c r="I71" s="2" t="s">
        <v>380</v>
      </c>
      <c r="J71" s="3" t="s">
        <v>593</v>
      </c>
      <c r="K71" s="7" t="n">
        <v>34</v>
      </c>
      <c r="L71" s="2" t="s">
        <v>746</v>
      </c>
    </row>
    <row r="72" customFormat="false" ht="44" hidden="false" customHeight="false" outlineLevel="0" collapsed="false">
      <c r="A72" s="17" t="n">
        <v>68</v>
      </c>
      <c r="B72" s="17" t="s">
        <v>281</v>
      </c>
      <c r="C72" s="17" t="s">
        <v>11</v>
      </c>
      <c r="D72" s="17"/>
      <c r="E72" s="16" t="s">
        <v>382</v>
      </c>
      <c r="F72" s="2" t="s">
        <v>383</v>
      </c>
      <c r="G72" s="2" t="s">
        <v>384</v>
      </c>
      <c r="H72" s="2" t="s">
        <v>640</v>
      </c>
      <c r="I72" s="2" t="s">
        <v>385</v>
      </c>
      <c r="J72" s="3" t="s">
        <v>593</v>
      </c>
      <c r="K72" s="7" t="n">
        <v>39</v>
      </c>
      <c r="L72" s="2" t="s">
        <v>747</v>
      </c>
    </row>
    <row r="73" customFormat="false" ht="58.2" hidden="false" customHeight="false" outlineLevel="0" collapsed="false">
      <c r="A73" s="17" t="n">
        <v>69</v>
      </c>
      <c r="B73" s="17" t="s">
        <v>281</v>
      </c>
      <c r="C73" s="17" t="s">
        <v>11</v>
      </c>
      <c r="D73" s="17"/>
      <c r="E73" s="16" t="s">
        <v>387</v>
      </c>
      <c r="F73" s="2" t="s">
        <v>388</v>
      </c>
      <c r="G73" s="2" t="s">
        <v>389</v>
      </c>
      <c r="H73" s="2" t="s">
        <v>641</v>
      </c>
      <c r="I73" s="2" t="s">
        <v>390</v>
      </c>
      <c r="J73" s="3" t="s">
        <v>593</v>
      </c>
      <c r="K73" s="7" t="n">
        <v>42</v>
      </c>
      <c r="L73" s="2" t="s">
        <v>748</v>
      </c>
    </row>
    <row r="74" customFormat="false" ht="44" hidden="false" customHeight="false" outlineLevel="0" collapsed="false">
      <c r="A74" s="17" t="n">
        <v>70</v>
      </c>
      <c r="B74" s="17" t="s">
        <v>281</v>
      </c>
      <c r="C74" s="17" t="s">
        <v>11</v>
      </c>
      <c r="D74" s="17"/>
      <c r="E74" s="16" t="s">
        <v>392</v>
      </c>
      <c r="F74" s="2" t="s">
        <v>393</v>
      </c>
      <c r="G74" s="2" t="s">
        <v>394</v>
      </c>
      <c r="H74" s="2" t="s">
        <v>642</v>
      </c>
      <c r="I74" s="2" t="s">
        <v>395</v>
      </c>
      <c r="J74" s="3" t="s">
        <v>593</v>
      </c>
      <c r="K74" s="7" t="n">
        <v>35</v>
      </c>
      <c r="L74" s="2" t="s">
        <v>749</v>
      </c>
    </row>
    <row r="75" customFormat="false" ht="44" hidden="false" customHeight="false" outlineLevel="0" collapsed="false">
      <c r="A75" s="17" t="n">
        <v>71</v>
      </c>
      <c r="B75" s="17" t="s">
        <v>281</v>
      </c>
      <c r="C75" s="17" t="s">
        <v>11</v>
      </c>
      <c r="D75" s="17"/>
      <c r="E75" s="16" t="s">
        <v>397</v>
      </c>
      <c r="F75" s="2" t="s">
        <v>398</v>
      </c>
      <c r="G75" s="2" t="s">
        <v>399</v>
      </c>
      <c r="H75" s="2" t="s">
        <v>643</v>
      </c>
      <c r="I75" s="2" t="s">
        <v>400</v>
      </c>
      <c r="J75" s="3" t="s">
        <v>593</v>
      </c>
      <c r="K75" s="7" t="n">
        <v>36</v>
      </c>
      <c r="L75" s="2" t="s">
        <v>750</v>
      </c>
    </row>
    <row r="76" customFormat="false" ht="29.85" hidden="false" customHeight="false" outlineLevel="0" collapsed="false">
      <c r="A76" s="17" t="n">
        <v>72</v>
      </c>
      <c r="B76" s="17" t="s">
        <v>281</v>
      </c>
      <c r="C76" s="17" t="s">
        <v>11</v>
      </c>
      <c r="D76" s="17"/>
      <c r="E76" s="16" t="s">
        <v>402</v>
      </c>
      <c r="F76" s="2" t="s">
        <v>403</v>
      </c>
      <c r="G76" s="2" t="s">
        <v>404</v>
      </c>
      <c r="H76" s="2" t="s">
        <v>644</v>
      </c>
      <c r="I76" s="2" t="s">
        <v>405</v>
      </c>
      <c r="J76" s="3" t="s">
        <v>593</v>
      </c>
      <c r="K76" s="7" t="n">
        <v>34</v>
      </c>
      <c r="L76" s="2" t="s">
        <v>751</v>
      </c>
    </row>
    <row r="77" customFormat="false" ht="29.85" hidden="false" customHeight="false" outlineLevel="0" collapsed="false">
      <c r="A77" s="17" t="n">
        <v>73</v>
      </c>
      <c r="B77" s="17" t="s">
        <v>281</v>
      </c>
      <c r="C77" s="17" t="s">
        <v>11</v>
      </c>
      <c r="D77" s="17"/>
      <c r="E77" s="16" t="s">
        <v>407</v>
      </c>
      <c r="F77" s="2" t="s">
        <v>408</v>
      </c>
      <c r="G77" s="2" t="s">
        <v>409</v>
      </c>
      <c r="H77" s="2" t="s">
        <v>645</v>
      </c>
      <c r="I77" s="2" t="s">
        <v>410</v>
      </c>
      <c r="J77" s="3" t="s">
        <v>593</v>
      </c>
      <c r="K77" s="7" t="n">
        <v>38</v>
      </c>
      <c r="L77" s="2" t="s">
        <v>752</v>
      </c>
    </row>
    <row r="78" customFormat="false" ht="29.85" hidden="false" customHeight="false" outlineLevel="0" collapsed="false">
      <c r="A78" s="17" t="n">
        <v>74</v>
      </c>
      <c r="B78" s="17" t="s">
        <v>281</v>
      </c>
      <c r="C78" s="17" t="s">
        <v>11</v>
      </c>
      <c r="D78" s="17"/>
      <c r="E78" s="16" t="s">
        <v>412</v>
      </c>
      <c r="F78" s="2" t="s">
        <v>413</v>
      </c>
      <c r="G78" s="2" t="s">
        <v>414</v>
      </c>
      <c r="H78" s="2" t="s">
        <v>646</v>
      </c>
      <c r="I78" s="2" t="s">
        <v>69</v>
      </c>
      <c r="J78" s="3" t="s">
        <v>543</v>
      </c>
      <c r="K78" s="7" t="n">
        <v>8</v>
      </c>
      <c r="L78" s="2" t="s">
        <v>725</v>
      </c>
    </row>
    <row r="79" customFormat="false" ht="15" hidden="false" customHeight="false" outlineLevel="0" collapsed="false">
      <c r="A79" s="9" t="str">
        <f aca="false">"4. BPMN — 제안이 한 번 승인되고, 실행되고, 자동 확인되어야 일이 닫힌다  ("&amp;SUM(K80:K103)&amp;"분)"</f>
        <v>4. BPMN — 제안이 한 번 승인되고, 실행되고, 자동 확인되어야 일이 닫힌다  (552분)</v>
      </c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</row>
    <row r="80" customFormat="false" ht="44" hidden="false" customHeight="false" outlineLevel="0" collapsed="false">
      <c r="A80" s="13" t="n">
        <v>75</v>
      </c>
      <c r="B80" s="12" t="s">
        <v>415</v>
      </c>
      <c r="C80" s="13" t="s">
        <v>7</v>
      </c>
      <c r="D80" s="13"/>
      <c r="E80" s="12" t="s">
        <v>416</v>
      </c>
      <c r="F80" s="2" t="s">
        <v>417</v>
      </c>
      <c r="G80" s="2" t="s">
        <v>647</v>
      </c>
      <c r="H80" s="2" t="s">
        <v>648</v>
      </c>
      <c r="I80" s="2" t="s">
        <v>419</v>
      </c>
      <c r="J80" s="2" t="s">
        <v>541</v>
      </c>
      <c r="K80" s="7" t="n">
        <v>20</v>
      </c>
      <c r="L80" s="2" t="s">
        <v>753</v>
      </c>
    </row>
    <row r="81" customFormat="false" ht="29.85" hidden="false" customHeight="false" outlineLevel="0" collapsed="false">
      <c r="A81" s="13" t="n">
        <v>76</v>
      </c>
      <c r="B81" s="12" t="s">
        <v>415</v>
      </c>
      <c r="C81" s="13" t="s">
        <v>7</v>
      </c>
      <c r="D81" s="13"/>
      <c r="E81" s="12" t="s">
        <v>420</v>
      </c>
      <c r="F81" s="2" t="s">
        <v>421</v>
      </c>
      <c r="G81" s="3" t="s">
        <v>649</v>
      </c>
      <c r="H81" s="2" t="s">
        <v>650</v>
      </c>
      <c r="I81" s="3" t="s">
        <v>423</v>
      </c>
      <c r="J81" s="3" t="s">
        <v>423</v>
      </c>
      <c r="K81" s="7" t="n">
        <v>20</v>
      </c>
      <c r="L81" s="2" t="s">
        <v>754</v>
      </c>
    </row>
    <row r="82" customFormat="false" ht="58.2" hidden="false" customHeight="false" outlineLevel="0" collapsed="false">
      <c r="A82" s="13" t="n">
        <v>77</v>
      </c>
      <c r="B82" s="12" t="s">
        <v>415</v>
      </c>
      <c r="C82" s="13" t="s">
        <v>7</v>
      </c>
      <c r="D82" s="13"/>
      <c r="E82" s="12" t="s">
        <v>425</v>
      </c>
      <c r="F82" s="2" t="s">
        <v>426</v>
      </c>
      <c r="G82" s="2" t="s">
        <v>651</v>
      </c>
      <c r="H82" s="2" t="s">
        <v>652</v>
      </c>
      <c r="I82" s="2" t="s">
        <v>428</v>
      </c>
      <c r="J82" s="2" t="s">
        <v>548</v>
      </c>
      <c r="K82" s="7" t="n">
        <v>37</v>
      </c>
      <c r="L82" s="2" t="s">
        <v>755</v>
      </c>
    </row>
    <row r="83" customFormat="false" ht="44" hidden="false" customHeight="false" outlineLevel="0" collapsed="false">
      <c r="A83" s="13" t="n">
        <v>78</v>
      </c>
      <c r="B83" s="12" t="s">
        <v>415</v>
      </c>
      <c r="C83" s="13" t="s">
        <v>7</v>
      </c>
      <c r="D83" s="13"/>
      <c r="E83" s="12" t="s">
        <v>430</v>
      </c>
      <c r="F83" s="2" t="s">
        <v>431</v>
      </c>
      <c r="G83" s="2" t="s">
        <v>653</v>
      </c>
      <c r="H83" s="2" t="s">
        <v>654</v>
      </c>
      <c r="I83" s="2" t="s">
        <v>433</v>
      </c>
      <c r="J83" s="2" t="s">
        <v>541</v>
      </c>
      <c r="K83" s="7" t="n">
        <v>6</v>
      </c>
      <c r="L83" s="2" t="s">
        <v>731</v>
      </c>
    </row>
    <row r="84" customFormat="false" ht="58.2" hidden="false" customHeight="false" outlineLevel="0" collapsed="false">
      <c r="A84" s="13" t="n">
        <v>79</v>
      </c>
      <c r="B84" s="12" t="s">
        <v>415</v>
      </c>
      <c r="C84" s="13" t="s">
        <v>7</v>
      </c>
      <c r="D84" s="13"/>
      <c r="E84" s="12" t="s">
        <v>434</v>
      </c>
      <c r="F84" s="3" t="s">
        <v>435</v>
      </c>
      <c r="G84" s="2" t="s">
        <v>655</v>
      </c>
      <c r="H84" s="2" t="s">
        <v>656</v>
      </c>
      <c r="I84" s="2" t="s">
        <v>437</v>
      </c>
      <c r="J84" s="2" t="s">
        <v>548</v>
      </c>
      <c r="K84" s="7" t="n">
        <v>28</v>
      </c>
      <c r="L84" s="2" t="s">
        <v>756</v>
      </c>
    </row>
    <row r="85" customFormat="false" ht="44" hidden="false" customHeight="false" outlineLevel="0" collapsed="false">
      <c r="A85" s="13" t="n">
        <v>80</v>
      </c>
      <c r="B85" s="12" t="s">
        <v>415</v>
      </c>
      <c r="C85" s="13" t="s">
        <v>7</v>
      </c>
      <c r="D85" s="13"/>
      <c r="E85" s="12" t="s">
        <v>438</v>
      </c>
      <c r="F85" s="2" t="s">
        <v>439</v>
      </c>
      <c r="G85" s="2" t="s">
        <v>657</v>
      </c>
      <c r="H85" s="2" t="s">
        <v>658</v>
      </c>
      <c r="I85" s="2" t="s">
        <v>441</v>
      </c>
      <c r="J85" s="3" t="s">
        <v>423</v>
      </c>
      <c r="K85" s="7" t="n">
        <v>22</v>
      </c>
      <c r="L85" s="2" t="s">
        <v>757</v>
      </c>
    </row>
    <row r="86" customFormat="false" ht="58.2" hidden="false" customHeight="false" outlineLevel="0" collapsed="false">
      <c r="A86" s="13" t="n">
        <v>81</v>
      </c>
      <c r="B86" s="12" t="s">
        <v>415</v>
      </c>
      <c r="C86" s="13" t="s">
        <v>7</v>
      </c>
      <c r="D86" s="13"/>
      <c r="E86" s="12" t="s">
        <v>443</v>
      </c>
      <c r="F86" s="2" t="s">
        <v>444</v>
      </c>
      <c r="G86" s="2" t="s">
        <v>659</v>
      </c>
      <c r="H86" s="2" t="s">
        <v>660</v>
      </c>
      <c r="I86" s="2" t="s">
        <v>446</v>
      </c>
      <c r="J86" s="2" t="s">
        <v>541</v>
      </c>
      <c r="K86" s="7" t="n">
        <v>14</v>
      </c>
      <c r="L86" s="2" t="s">
        <v>753</v>
      </c>
    </row>
    <row r="87" customFormat="false" ht="29.85" hidden="false" customHeight="false" outlineLevel="0" collapsed="false">
      <c r="A87" s="13" t="n">
        <v>82</v>
      </c>
      <c r="B87" s="12" t="s">
        <v>415</v>
      </c>
      <c r="C87" s="13" t="s">
        <v>7</v>
      </c>
      <c r="D87" s="13"/>
      <c r="E87" s="12" t="s">
        <v>447</v>
      </c>
      <c r="F87" s="2" t="s">
        <v>448</v>
      </c>
      <c r="G87" s="2" t="s">
        <v>661</v>
      </c>
      <c r="H87" s="2" t="s">
        <v>662</v>
      </c>
      <c r="I87" s="2" t="s">
        <v>450</v>
      </c>
      <c r="J87" s="2" t="s">
        <v>541</v>
      </c>
      <c r="K87" s="7" t="n">
        <v>10</v>
      </c>
      <c r="L87" s="2" t="s">
        <v>731</v>
      </c>
    </row>
    <row r="88" customFormat="false" ht="29.85" hidden="false" customHeight="false" outlineLevel="0" collapsed="false">
      <c r="A88" s="13" t="n">
        <v>83</v>
      </c>
      <c r="B88" s="12" t="s">
        <v>415</v>
      </c>
      <c r="C88" s="13" t="s">
        <v>7</v>
      </c>
      <c r="D88" s="13"/>
      <c r="E88" s="12" t="s">
        <v>451</v>
      </c>
      <c r="F88" s="2" t="s">
        <v>452</v>
      </c>
      <c r="G88" s="2" t="s">
        <v>663</v>
      </c>
      <c r="H88" s="2" t="s">
        <v>664</v>
      </c>
      <c r="I88" s="2" t="s">
        <v>454</v>
      </c>
      <c r="J88" s="2" t="s">
        <v>548</v>
      </c>
      <c r="K88" s="7" t="n">
        <v>18</v>
      </c>
      <c r="L88" s="2" t="s">
        <v>758</v>
      </c>
    </row>
    <row r="89" customFormat="false" ht="58.2" hidden="false" customHeight="false" outlineLevel="0" collapsed="false">
      <c r="A89" s="15" t="n">
        <v>84</v>
      </c>
      <c r="B89" s="14" t="s">
        <v>415</v>
      </c>
      <c r="C89" s="15" t="s">
        <v>9</v>
      </c>
      <c r="D89" s="15" t="s">
        <v>159</v>
      </c>
      <c r="E89" s="14" t="s">
        <v>459</v>
      </c>
      <c r="F89" s="2" t="s">
        <v>161</v>
      </c>
      <c r="G89" s="2" t="s">
        <v>460</v>
      </c>
      <c r="H89" s="2" t="s">
        <v>580</v>
      </c>
      <c r="I89" s="2" t="s">
        <v>163</v>
      </c>
      <c r="J89" s="2" t="s">
        <v>541</v>
      </c>
      <c r="K89" s="7" t="n">
        <v>8</v>
      </c>
      <c r="L89" s="2" t="s">
        <v>702</v>
      </c>
    </row>
    <row r="90" customFormat="false" ht="97.75" hidden="false" customHeight="false" outlineLevel="0" collapsed="false">
      <c r="A90" s="15" t="n">
        <v>85</v>
      </c>
      <c r="B90" s="14" t="s">
        <v>415</v>
      </c>
      <c r="C90" s="15" t="s">
        <v>9</v>
      </c>
      <c r="D90" s="14" t="s">
        <v>33</v>
      </c>
      <c r="E90" s="14" t="s">
        <v>461</v>
      </c>
      <c r="F90" s="2" t="s">
        <v>462</v>
      </c>
      <c r="G90" s="3" t="s">
        <v>463</v>
      </c>
      <c r="H90" s="3" t="s">
        <v>667</v>
      </c>
      <c r="I90" s="3" t="s">
        <v>464</v>
      </c>
      <c r="J90" s="2" t="s">
        <v>9</v>
      </c>
      <c r="K90" s="7" t="n">
        <v>32</v>
      </c>
      <c r="L90" s="2" t="s">
        <v>759</v>
      </c>
    </row>
    <row r="91" customFormat="false" ht="72.35" hidden="false" customHeight="false" outlineLevel="0" collapsed="false">
      <c r="A91" s="15" t="n">
        <v>86</v>
      </c>
      <c r="B91" s="14" t="s">
        <v>415</v>
      </c>
      <c r="C91" s="15" t="s">
        <v>9</v>
      </c>
      <c r="D91" s="14" t="s">
        <v>33</v>
      </c>
      <c r="E91" s="14" t="s">
        <v>465</v>
      </c>
      <c r="F91" s="2" t="s">
        <v>466</v>
      </c>
      <c r="G91" s="3" t="s">
        <v>467</v>
      </c>
      <c r="H91" s="3" t="s">
        <v>668</v>
      </c>
      <c r="I91" s="2" t="s">
        <v>468</v>
      </c>
      <c r="J91" s="2" t="s">
        <v>9</v>
      </c>
      <c r="K91" s="7" t="n">
        <v>31</v>
      </c>
      <c r="L91" s="2" t="s">
        <v>760</v>
      </c>
    </row>
    <row r="92" customFormat="false" ht="58.2" hidden="false" customHeight="false" outlineLevel="0" collapsed="false">
      <c r="A92" s="15" t="n">
        <v>87</v>
      </c>
      <c r="B92" s="14" t="s">
        <v>415</v>
      </c>
      <c r="C92" s="15" t="s">
        <v>9</v>
      </c>
      <c r="D92" s="14" t="s">
        <v>184</v>
      </c>
      <c r="E92" s="14" t="s">
        <v>470</v>
      </c>
      <c r="F92" s="2" t="s">
        <v>471</v>
      </c>
      <c r="G92" s="3" t="s">
        <v>472</v>
      </c>
      <c r="H92" s="3" t="s">
        <v>669</v>
      </c>
      <c r="I92" s="2" t="s">
        <v>473</v>
      </c>
      <c r="J92" s="2" t="s">
        <v>9</v>
      </c>
      <c r="K92" s="7" t="n">
        <v>14</v>
      </c>
      <c r="L92" s="2" t="s">
        <v>709</v>
      </c>
    </row>
    <row r="93" customFormat="false" ht="72.35" hidden="false" customHeight="false" outlineLevel="0" collapsed="false">
      <c r="A93" s="15" t="n">
        <v>88</v>
      </c>
      <c r="B93" s="14" t="s">
        <v>415</v>
      </c>
      <c r="C93" s="15" t="s">
        <v>9</v>
      </c>
      <c r="D93" s="14" t="s">
        <v>184</v>
      </c>
      <c r="E93" s="14" t="s">
        <v>474</v>
      </c>
      <c r="F93" s="2" t="s">
        <v>475</v>
      </c>
      <c r="G93" s="3" t="s">
        <v>476</v>
      </c>
      <c r="H93" s="3" t="s">
        <v>670</v>
      </c>
      <c r="I93" s="2" t="s">
        <v>477</v>
      </c>
      <c r="J93" s="2" t="s">
        <v>9</v>
      </c>
      <c r="K93" s="7" t="n">
        <v>25</v>
      </c>
      <c r="L93" s="2" t="s">
        <v>761</v>
      </c>
    </row>
    <row r="94" customFormat="false" ht="44" hidden="false" customHeight="false" outlineLevel="0" collapsed="false">
      <c r="A94" s="15" t="n">
        <v>89</v>
      </c>
      <c r="B94" s="14" t="s">
        <v>415</v>
      </c>
      <c r="C94" s="15" t="s">
        <v>9</v>
      </c>
      <c r="D94" s="14" t="s">
        <v>200</v>
      </c>
      <c r="E94" s="14" t="s">
        <v>479</v>
      </c>
      <c r="F94" s="2" t="s">
        <v>480</v>
      </c>
      <c r="G94" s="3" t="s">
        <v>481</v>
      </c>
      <c r="H94" s="3" t="s">
        <v>671</v>
      </c>
      <c r="I94" s="2" t="s">
        <v>482</v>
      </c>
      <c r="J94" s="2" t="s">
        <v>9</v>
      </c>
      <c r="K94" s="7" t="n">
        <v>13</v>
      </c>
      <c r="L94" s="2" t="s">
        <v>712</v>
      </c>
    </row>
    <row r="95" customFormat="false" ht="58.2" hidden="false" customHeight="false" outlineLevel="0" collapsed="false">
      <c r="A95" s="15" t="n">
        <v>90</v>
      </c>
      <c r="B95" s="14" t="s">
        <v>415</v>
      </c>
      <c r="C95" s="15" t="s">
        <v>9</v>
      </c>
      <c r="D95" s="14" t="s">
        <v>200</v>
      </c>
      <c r="E95" s="14" t="s">
        <v>483</v>
      </c>
      <c r="F95" s="2" t="s">
        <v>484</v>
      </c>
      <c r="G95" s="3" t="s">
        <v>485</v>
      </c>
      <c r="H95" s="3" t="s">
        <v>672</v>
      </c>
      <c r="I95" s="2" t="s">
        <v>486</v>
      </c>
      <c r="J95" s="2" t="s">
        <v>9</v>
      </c>
      <c r="K95" s="7" t="n">
        <v>22</v>
      </c>
      <c r="L95" s="2" t="s">
        <v>762</v>
      </c>
    </row>
    <row r="96" customFormat="false" ht="29.85" hidden="false" customHeight="false" outlineLevel="0" collapsed="false">
      <c r="A96" s="15" t="n">
        <v>91</v>
      </c>
      <c r="B96" s="14" t="s">
        <v>415</v>
      </c>
      <c r="C96" s="15" t="s">
        <v>9</v>
      </c>
      <c r="D96" s="15" t="s">
        <v>215</v>
      </c>
      <c r="E96" s="14" t="s">
        <v>488</v>
      </c>
      <c r="F96" s="2" t="s">
        <v>489</v>
      </c>
      <c r="G96" s="3" t="s">
        <v>490</v>
      </c>
      <c r="H96" s="2" t="s">
        <v>673</v>
      </c>
      <c r="I96" s="2" t="s">
        <v>491</v>
      </c>
      <c r="J96" s="2" t="s">
        <v>9</v>
      </c>
      <c r="K96" s="7" t="n">
        <v>5</v>
      </c>
      <c r="L96" s="2" t="s">
        <v>713</v>
      </c>
    </row>
    <row r="97" customFormat="false" ht="29.85" hidden="false" customHeight="false" outlineLevel="0" collapsed="false">
      <c r="A97" s="17" t="n">
        <v>92</v>
      </c>
      <c r="B97" s="16" t="s">
        <v>415</v>
      </c>
      <c r="C97" s="17" t="s">
        <v>11</v>
      </c>
      <c r="D97" s="17"/>
      <c r="E97" s="16" t="s">
        <v>492</v>
      </c>
      <c r="F97" s="2" t="s">
        <v>493</v>
      </c>
      <c r="G97" s="2" t="s">
        <v>494</v>
      </c>
      <c r="H97" s="3" t="s">
        <v>674</v>
      </c>
      <c r="I97" s="2" t="s">
        <v>495</v>
      </c>
      <c r="J97" s="3" t="s">
        <v>593</v>
      </c>
      <c r="K97" s="7" t="n">
        <v>40</v>
      </c>
      <c r="L97" s="2" t="s">
        <v>763</v>
      </c>
    </row>
    <row r="98" customFormat="false" ht="58.2" hidden="false" customHeight="false" outlineLevel="0" collapsed="false">
      <c r="A98" s="17" t="n">
        <v>93</v>
      </c>
      <c r="B98" s="16" t="s">
        <v>415</v>
      </c>
      <c r="C98" s="17" t="s">
        <v>11</v>
      </c>
      <c r="D98" s="17"/>
      <c r="E98" s="16" t="s">
        <v>497</v>
      </c>
      <c r="F98" s="2" t="s">
        <v>498</v>
      </c>
      <c r="G98" s="2" t="s">
        <v>499</v>
      </c>
      <c r="H98" s="2" t="s">
        <v>675</v>
      </c>
      <c r="I98" s="2" t="s">
        <v>500</v>
      </c>
      <c r="J98" s="3" t="s">
        <v>593</v>
      </c>
      <c r="K98" s="7" t="n">
        <v>42</v>
      </c>
      <c r="L98" s="2" t="s">
        <v>764</v>
      </c>
    </row>
    <row r="99" customFormat="false" ht="44" hidden="false" customHeight="false" outlineLevel="0" collapsed="false">
      <c r="A99" s="17" t="n">
        <v>94</v>
      </c>
      <c r="B99" s="16" t="s">
        <v>415</v>
      </c>
      <c r="C99" s="17" t="s">
        <v>11</v>
      </c>
      <c r="D99" s="17"/>
      <c r="E99" s="16" t="s">
        <v>502</v>
      </c>
      <c r="F99" s="2" t="s">
        <v>503</v>
      </c>
      <c r="G99" s="2" t="s">
        <v>504</v>
      </c>
      <c r="H99" s="2" t="s">
        <v>676</v>
      </c>
      <c r="I99" s="2" t="s">
        <v>505</v>
      </c>
      <c r="J99" s="3" t="s">
        <v>593</v>
      </c>
      <c r="K99" s="7" t="n">
        <v>34</v>
      </c>
      <c r="L99" s="2" t="s">
        <v>765</v>
      </c>
    </row>
    <row r="100" customFormat="false" ht="29.85" hidden="false" customHeight="false" outlineLevel="0" collapsed="false">
      <c r="A100" s="17" t="n">
        <v>95</v>
      </c>
      <c r="B100" s="16" t="s">
        <v>415</v>
      </c>
      <c r="C100" s="17" t="s">
        <v>11</v>
      </c>
      <c r="D100" s="17"/>
      <c r="E100" s="16" t="s">
        <v>507</v>
      </c>
      <c r="F100" s="2" t="s">
        <v>508</v>
      </c>
      <c r="G100" s="3" t="s">
        <v>509</v>
      </c>
      <c r="H100" s="2" t="s">
        <v>677</v>
      </c>
      <c r="I100" s="2" t="s">
        <v>510</v>
      </c>
      <c r="J100" s="3" t="s">
        <v>593</v>
      </c>
      <c r="K100" s="7" t="n">
        <v>26</v>
      </c>
      <c r="L100" s="2" t="s">
        <v>766</v>
      </c>
    </row>
    <row r="101" customFormat="false" ht="44" hidden="false" customHeight="false" outlineLevel="0" collapsed="false">
      <c r="A101" s="17" t="n">
        <v>96</v>
      </c>
      <c r="B101" s="16" t="s">
        <v>415</v>
      </c>
      <c r="C101" s="17" t="s">
        <v>11</v>
      </c>
      <c r="D101" s="17"/>
      <c r="E101" s="16" t="s">
        <v>512</v>
      </c>
      <c r="F101" s="2" t="s">
        <v>513</v>
      </c>
      <c r="G101" s="2" t="s">
        <v>514</v>
      </c>
      <c r="H101" s="2" t="s">
        <v>678</v>
      </c>
      <c r="I101" s="2" t="s">
        <v>515</v>
      </c>
      <c r="J101" s="3" t="s">
        <v>593</v>
      </c>
      <c r="K101" s="7" t="n">
        <v>38</v>
      </c>
      <c r="L101" s="2" t="s">
        <v>767</v>
      </c>
    </row>
    <row r="102" customFormat="false" ht="41" hidden="false" customHeight="false" outlineLevel="0" collapsed="false">
      <c r="A102" s="17" t="n">
        <v>97</v>
      </c>
      <c r="B102" s="16" t="s">
        <v>415</v>
      </c>
      <c r="C102" s="17" t="s">
        <v>11</v>
      </c>
      <c r="D102" s="17"/>
      <c r="E102" s="16" t="s">
        <v>517</v>
      </c>
      <c r="F102" s="2" t="s">
        <v>518</v>
      </c>
      <c r="G102" s="2" t="s">
        <v>519</v>
      </c>
      <c r="H102" s="2" t="s">
        <v>679</v>
      </c>
      <c r="I102" s="2" t="s">
        <v>520</v>
      </c>
      <c r="J102" s="3" t="s">
        <v>593</v>
      </c>
      <c r="K102" s="7" t="n">
        <v>39</v>
      </c>
      <c r="L102" s="2" t="s">
        <v>768</v>
      </c>
    </row>
    <row r="103" customFormat="false" ht="44" hidden="false" customHeight="false" outlineLevel="0" collapsed="false">
      <c r="A103" s="17" t="n">
        <v>98</v>
      </c>
      <c r="B103" s="16" t="s">
        <v>415</v>
      </c>
      <c r="C103" s="17" t="s">
        <v>11</v>
      </c>
      <c r="D103" s="17"/>
      <c r="E103" s="16" t="s">
        <v>522</v>
      </c>
      <c r="F103" s="2" t="s">
        <v>523</v>
      </c>
      <c r="G103" s="3" t="s">
        <v>524</v>
      </c>
      <c r="H103" s="3" t="s">
        <v>680</v>
      </c>
      <c r="I103" s="2" t="s">
        <v>69</v>
      </c>
      <c r="J103" s="3" t="s">
        <v>543</v>
      </c>
      <c r="K103" s="7" t="n">
        <v>8</v>
      </c>
      <c r="L103" s="2" t="s">
        <v>725</v>
      </c>
    </row>
    <row r="104" customFormat="false" ht="15" hidden="false" customHeight="false" outlineLevel="0" collapsed="false">
      <c r="A104" s="9" t="str">
        <f aca="false">"5. 마무리 — 내가 만든 것이 실제 제품에서는 어디에 있나  ("&amp;SUM(K105)&amp;"분)"</f>
        <v>5. 마무리 — 내가 만든 것이 실제 제품에서는 어디에 있나  (37분)</v>
      </c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</row>
    <row r="105" customFormat="false" ht="58.2" hidden="false" customHeight="false" outlineLevel="0" collapsed="false">
      <c r="A105" s="11" t="n">
        <v>99</v>
      </c>
      <c r="B105" s="11" t="s">
        <v>525</v>
      </c>
      <c r="C105" s="11" t="s">
        <v>525</v>
      </c>
      <c r="D105" s="11"/>
      <c r="E105" s="10" t="s">
        <v>526</v>
      </c>
      <c r="F105" s="2" t="s">
        <v>527</v>
      </c>
      <c r="G105" s="2" t="s">
        <v>528</v>
      </c>
      <c r="H105" s="2" t="s">
        <v>681</v>
      </c>
      <c r="I105" s="3" t="s">
        <v>529</v>
      </c>
      <c r="J105" s="2" t="s">
        <v>541</v>
      </c>
      <c r="K105" s="7" t="n">
        <v>37</v>
      </c>
      <c r="L105" s="2" t="s">
        <v>769</v>
      </c>
    </row>
    <row r="106" customFormat="false" ht="15" hidden="false" customHeight="false" outlineLevel="0" collapsed="false">
      <c r="F106" s="1" t="s">
        <v>531</v>
      </c>
      <c r="K106" s="6" t="n">
        <f aca="false">SUM(K2:K105)</f>
        <v>2238</v>
      </c>
    </row>
    <row r="107" customFormat="false" ht="15" hidden="false" customHeight="false" outlineLevel="0" collapsed="false">
      <c r="F107" s="1" t="s">
        <v>532</v>
      </c>
      <c r="K107" s="6" t="n">
        <f aca="false">ROUND(K106/60,1)</f>
        <v>37.3</v>
      </c>
    </row>
    <row r="108" customFormat="false" ht="15" hidden="false" customHeight="false" outlineLevel="0" collapsed="false">
      <c r="F108" s="1" t="s">
        <v>533</v>
      </c>
      <c r="K108" s="7" t="n">
        <v>2280</v>
      </c>
    </row>
    <row r="109" customFormat="false" ht="15" hidden="false" customHeight="false" outlineLevel="0" collapsed="false">
      <c r="F109" s="1" t="s">
        <v>534</v>
      </c>
      <c r="K109" s="6" t="n">
        <f aca="false">K106-K108</f>
        <v>-42</v>
      </c>
    </row>
  </sheetData>
  <autoFilter ref="A1:L105"/>
  <mergeCells count="5">
    <mergeCell ref="A2:L2"/>
    <mergeCell ref="A9:L9"/>
    <mergeCell ref="A48:L48"/>
    <mergeCell ref="A79:L79"/>
    <mergeCell ref="A104:L10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5.46"/>
    <col collapsed="false" customWidth="true" hidden="false" outlineLevel="0" max="2" min="2" style="0" width="8.19"/>
    <col collapsed="false" customWidth="true" hidden="false" outlineLevel="0" max="3" min="3" style="0" width="6.37"/>
    <col collapsed="false" customWidth="true" hidden="false" outlineLevel="0" max="7" min="4" style="0" width="7.28"/>
    <col collapsed="false" customWidth="true" hidden="false" outlineLevel="0" max="8" min="8" style="0" width="23.66"/>
    <col collapsed="false" customWidth="true" hidden="false" outlineLevel="0" max="9" min="9" style="0" width="45.49"/>
    <col collapsed="false" customWidth="true" hidden="false" outlineLevel="0" max="10" min="10" style="0" width="29.11"/>
    <col collapsed="false" customWidth="true" hidden="false" outlineLevel="0" max="12" min="11" style="0" width="27.3"/>
    <col collapsed="false" customWidth="true" hidden="false" outlineLevel="0" max="13" min="13" style="0" width="25.47"/>
  </cols>
  <sheetData>
    <row r="1" customFormat="false" ht="41" hidden="false" customHeight="false" outlineLevel="0" collapsed="false">
      <c r="A1" s="4" t="s">
        <v>11</v>
      </c>
      <c r="B1" s="4" t="s">
        <v>21</v>
      </c>
      <c r="C1" s="4" t="s">
        <v>56</v>
      </c>
      <c r="D1" s="4" t="s">
        <v>770</v>
      </c>
      <c r="E1" s="4" t="s">
        <v>771</v>
      </c>
      <c r="F1" s="4" t="s">
        <v>772</v>
      </c>
      <c r="G1" s="4" t="s">
        <v>773</v>
      </c>
      <c r="H1" s="4" t="s">
        <v>774</v>
      </c>
      <c r="I1" s="4" t="s">
        <v>775</v>
      </c>
      <c r="J1" s="4" t="s">
        <v>776</v>
      </c>
      <c r="K1" s="4" t="s">
        <v>777</v>
      </c>
      <c r="L1" s="4" t="s">
        <v>778</v>
      </c>
      <c r="M1" s="4" t="s">
        <v>779</v>
      </c>
    </row>
    <row r="2" customFormat="false" ht="44" hidden="false" customHeight="false" outlineLevel="0" collapsed="false">
      <c r="A2" s="5" t="s">
        <v>780</v>
      </c>
      <c r="B2" s="18" t="s">
        <v>100</v>
      </c>
      <c r="C2" s="5" t="s">
        <v>220</v>
      </c>
      <c r="D2" s="18" t="n">
        <v>34</v>
      </c>
      <c r="E2" s="18" t="n">
        <v>33</v>
      </c>
      <c r="F2" s="18" t="n">
        <v>34</v>
      </c>
      <c r="G2" s="18" t="n">
        <v>33</v>
      </c>
      <c r="H2" s="2" t="s">
        <v>781</v>
      </c>
      <c r="I2" s="3" t="s">
        <v>782</v>
      </c>
      <c r="J2" s="2" t="s">
        <v>783</v>
      </c>
      <c r="K2" s="2" t="s">
        <v>784</v>
      </c>
      <c r="L2" s="2" t="s">
        <v>785</v>
      </c>
      <c r="M2" s="2" t="s">
        <v>786</v>
      </c>
    </row>
    <row r="3" customFormat="false" ht="29.85" hidden="false" customHeight="false" outlineLevel="0" collapsed="false">
      <c r="A3" s="5" t="s">
        <v>787</v>
      </c>
      <c r="B3" s="18" t="s">
        <v>100</v>
      </c>
      <c r="C3" s="5" t="s">
        <v>226</v>
      </c>
      <c r="D3" s="18" t="n">
        <v>35</v>
      </c>
      <c r="E3" s="18" t="n">
        <v>34</v>
      </c>
      <c r="F3" s="18" t="n">
        <v>35</v>
      </c>
      <c r="G3" s="18" t="n">
        <v>34</v>
      </c>
      <c r="H3" s="2" t="s">
        <v>788</v>
      </c>
      <c r="I3" s="3" t="s">
        <v>789</v>
      </c>
      <c r="J3" s="2" t="s">
        <v>790</v>
      </c>
      <c r="K3" s="2" t="s">
        <v>791</v>
      </c>
      <c r="L3" s="2" t="s">
        <v>792</v>
      </c>
      <c r="M3" s="3" t="s">
        <v>793</v>
      </c>
    </row>
    <row r="4" customFormat="false" ht="44" hidden="false" customHeight="false" outlineLevel="0" collapsed="false">
      <c r="A4" s="5" t="s">
        <v>794</v>
      </c>
      <c r="B4" s="18" t="s">
        <v>100</v>
      </c>
      <c r="C4" s="5" t="s">
        <v>232</v>
      </c>
      <c r="D4" s="18" t="n">
        <v>36</v>
      </c>
      <c r="E4" s="18" t="n">
        <v>35</v>
      </c>
      <c r="F4" s="18" t="n">
        <v>36</v>
      </c>
      <c r="G4" s="18" t="n">
        <v>35</v>
      </c>
      <c r="H4" s="2" t="s">
        <v>795</v>
      </c>
      <c r="I4" s="3" t="s">
        <v>796</v>
      </c>
      <c r="J4" s="2" t="s">
        <v>797</v>
      </c>
      <c r="K4" s="2" t="s">
        <v>798</v>
      </c>
      <c r="L4" s="2" t="s">
        <v>799</v>
      </c>
      <c r="M4" s="2" t="s">
        <v>800</v>
      </c>
    </row>
    <row r="5" customFormat="false" ht="29.85" hidden="false" customHeight="false" outlineLevel="0" collapsed="false">
      <c r="A5" s="5" t="s">
        <v>801</v>
      </c>
      <c r="B5" s="18" t="s">
        <v>100</v>
      </c>
      <c r="C5" s="5" t="s">
        <v>237</v>
      </c>
      <c r="D5" s="18" t="n">
        <v>37</v>
      </c>
      <c r="E5" s="18" t="n">
        <v>36</v>
      </c>
      <c r="F5" s="18" t="n">
        <v>37</v>
      </c>
      <c r="G5" s="18" t="n">
        <v>36</v>
      </c>
      <c r="H5" s="2" t="s">
        <v>802</v>
      </c>
      <c r="I5" s="3" t="s">
        <v>803</v>
      </c>
      <c r="J5" s="3" t="s">
        <v>804</v>
      </c>
      <c r="K5" s="2" t="s">
        <v>805</v>
      </c>
      <c r="L5" s="2" t="s">
        <v>806</v>
      </c>
      <c r="M5" s="2" t="s">
        <v>807</v>
      </c>
    </row>
    <row r="6" customFormat="false" ht="29.85" hidden="false" customHeight="false" outlineLevel="0" collapsed="false">
      <c r="A6" s="5" t="s">
        <v>808</v>
      </c>
      <c r="B6" s="18" t="s">
        <v>100</v>
      </c>
      <c r="C6" s="5" t="s">
        <v>242</v>
      </c>
      <c r="D6" s="18" t="n">
        <v>38</v>
      </c>
      <c r="E6" s="18" t="n">
        <v>37</v>
      </c>
      <c r="F6" s="18" t="n">
        <v>38</v>
      </c>
      <c r="G6" s="18" t="n">
        <v>37</v>
      </c>
      <c r="H6" s="2" t="s">
        <v>809</v>
      </c>
      <c r="I6" s="3" t="s">
        <v>810</v>
      </c>
      <c r="J6" s="2" t="s">
        <v>811</v>
      </c>
      <c r="K6" s="2" t="s">
        <v>812</v>
      </c>
      <c r="L6" s="2" t="s">
        <v>813</v>
      </c>
      <c r="M6" s="3" t="s">
        <v>814</v>
      </c>
    </row>
    <row r="7" customFormat="false" ht="29.85" hidden="false" customHeight="false" outlineLevel="0" collapsed="false">
      <c r="A7" s="5" t="s">
        <v>815</v>
      </c>
      <c r="B7" s="18" t="s">
        <v>100</v>
      </c>
      <c r="C7" s="5" t="s">
        <v>247</v>
      </c>
      <c r="D7" s="18" t="n">
        <v>39</v>
      </c>
      <c r="E7" s="18" t="n">
        <v>38</v>
      </c>
      <c r="F7" s="18" t="n">
        <v>39</v>
      </c>
      <c r="G7" s="18" t="n">
        <v>38</v>
      </c>
      <c r="H7" s="2" t="s">
        <v>816</v>
      </c>
      <c r="I7" s="3" t="s">
        <v>817</v>
      </c>
      <c r="J7" s="2" t="s">
        <v>818</v>
      </c>
      <c r="K7" s="2" t="s">
        <v>819</v>
      </c>
      <c r="L7" s="2" t="s">
        <v>820</v>
      </c>
      <c r="M7" s="3" t="s">
        <v>821</v>
      </c>
    </row>
    <row r="8" customFormat="false" ht="29.85" hidden="false" customHeight="false" outlineLevel="0" collapsed="false">
      <c r="A8" s="5" t="s">
        <v>822</v>
      </c>
      <c r="B8" s="18" t="s">
        <v>100</v>
      </c>
      <c r="C8" s="5" t="s">
        <v>252</v>
      </c>
      <c r="D8" s="18" t="n">
        <v>40</v>
      </c>
      <c r="E8" s="18" t="n">
        <v>39</v>
      </c>
      <c r="F8" s="18" t="n">
        <v>40</v>
      </c>
      <c r="G8" s="18" t="n">
        <v>39</v>
      </c>
      <c r="H8" s="2" t="s">
        <v>823</v>
      </c>
      <c r="I8" s="3" t="s">
        <v>824</v>
      </c>
      <c r="J8" s="2" t="s">
        <v>825</v>
      </c>
      <c r="K8" s="2" t="s">
        <v>826</v>
      </c>
      <c r="L8" s="2" t="s">
        <v>827</v>
      </c>
      <c r="M8" s="3" t="s">
        <v>828</v>
      </c>
    </row>
    <row r="9" customFormat="false" ht="29.85" hidden="false" customHeight="false" outlineLevel="0" collapsed="false">
      <c r="A9" s="5" t="s">
        <v>829</v>
      </c>
      <c r="B9" s="18" t="s">
        <v>100</v>
      </c>
      <c r="C9" s="5" t="s">
        <v>257</v>
      </c>
      <c r="D9" s="18" t="n">
        <v>41</v>
      </c>
      <c r="E9" s="18" t="n">
        <v>40</v>
      </c>
      <c r="F9" s="18" t="n">
        <v>41</v>
      </c>
      <c r="G9" s="18" t="n">
        <v>40</v>
      </c>
      <c r="H9" s="2" t="s">
        <v>830</v>
      </c>
      <c r="I9" s="3" t="s">
        <v>831</v>
      </c>
      <c r="J9" s="2" t="s">
        <v>832</v>
      </c>
      <c r="K9" s="2" t="s">
        <v>833</v>
      </c>
      <c r="L9" s="2" t="s">
        <v>834</v>
      </c>
      <c r="M9" s="3" t="s">
        <v>835</v>
      </c>
    </row>
    <row r="10" customFormat="false" ht="29.85" hidden="false" customHeight="false" outlineLevel="0" collapsed="false">
      <c r="A10" s="5" t="s">
        <v>836</v>
      </c>
      <c r="B10" s="18" t="s">
        <v>100</v>
      </c>
      <c r="C10" s="5" t="s">
        <v>262</v>
      </c>
      <c r="D10" s="18" t="n">
        <v>42</v>
      </c>
      <c r="E10" s="18" t="n">
        <v>41</v>
      </c>
      <c r="F10" s="18" t="n">
        <v>42</v>
      </c>
      <c r="G10" s="18" t="n">
        <v>41</v>
      </c>
      <c r="H10" s="2" t="s">
        <v>837</v>
      </c>
      <c r="I10" s="3" t="s">
        <v>838</v>
      </c>
      <c r="J10" s="2" t="s">
        <v>839</v>
      </c>
      <c r="K10" s="2" t="s">
        <v>840</v>
      </c>
      <c r="L10" s="2" t="s">
        <v>841</v>
      </c>
      <c r="M10" s="2" t="s">
        <v>842</v>
      </c>
    </row>
    <row r="11" customFormat="false" ht="44" hidden="false" customHeight="false" outlineLevel="0" collapsed="false">
      <c r="A11" s="5" t="s">
        <v>843</v>
      </c>
      <c r="B11" s="18" t="s">
        <v>100</v>
      </c>
      <c r="C11" s="5" t="s">
        <v>267</v>
      </c>
      <c r="D11" s="18" t="n">
        <v>43</v>
      </c>
      <c r="E11" s="18" t="n">
        <v>42</v>
      </c>
      <c r="F11" s="18" t="n">
        <v>43</v>
      </c>
      <c r="G11" s="18" t="n">
        <v>42</v>
      </c>
      <c r="H11" s="2" t="s">
        <v>844</v>
      </c>
      <c r="I11" s="3" t="s">
        <v>845</v>
      </c>
      <c r="J11" s="2" t="s">
        <v>846</v>
      </c>
      <c r="K11" s="2" t="s">
        <v>847</v>
      </c>
      <c r="L11" s="2" t="s">
        <v>848</v>
      </c>
      <c r="M11" s="2" t="s">
        <v>849</v>
      </c>
    </row>
    <row r="12" customFormat="false" ht="29.85" hidden="false" customHeight="false" outlineLevel="0" collapsed="false">
      <c r="A12" s="5" t="s">
        <v>850</v>
      </c>
      <c r="B12" s="18" t="s">
        <v>100</v>
      </c>
      <c r="C12" s="5" t="s">
        <v>272</v>
      </c>
      <c r="D12" s="18" t="n">
        <v>44</v>
      </c>
      <c r="E12" s="18" t="n">
        <v>43</v>
      </c>
      <c r="F12" s="18" t="n">
        <v>44</v>
      </c>
      <c r="G12" s="18" t="n">
        <v>43</v>
      </c>
      <c r="H12" s="2" t="s">
        <v>851</v>
      </c>
      <c r="I12" s="3" t="s">
        <v>852</v>
      </c>
      <c r="J12" s="2" t="s">
        <v>853</v>
      </c>
      <c r="K12" s="2" t="s">
        <v>854</v>
      </c>
      <c r="L12" s="2" t="s">
        <v>855</v>
      </c>
      <c r="M12" s="2" t="s">
        <v>856</v>
      </c>
    </row>
    <row r="13" customFormat="false" ht="44" hidden="false" customHeight="false" outlineLevel="0" collapsed="false">
      <c r="A13" s="5" t="s">
        <v>857</v>
      </c>
      <c r="B13" s="18" t="s">
        <v>281</v>
      </c>
      <c r="C13" s="5" t="s">
        <v>372</v>
      </c>
      <c r="D13" s="18" t="n">
        <v>68</v>
      </c>
      <c r="E13" s="18" t="n">
        <v>66</v>
      </c>
      <c r="F13" s="18" t="n">
        <v>68</v>
      </c>
      <c r="G13" s="18" t="n">
        <v>66</v>
      </c>
      <c r="H13" s="2" t="s">
        <v>858</v>
      </c>
      <c r="I13" s="3" t="s">
        <v>859</v>
      </c>
      <c r="J13" s="2" t="s">
        <v>860</v>
      </c>
      <c r="K13" s="2" t="s">
        <v>861</v>
      </c>
      <c r="L13" s="2" t="s">
        <v>862</v>
      </c>
      <c r="M13" s="2" t="s">
        <v>863</v>
      </c>
    </row>
    <row r="14" customFormat="false" ht="29.85" hidden="false" customHeight="false" outlineLevel="0" collapsed="false">
      <c r="A14" s="5" t="s">
        <v>864</v>
      </c>
      <c r="B14" s="18" t="s">
        <v>281</v>
      </c>
      <c r="C14" s="5" t="s">
        <v>377</v>
      </c>
      <c r="D14" s="18" t="n">
        <v>69</v>
      </c>
      <c r="E14" s="18" t="n">
        <v>67</v>
      </c>
      <c r="F14" s="18" t="n">
        <v>69</v>
      </c>
      <c r="G14" s="18" t="n">
        <v>67</v>
      </c>
      <c r="H14" s="2" t="s">
        <v>865</v>
      </c>
      <c r="I14" s="3" t="s">
        <v>866</v>
      </c>
      <c r="J14" s="2" t="s">
        <v>867</v>
      </c>
      <c r="K14" s="2" t="s">
        <v>868</v>
      </c>
      <c r="L14" s="2" t="s">
        <v>869</v>
      </c>
      <c r="M14" s="2" t="s">
        <v>870</v>
      </c>
    </row>
    <row r="15" customFormat="false" ht="29.85" hidden="false" customHeight="false" outlineLevel="0" collapsed="false">
      <c r="A15" s="5" t="s">
        <v>871</v>
      </c>
      <c r="B15" s="18" t="s">
        <v>281</v>
      </c>
      <c r="C15" s="5" t="s">
        <v>382</v>
      </c>
      <c r="D15" s="18" t="n">
        <v>70</v>
      </c>
      <c r="E15" s="18" t="n">
        <v>68</v>
      </c>
      <c r="F15" s="18" t="n">
        <v>70</v>
      </c>
      <c r="G15" s="18" t="n">
        <v>68</v>
      </c>
      <c r="H15" s="2" t="s">
        <v>872</v>
      </c>
      <c r="I15" s="3" t="s">
        <v>873</v>
      </c>
      <c r="J15" s="2" t="s">
        <v>874</v>
      </c>
      <c r="K15" s="2" t="s">
        <v>875</v>
      </c>
      <c r="L15" s="2" t="s">
        <v>876</v>
      </c>
      <c r="M15" s="2" t="s">
        <v>877</v>
      </c>
    </row>
    <row r="16" customFormat="false" ht="44" hidden="false" customHeight="false" outlineLevel="0" collapsed="false">
      <c r="A16" s="5" t="s">
        <v>878</v>
      </c>
      <c r="B16" s="18" t="s">
        <v>281</v>
      </c>
      <c r="C16" s="5" t="s">
        <v>387</v>
      </c>
      <c r="D16" s="18" t="n">
        <v>71</v>
      </c>
      <c r="E16" s="18" t="n">
        <v>69</v>
      </c>
      <c r="F16" s="18" t="n">
        <v>71</v>
      </c>
      <c r="G16" s="18" t="n">
        <v>69</v>
      </c>
      <c r="H16" s="2" t="s">
        <v>879</v>
      </c>
      <c r="I16" s="3" t="s">
        <v>880</v>
      </c>
      <c r="J16" s="2" t="s">
        <v>881</v>
      </c>
      <c r="K16" s="2" t="s">
        <v>882</v>
      </c>
      <c r="L16" s="2" t="s">
        <v>883</v>
      </c>
      <c r="M16" s="2" t="s">
        <v>884</v>
      </c>
    </row>
    <row r="17" customFormat="false" ht="44" hidden="false" customHeight="false" outlineLevel="0" collapsed="false">
      <c r="A17" s="5" t="s">
        <v>885</v>
      </c>
      <c r="B17" s="18" t="s">
        <v>281</v>
      </c>
      <c r="C17" s="5" t="s">
        <v>392</v>
      </c>
      <c r="D17" s="18" t="n">
        <v>72</v>
      </c>
      <c r="E17" s="18" t="n">
        <v>70</v>
      </c>
      <c r="F17" s="18" t="n">
        <v>72</v>
      </c>
      <c r="G17" s="18" t="n">
        <v>70</v>
      </c>
      <c r="H17" s="2" t="s">
        <v>886</v>
      </c>
      <c r="I17" s="3" t="s">
        <v>887</v>
      </c>
      <c r="J17" s="2" t="s">
        <v>888</v>
      </c>
      <c r="K17" s="2" t="s">
        <v>889</v>
      </c>
      <c r="L17" s="2" t="s">
        <v>890</v>
      </c>
      <c r="M17" s="2" t="s">
        <v>891</v>
      </c>
    </row>
    <row r="18" customFormat="false" ht="29.85" hidden="false" customHeight="false" outlineLevel="0" collapsed="false">
      <c r="A18" s="5" t="s">
        <v>892</v>
      </c>
      <c r="B18" s="18" t="s">
        <v>281</v>
      </c>
      <c r="C18" s="5" t="s">
        <v>397</v>
      </c>
      <c r="D18" s="18" t="n">
        <v>73</v>
      </c>
      <c r="E18" s="18" t="n">
        <v>71</v>
      </c>
      <c r="F18" s="18" t="n">
        <v>73</v>
      </c>
      <c r="G18" s="18" t="n">
        <v>71</v>
      </c>
      <c r="H18" s="2" t="s">
        <v>893</v>
      </c>
      <c r="I18" s="3" t="s">
        <v>894</v>
      </c>
      <c r="J18" s="2" t="s">
        <v>895</v>
      </c>
      <c r="K18" s="2" t="s">
        <v>896</v>
      </c>
      <c r="L18" s="2" t="s">
        <v>897</v>
      </c>
      <c r="M18" s="2" t="s">
        <v>898</v>
      </c>
    </row>
    <row r="19" customFormat="false" ht="29.85" hidden="false" customHeight="false" outlineLevel="0" collapsed="false">
      <c r="A19" s="5" t="s">
        <v>899</v>
      </c>
      <c r="B19" s="18" t="s">
        <v>281</v>
      </c>
      <c r="C19" s="5" t="s">
        <v>402</v>
      </c>
      <c r="D19" s="18" t="n">
        <v>74</v>
      </c>
      <c r="E19" s="18" t="n">
        <v>72</v>
      </c>
      <c r="F19" s="18" t="n">
        <v>74</v>
      </c>
      <c r="G19" s="18" t="n">
        <v>72</v>
      </c>
      <c r="H19" s="2" t="s">
        <v>900</v>
      </c>
      <c r="I19" s="3" t="s">
        <v>901</v>
      </c>
      <c r="J19" s="2" t="s">
        <v>902</v>
      </c>
      <c r="K19" s="2" t="s">
        <v>903</v>
      </c>
      <c r="L19" s="2" t="s">
        <v>904</v>
      </c>
      <c r="M19" s="2" t="s">
        <v>905</v>
      </c>
    </row>
    <row r="20" customFormat="false" ht="44" hidden="false" customHeight="false" outlineLevel="0" collapsed="false">
      <c r="A20" s="5" t="s">
        <v>906</v>
      </c>
      <c r="B20" s="18" t="s">
        <v>281</v>
      </c>
      <c r="C20" s="5" t="s">
        <v>407</v>
      </c>
      <c r="D20" s="18" t="n">
        <v>75</v>
      </c>
      <c r="E20" s="18" t="n">
        <v>73</v>
      </c>
      <c r="F20" s="18" t="n">
        <v>75</v>
      </c>
      <c r="G20" s="18" t="n">
        <v>73</v>
      </c>
      <c r="H20" s="2" t="s">
        <v>907</v>
      </c>
      <c r="I20" s="3" t="s">
        <v>908</v>
      </c>
      <c r="J20" s="2" t="s">
        <v>909</v>
      </c>
      <c r="K20" s="2" t="s">
        <v>910</v>
      </c>
      <c r="L20" s="2" t="s">
        <v>911</v>
      </c>
      <c r="M20" s="3" t="s">
        <v>912</v>
      </c>
    </row>
    <row r="21" customFormat="false" ht="44" hidden="false" customHeight="false" outlineLevel="0" collapsed="false">
      <c r="A21" s="5" t="s">
        <v>913</v>
      </c>
      <c r="B21" s="5" t="s">
        <v>415</v>
      </c>
      <c r="C21" s="5" t="s">
        <v>492</v>
      </c>
      <c r="D21" s="18" t="n">
        <v>95</v>
      </c>
      <c r="E21" s="18" t="n">
        <v>92</v>
      </c>
      <c r="F21" s="18" t="n">
        <v>95</v>
      </c>
      <c r="G21" s="18" t="n">
        <v>92</v>
      </c>
      <c r="H21" s="2" t="s">
        <v>914</v>
      </c>
      <c r="I21" s="3" t="s">
        <v>915</v>
      </c>
      <c r="J21" s="2" t="s">
        <v>916</v>
      </c>
      <c r="K21" s="2" t="s">
        <v>917</v>
      </c>
      <c r="L21" s="2" t="s">
        <v>918</v>
      </c>
      <c r="M21" s="3" t="s">
        <v>919</v>
      </c>
    </row>
    <row r="22" customFormat="false" ht="44" hidden="false" customHeight="false" outlineLevel="0" collapsed="false">
      <c r="A22" s="5" t="s">
        <v>920</v>
      </c>
      <c r="B22" s="5" t="s">
        <v>415</v>
      </c>
      <c r="C22" s="5" t="s">
        <v>497</v>
      </c>
      <c r="D22" s="18" t="n">
        <v>96</v>
      </c>
      <c r="E22" s="18" t="n">
        <v>93</v>
      </c>
      <c r="F22" s="18" t="n">
        <v>96</v>
      </c>
      <c r="G22" s="18" t="n">
        <v>93</v>
      </c>
      <c r="H22" s="2" t="s">
        <v>921</v>
      </c>
      <c r="I22" s="3" t="s">
        <v>922</v>
      </c>
      <c r="J22" s="2" t="s">
        <v>923</v>
      </c>
      <c r="K22" s="2" t="s">
        <v>924</v>
      </c>
      <c r="L22" s="2" t="s">
        <v>925</v>
      </c>
      <c r="M22" s="2" t="s">
        <v>926</v>
      </c>
    </row>
    <row r="23" customFormat="false" ht="29.85" hidden="false" customHeight="false" outlineLevel="0" collapsed="false">
      <c r="A23" s="5" t="s">
        <v>927</v>
      </c>
      <c r="B23" s="5" t="s">
        <v>415</v>
      </c>
      <c r="C23" s="5" t="s">
        <v>502</v>
      </c>
      <c r="D23" s="18" t="n">
        <v>97</v>
      </c>
      <c r="E23" s="18" t="n">
        <v>94</v>
      </c>
      <c r="F23" s="18" t="n">
        <v>97</v>
      </c>
      <c r="G23" s="18" t="n">
        <v>94</v>
      </c>
      <c r="H23" s="2" t="s">
        <v>928</v>
      </c>
      <c r="I23" s="3" t="s">
        <v>929</v>
      </c>
      <c r="J23" s="2" t="s">
        <v>930</v>
      </c>
      <c r="K23" s="2" t="s">
        <v>931</v>
      </c>
      <c r="L23" s="2" t="s">
        <v>932</v>
      </c>
      <c r="M23" s="2" t="s">
        <v>933</v>
      </c>
    </row>
    <row r="24" customFormat="false" ht="29.85" hidden="false" customHeight="false" outlineLevel="0" collapsed="false">
      <c r="A24" s="5" t="s">
        <v>934</v>
      </c>
      <c r="B24" s="5" t="s">
        <v>415</v>
      </c>
      <c r="C24" s="5" t="s">
        <v>507</v>
      </c>
      <c r="D24" s="18" t="n">
        <v>98</v>
      </c>
      <c r="E24" s="18" t="n">
        <v>95</v>
      </c>
      <c r="F24" s="18" t="n">
        <v>98</v>
      </c>
      <c r="G24" s="18" t="n">
        <v>95</v>
      </c>
      <c r="H24" s="2" t="s">
        <v>935</v>
      </c>
      <c r="I24" s="3" t="s">
        <v>936</v>
      </c>
      <c r="J24" s="2" t="s">
        <v>937</v>
      </c>
      <c r="K24" s="2" t="s">
        <v>938</v>
      </c>
      <c r="L24" s="2" t="s">
        <v>939</v>
      </c>
      <c r="M24" s="3" t="s">
        <v>940</v>
      </c>
    </row>
    <row r="25" customFormat="false" ht="29.85" hidden="false" customHeight="false" outlineLevel="0" collapsed="false">
      <c r="A25" s="5" t="s">
        <v>941</v>
      </c>
      <c r="B25" s="5" t="s">
        <v>415</v>
      </c>
      <c r="C25" s="5" t="s">
        <v>512</v>
      </c>
      <c r="D25" s="18" t="n">
        <v>99</v>
      </c>
      <c r="E25" s="18" t="n">
        <v>96</v>
      </c>
      <c r="F25" s="18" t="n">
        <v>99</v>
      </c>
      <c r="G25" s="18" t="n">
        <v>96</v>
      </c>
      <c r="H25" s="2" t="s">
        <v>942</v>
      </c>
      <c r="I25" s="3" t="s">
        <v>943</v>
      </c>
      <c r="J25" s="2" t="s">
        <v>944</v>
      </c>
      <c r="K25" s="3" t="s">
        <v>945</v>
      </c>
      <c r="L25" s="2" t="s">
        <v>946</v>
      </c>
      <c r="M25" s="2" t="s">
        <v>947</v>
      </c>
    </row>
    <row r="26" customFormat="false" ht="29.85" hidden="false" customHeight="false" outlineLevel="0" collapsed="false">
      <c r="A26" s="5" t="s">
        <v>948</v>
      </c>
      <c r="B26" s="5" t="s">
        <v>415</v>
      </c>
      <c r="C26" s="5" t="s">
        <v>517</v>
      </c>
      <c r="D26" s="18" t="n">
        <v>100</v>
      </c>
      <c r="E26" s="18" t="n">
        <v>97</v>
      </c>
      <c r="F26" s="18" t="n">
        <v>100</v>
      </c>
      <c r="G26" s="18" t="n">
        <v>97</v>
      </c>
      <c r="H26" s="2" t="s">
        <v>949</v>
      </c>
      <c r="I26" s="3" t="s">
        <v>950</v>
      </c>
      <c r="J26" s="2" t="s">
        <v>951</v>
      </c>
      <c r="K26" s="2" t="s">
        <v>952</v>
      </c>
      <c r="L26" s="2" t="s">
        <v>953</v>
      </c>
      <c r="M26" s="3" t="s">
        <v>954</v>
      </c>
    </row>
    <row r="28" customFormat="false" ht="60" hidden="false" customHeight="true" outlineLevel="0" collapsed="false">
      <c r="H28" s="19" t="s">
        <v>955</v>
      </c>
      <c r="I28" s="19"/>
      <c r="J28" s="19"/>
      <c r="K28" s="19"/>
      <c r="L28" s="19"/>
      <c r="M28" s="19"/>
    </row>
  </sheetData>
  <mergeCells count="1">
    <mergeCell ref="H28:M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5.46"/>
    <col collapsed="false" customWidth="true" hidden="false" outlineLevel="0" max="2" min="2" style="0" width="16.38"/>
    <col collapsed="false" customWidth="true" hidden="false" outlineLevel="0" max="3" min="3" style="0" width="54.59"/>
    <col collapsed="false" customWidth="true" hidden="false" outlineLevel="0" max="7" min="4" style="0" width="12.74"/>
    <col collapsed="false" customWidth="true" hidden="false" outlineLevel="0" max="8" min="8" style="0" width="27.3"/>
  </cols>
  <sheetData>
    <row r="1" customFormat="false" ht="15" hidden="false" customHeight="false" outlineLevel="0" collapsed="false">
      <c r="A1" s="4" t="s">
        <v>956</v>
      </c>
      <c r="B1" s="4" t="s">
        <v>957</v>
      </c>
      <c r="C1" s="4" t="s">
        <v>958</v>
      </c>
      <c r="D1" s="4" t="s">
        <v>770</v>
      </c>
      <c r="E1" s="4" t="s">
        <v>771</v>
      </c>
      <c r="F1" s="4" t="s">
        <v>772</v>
      </c>
      <c r="G1" s="4" t="s">
        <v>773</v>
      </c>
      <c r="H1" s="4" t="s">
        <v>56</v>
      </c>
    </row>
    <row r="2" customFormat="false" ht="15" hidden="false" customHeight="false" outlineLevel="0" collapsed="false">
      <c r="A2" s="5" t="s">
        <v>959</v>
      </c>
      <c r="B2" s="2" t="s">
        <v>960</v>
      </c>
      <c r="C2" s="2" t="s">
        <v>961</v>
      </c>
      <c r="D2" s="5" t="s">
        <v>962</v>
      </c>
      <c r="E2" s="5" t="s">
        <v>963</v>
      </c>
      <c r="F2" s="5" t="s">
        <v>962</v>
      </c>
      <c r="G2" s="5" t="s">
        <v>963</v>
      </c>
      <c r="H2" s="3" t="s">
        <v>964</v>
      </c>
    </row>
    <row r="3" customFormat="false" ht="15" hidden="false" customHeight="false" outlineLevel="0" collapsed="false">
      <c r="A3" s="5" t="s">
        <v>965</v>
      </c>
      <c r="B3" s="2" t="s">
        <v>966</v>
      </c>
      <c r="C3" s="2" t="s">
        <v>967</v>
      </c>
      <c r="D3" s="5" t="s">
        <v>968</v>
      </c>
      <c r="E3" s="5" t="s">
        <v>969</v>
      </c>
      <c r="F3" s="5" t="s">
        <v>968</v>
      </c>
      <c r="G3" s="5" t="s">
        <v>969</v>
      </c>
      <c r="H3" s="3" t="s">
        <v>237</v>
      </c>
    </row>
    <row r="4" customFormat="false" ht="29.85" hidden="false" customHeight="false" outlineLevel="0" collapsed="false">
      <c r="A4" s="5" t="s">
        <v>970</v>
      </c>
      <c r="B4" s="2" t="s">
        <v>971</v>
      </c>
      <c r="C4" s="2" t="s">
        <v>972</v>
      </c>
      <c r="D4" s="5" t="s">
        <v>973</v>
      </c>
      <c r="E4" s="5" t="s">
        <v>974</v>
      </c>
      <c r="F4" s="5" t="s">
        <v>973</v>
      </c>
      <c r="G4" s="5" t="s">
        <v>974</v>
      </c>
      <c r="H4" s="3" t="s">
        <v>975</v>
      </c>
    </row>
    <row r="5" customFormat="false" ht="29.85" hidden="false" customHeight="false" outlineLevel="0" collapsed="false">
      <c r="A5" s="5" t="s">
        <v>976</v>
      </c>
      <c r="B5" s="2" t="s">
        <v>977</v>
      </c>
      <c r="C5" s="2" t="s">
        <v>978</v>
      </c>
      <c r="D5" s="5" t="s">
        <v>979</v>
      </c>
      <c r="E5" s="5" t="s">
        <v>980</v>
      </c>
      <c r="F5" s="5" t="s">
        <v>979</v>
      </c>
      <c r="G5" s="5" t="s">
        <v>980</v>
      </c>
      <c r="H5" s="3" t="s">
        <v>981</v>
      </c>
    </row>
    <row r="6" customFormat="false" ht="29.85" hidden="false" customHeight="false" outlineLevel="0" collapsed="false">
      <c r="A6" s="5" t="s">
        <v>982</v>
      </c>
      <c r="B6" s="2" t="s">
        <v>983</v>
      </c>
      <c r="C6" s="2" t="s">
        <v>984</v>
      </c>
      <c r="D6" s="5" t="s">
        <v>985</v>
      </c>
      <c r="E6" s="5" t="s">
        <v>986</v>
      </c>
      <c r="F6" s="5" t="s">
        <v>985</v>
      </c>
      <c r="G6" s="5" t="s">
        <v>986</v>
      </c>
      <c r="H6" s="3" t="s">
        <v>987</v>
      </c>
    </row>
    <row r="7" customFormat="false" ht="29.85" hidden="false" customHeight="false" outlineLevel="0" collapsed="false">
      <c r="A7" s="5" t="s">
        <v>988</v>
      </c>
      <c r="B7" s="2" t="s">
        <v>989</v>
      </c>
      <c r="C7" s="2" t="s">
        <v>990</v>
      </c>
      <c r="D7" s="5" t="s">
        <v>991</v>
      </c>
      <c r="E7" s="5" t="s">
        <v>992</v>
      </c>
      <c r="F7" s="5" t="s">
        <v>991</v>
      </c>
      <c r="G7" s="5" t="s">
        <v>992</v>
      </c>
      <c r="H7" s="3" t="s">
        <v>993</v>
      </c>
    </row>
    <row r="8" customFormat="false" ht="29.85" hidden="false" customHeight="false" outlineLevel="0" collapsed="false">
      <c r="A8" s="5" t="s">
        <v>994</v>
      </c>
      <c r="B8" s="2" t="s">
        <v>995</v>
      </c>
      <c r="C8" s="2" t="s">
        <v>996</v>
      </c>
      <c r="D8" s="5" t="s">
        <v>997</v>
      </c>
      <c r="E8" s="5" t="s">
        <v>998</v>
      </c>
      <c r="F8" s="5" t="s">
        <v>997</v>
      </c>
      <c r="G8" s="5" t="s">
        <v>998</v>
      </c>
      <c r="H8" s="3" t="s">
        <v>999</v>
      </c>
    </row>
    <row r="9" customFormat="false" ht="23.85" hidden="false" customHeight="false" outlineLevel="0" collapsed="false">
      <c r="A9" s="5" t="s">
        <v>1000</v>
      </c>
      <c r="B9" s="2" t="s">
        <v>1001</v>
      </c>
      <c r="C9" s="2" t="s">
        <v>1002</v>
      </c>
      <c r="D9" s="5" t="s">
        <v>1003</v>
      </c>
      <c r="E9" s="5" t="s">
        <v>1004</v>
      </c>
      <c r="F9" s="5" t="s">
        <v>1003</v>
      </c>
      <c r="G9" s="5" t="s">
        <v>1004</v>
      </c>
      <c r="H9" s="3" t="s">
        <v>1005</v>
      </c>
    </row>
    <row r="10" customFormat="false" ht="15" hidden="false" customHeight="false" outlineLevel="0" collapsed="false">
      <c r="A10" s="5" t="s">
        <v>1006</v>
      </c>
      <c r="B10" s="2" t="s">
        <v>1007</v>
      </c>
      <c r="C10" s="2" t="s">
        <v>1008</v>
      </c>
      <c r="D10" s="5" t="s">
        <v>1009</v>
      </c>
      <c r="E10" s="5" t="s">
        <v>1010</v>
      </c>
      <c r="F10" s="5" t="s">
        <v>1009</v>
      </c>
      <c r="G10" s="5" t="s">
        <v>1010</v>
      </c>
      <c r="H10" s="3" t="s">
        <v>1011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7.28"/>
    <col collapsed="false" customWidth="true" hidden="false" outlineLevel="0" max="2" min="2" style="0" width="9.1"/>
    <col collapsed="false" customWidth="true" hidden="false" outlineLevel="0" max="3" min="3" style="0" width="6.37"/>
    <col collapsed="false" customWidth="true" hidden="false" outlineLevel="0" max="4" min="4" style="0" width="72.79"/>
    <col collapsed="false" customWidth="true" hidden="false" outlineLevel="0" max="5" min="5" style="0" width="9.1"/>
    <col collapsed="false" customWidth="true" hidden="false" outlineLevel="0" max="7" min="6" style="0" width="10.92"/>
  </cols>
  <sheetData>
    <row r="1" customFormat="false" ht="29.85" hidden="false" customHeight="false" outlineLevel="0" collapsed="false">
      <c r="A1" s="4" t="s">
        <v>56</v>
      </c>
      <c r="B1" s="4" t="s">
        <v>1012</v>
      </c>
      <c r="C1" s="4" t="s">
        <v>54</v>
      </c>
      <c r="D1" s="4" t="s">
        <v>1013</v>
      </c>
      <c r="E1" s="4" t="s">
        <v>1014</v>
      </c>
      <c r="F1" s="4" t="s">
        <v>26</v>
      </c>
      <c r="G1" s="4" t="s">
        <v>1015</v>
      </c>
    </row>
    <row r="2" customFormat="false" ht="15" hidden="false" customHeight="false" outlineLevel="0" collapsed="false">
      <c r="A2" s="5" t="s">
        <v>66</v>
      </c>
      <c r="B2" s="18" t="s">
        <v>65</v>
      </c>
      <c r="C2" s="18" t="s">
        <v>65</v>
      </c>
      <c r="D2" s="2" t="s">
        <v>1016</v>
      </c>
      <c r="E2" s="18" t="s">
        <v>70</v>
      </c>
      <c r="F2" s="7" t="n">
        <v>8</v>
      </c>
      <c r="G2" s="7" t="n">
        <v>6</v>
      </c>
    </row>
    <row r="3" customFormat="false" ht="15" hidden="false" customHeight="false" outlineLevel="0" collapsed="false">
      <c r="A3" s="5" t="s">
        <v>71</v>
      </c>
      <c r="B3" s="18" t="s">
        <v>65</v>
      </c>
      <c r="C3" s="18" t="s">
        <v>65</v>
      </c>
      <c r="D3" s="3" t="s">
        <v>1017</v>
      </c>
      <c r="E3" s="18" t="s">
        <v>1018</v>
      </c>
      <c r="F3" s="7" t="n">
        <v>5</v>
      </c>
      <c r="G3" s="7" t="n">
        <v>8</v>
      </c>
    </row>
    <row r="4" customFormat="false" ht="15" hidden="false" customHeight="false" outlineLevel="0" collapsed="false">
      <c r="A4" s="5" t="s">
        <v>71</v>
      </c>
      <c r="B4" s="18" t="s">
        <v>65</v>
      </c>
      <c r="C4" s="18" t="s">
        <v>65</v>
      </c>
      <c r="D4" s="2" t="s">
        <v>1019</v>
      </c>
      <c r="E4" s="18" t="s">
        <v>1018</v>
      </c>
      <c r="F4" s="7" t="n">
        <v>8</v>
      </c>
      <c r="G4" s="7" t="n">
        <v>8</v>
      </c>
    </row>
    <row r="5" customFormat="false" ht="15" hidden="false" customHeight="false" outlineLevel="0" collapsed="false">
      <c r="A5" s="5" t="s">
        <v>71</v>
      </c>
      <c r="B5" s="18" t="s">
        <v>65</v>
      </c>
      <c r="C5" s="18" t="s">
        <v>65</v>
      </c>
      <c r="D5" s="2" t="s">
        <v>1020</v>
      </c>
      <c r="E5" s="18" t="s">
        <v>1018</v>
      </c>
      <c r="F5" s="7" t="n">
        <v>5</v>
      </c>
      <c r="G5" s="7" t="n">
        <v>6</v>
      </c>
    </row>
    <row r="6" customFormat="false" ht="15" hidden="false" customHeight="false" outlineLevel="0" collapsed="false">
      <c r="A6" s="5" t="s">
        <v>71</v>
      </c>
      <c r="B6" s="18" t="s">
        <v>65</v>
      </c>
      <c r="C6" s="18" t="s">
        <v>65</v>
      </c>
      <c r="D6" s="2" t="s">
        <v>1021</v>
      </c>
      <c r="E6" s="18" t="s">
        <v>70</v>
      </c>
      <c r="F6" s="7" t="n">
        <v>4</v>
      </c>
      <c r="G6" s="7" t="n">
        <v>4</v>
      </c>
    </row>
    <row r="7" customFormat="false" ht="15" hidden="false" customHeight="false" outlineLevel="0" collapsed="false">
      <c r="A7" s="5" t="s">
        <v>71</v>
      </c>
      <c r="B7" s="18" t="s">
        <v>65</v>
      </c>
      <c r="C7" s="18" t="s">
        <v>65</v>
      </c>
      <c r="D7" s="2" t="s">
        <v>1022</v>
      </c>
      <c r="E7" s="18" t="s">
        <v>1018</v>
      </c>
      <c r="F7" s="7" t="n">
        <v>0</v>
      </c>
      <c r="G7" s="7" t="n">
        <v>6</v>
      </c>
    </row>
    <row r="8" customFormat="false" ht="15" hidden="false" customHeight="false" outlineLevel="0" collapsed="false">
      <c r="A8" s="5" t="s">
        <v>76</v>
      </c>
      <c r="B8" s="18" t="s">
        <v>65</v>
      </c>
      <c r="C8" s="18" t="s">
        <v>65</v>
      </c>
      <c r="D8" s="2" t="s">
        <v>1023</v>
      </c>
      <c r="E8" s="18" t="s">
        <v>70</v>
      </c>
      <c r="F8" s="7" t="n">
        <v>10</v>
      </c>
      <c r="G8" s="7" t="n">
        <v>8</v>
      </c>
    </row>
    <row r="9" customFormat="false" ht="15" hidden="false" customHeight="false" outlineLevel="0" collapsed="false">
      <c r="A9" s="5" t="s">
        <v>76</v>
      </c>
      <c r="B9" s="18" t="s">
        <v>65</v>
      </c>
      <c r="C9" s="18" t="s">
        <v>65</v>
      </c>
      <c r="D9" s="3" t="s">
        <v>1024</v>
      </c>
      <c r="E9" s="18" t="s">
        <v>1018</v>
      </c>
      <c r="F9" s="7" t="n">
        <v>10</v>
      </c>
      <c r="G9" s="7" t="n">
        <v>10</v>
      </c>
    </row>
    <row r="10" customFormat="false" ht="15" hidden="false" customHeight="false" outlineLevel="0" collapsed="false">
      <c r="A10" s="5" t="s">
        <v>76</v>
      </c>
      <c r="B10" s="18" t="s">
        <v>65</v>
      </c>
      <c r="C10" s="18" t="s">
        <v>65</v>
      </c>
      <c r="D10" s="2" t="s">
        <v>1025</v>
      </c>
      <c r="E10" s="18" t="s">
        <v>70</v>
      </c>
      <c r="F10" s="7" t="n">
        <v>7</v>
      </c>
      <c r="G10" s="7" t="n">
        <v>7</v>
      </c>
    </row>
    <row r="11" customFormat="false" ht="15" hidden="false" customHeight="false" outlineLevel="0" collapsed="false">
      <c r="A11" s="5" t="s">
        <v>81</v>
      </c>
      <c r="B11" s="18" t="s">
        <v>65</v>
      </c>
      <c r="C11" s="18" t="s">
        <v>65</v>
      </c>
      <c r="D11" s="2" t="s">
        <v>1026</v>
      </c>
      <c r="E11" s="18" t="s">
        <v>70</v>
      </c>
      <c r="F11" s="7" t="n">
        <v>10</v>
      </c>
      <c r="G11" s="7" t="n">
        <v>8</v>
      </c>
    </row>
    <row r="12" customFormat="false" ht="15" hidden="false" customHeight="false" outlineLevel="0" collapsed="false">
      <c r="A12" s="5" t="s">
        <v>81</v>
      </c>
      <c r="B12" s="18" t="s">
        <v>65</v>
      </c>
      <c r="C12" s="18" t="s">
        <v>65</v>
      </c>
      <c r="D12" s="2" t="s">
        <v>1027</v>
      </c>
      <c r="E12" s="18" t="s">
        <v>70</v>
      </c>
      <c r="F12" s="7" t="n">
        <v>8</v>
      </c>
      <c r="G12" s="7" t="n">
        <v>6</v>
      </c>
    </row>
    <row r="13" customFormat="false" ht="15" hidden="false" customHeight="false" outlineLevel="0" collapsed="false">
      <c r="A13" s="5" t="s">
        <v>81</v>
      </c>
      <c r="B13" s="18" t="s">
        <v>65</v>
      </c>
      <c r="C13" s="18" t="s">
        <v>65</v>
      </c>
      <c r="D13" s="2" t="s">
        <v>1028</v>
      </c>
      <c r="E13" s="18" t="s">
        <v>70</v>
      </c>
      <c r="F13" s="7" t="n">
        <v>7</v>
      </c>
      <c r="G13" s="7" t="n">
        <v>6</v>
      </c>
    </row>
    <row r="14" customFormat="false" ht="15" hidden="false" customHeight="false" outlineLevel="0" collapsed="false">
      <c r="A14" s="5" t="s">
        <v>85</v>
      </c>
      <c r="B14" s="18" t="s">
        <v>65</v>
      </c>
      <c r="C14" s="18" t="s">
        <v>65</v>
      </c>
      <c r="D14" s="2" t="s">
        <v>1029</v>
      </c>
      <c r="E14" s="18" t="s">
        <v>70</v>
      </c>
      <c r="F14" s="7" t="n">
        <v>6</v>
      </c>
      <c r="G14" s="7" t="n">
        <v>5</v>
      </c>
    </row>
    <row r="15" customFormat="false" ht="15" hidden="false" customHeight="false" outlineLevel="0" collapsed="false">
      <c r="A15" s="5" t="s">
        <v>85</v>
      </c>
      <c r="B15" s="18" t="s">
        <v>65</v>
      </c>
      <c r="C15" s="18" t="s">
        <v>65</v>
      </c>
      <c r="D15" s="2" t="s">
        <v>1030</v>
      </c>
      <c r="E15" s="18" t="s">
        <v>70</v>
      </c>
      <c r="F15" s="7" t="n">
        <v>8</v>
      </c>
      <c r="G15" s="7" t="n">
        <v>6</v>
      </c>
    </row>
    <row r="16" customFormat="false" ht="15" hidden="false" customHeight="false" outlineLevel="0" collapsed="false">
      <c r="A16" s="5" t="s">
        <v>85</v>
      </c>
      <c r="B16" s="18" t="s">
        <v>65</v>
      </c>
      <c r="C16" s="18" t="s">
        <v>65</v>
      </c>
      <c r="D16" s="3" t="s">
        <v>1031</v>
      </c>
      <c r="E16" s="18" t="s">
        <v>1018</v>
      </c>
      <c r="F16" s="7" t="n">
        <v>8</v>
      </c>
      <c r="G16" s="7" t="n">
        <v>10</v>
      </c>
    </row>
    <row r="17" customFormat="false" ht="15" hidden="false" customHeight="false" outlineLevel="0" collapsed="false">
      <c r="A17" s="5" t="s">
        <v>85</v>
      </c>
      <c r="B17" s="18" t="s">
        <v>65</v>
      </c>
      <c r="C17" s="18" t="s">
        <v>65</v>
      </c>
      <c r="D17" s="2" t="s">
        <v>1032</v>
      </c>
      <c r="E17" s="18" t="s">
        <v>70</v>
      </c>
      <c r="F17" s="7" t="n">
        <v>5</v>
      </c>
      <c r="G17" s="7" t="n">
        <v>5</v>
      </c>
    </row>
    <row r="18" customFormat="false" ht="15" hidden="false" customHeight="false" outlineLevel="0" collapsed="false">
      <c r="A18" s="5" t="s">
        <v>90</v>
      </c>
      <c r="B18" s="18" t="s">
        <v>65</v>
      </c>
      <c r="C18" s="18" t="s">
        <v>65</v>
      </c>
      <c r="D18" s="2" t="s">
        <v>1033</v>
      </c>
      <c r="E18" s="18" t="s">
        <v>70</v>
      </c>
      <c r="F18" s="7" t="n">
        <v>6</v>
      </c>
      <c r="G18" s="7" t="n">
        <v>6</v>
      </c>
    </row>
    <row r="19" customFormat="false" ht="15" hidden="false" customHeight="false" outlineLevel="0" collapsed="false">
      <c r="A19" s="5" t="s">
        <v>90</v>
      </c>
      <c r="B19" s="18" t="s">
        <v>65</v>
      </c>
      <c r="C19" s="18" t="s">
        <v>65</v>
      </c>
      <c r="D19" s="2" t="s">
        <v>1034</v>
      </c>
      <c r="E19" s="18" t="s">
        <v>1018</v>
      </c>
      <c r="F19" s="7" t="n">
        <v>2</v>
      </c>
      <c r="G19" s="7" t="n">
        <v>2</v>
      </c>
    </row>
    <row r="20" customFormat="false" ht="15" hidden="false" customHeight="false" outlineLevel="0" collapsed="false">
      <c r="A20" s="5" t="s">
        <v>90</v>
      </c>
      <c r="B20" s="18" t="s">
        <v>65</v>
      </c>
      <c r="C20" s="18" t="s">
        <v>65</v>
      </c>
      <c r="D20" s="3" t="s">
        <v>1035</v>
      </c>
      <c r="E20" s="18" t="s">
        <v>70</v>
      </c>
      <c r="F20" s="7" t="n">
        <v>4</v>
      </c>
      <c r="G20" s="7" t="n">
        <v>4</v>
      </c>
    </row>
    <row r="21" customFormat="false" ht="15" hidden="false" customHeight="false" outlineLevel="0" collapsed="false">
      <c r="A21" s="5" t="s">
        <v>90</v>
      </c>
      <c r="B21" s="18" t="s">
        <v>65</v>
      </c>
      <c r="C21" s="18" t="s">
        <v>65</v>
      </c>
      <c r="D21" s="2" t="s">
        <v>1036</v>
      </c>
      <c r="E21" s="18" t="s">
        <v>1018</v>
      </c>
      <c r="F21" s="7" t="n">
        <v>4</v>
      </c>
      <c r="G21" s="7" t="n">
        <v>4</v>
      </c>
    </row>
    <row r="22" customFormat="false" ht="15" hidden="false" customHeight="false" outlineLevel="0" collapsed="false">
      <c r="A22" s="5" t="s">
        <v>90</v>
      </c>
      <c r="B22" s="18" t="s">
        <v>65</v>
      </c>
      <c r="C22" s="18" t="s">
        <v>65</v>
      </c>
      <c r="D22" s="2" t="s">
        <v>1037</v>
      </c>
      <c r="E22" s="18" t="s">
        <v>70</v>
      </c>
      <c r="F22" s="7" t="n">
        <v>3</v>
      </c>
      <c r="G22" s="7" t="n">
        <v>3</v>
      </c>
    </row>
    <row r="23" customFormat="false" ht="15" hidden="false" customHeight="false" outlineLevel="0" collapsed="false">
      <c r="A23" s="5" t="s">
        <v>90</v>
      </c>
      <c r="B23" s="18" t="s">
        <v>65</v>
      </c>
      <c r="C23" s="18" t="s">
        <v>65</v>
      </c>
      <c r="D23" s="2" t="s">
        <v>1038</v>
      </c>
      <c r="E23" s="18" t="s">
        <v>70</v>
      </c>
      <c r="F23" s="7" t="n">
        <v>3</v>
      </c>
      <c r="G23" s="7" t="n">
        <v>2</v>
      </c>
    </row>
    <row r="24" customFormat="false" ht="15" hidden="false" customHeight="false" outlineLevel="0" collapsed="false">
      <c r="A24" s="5" t="s">
        <v>95</v>
      </c>
      <c r="B24" s="18" t="s">
        <v>65</v>
      </c>
      <c r="C24" s="18" t="s">
        <v>65</v>
      </c>
      <c r="D24" s="2" t="s">
        <v>1039</v>
      </c>
      <c r="E24" s="18" t="s">
        <v>1018</v>
      </c>
      <c r="F24" s="7" t="n">
        <v>7</v>
      </c>
      <c r="G24" s="7" t="n">
        <v>12</v>
      </c>
    </row>
    <row r="25" customFormat="false" ht="15" hidden="false" customHeight="false" outlineLevel="0" collapsed="false">
      <c r="A25" s="5" t="s">
        <v>95</v>
      </c>
      <c r="B25" s="18" t="s">
        <v>65</v>
      </c>
      <c r="C25" s="18" t="s">
        <v>65</v>
      </c>
      <c r="D25" s="2" t="s">
        <v>1040</v>
      </c>
      <c r="E25" s="18" t="s">
        <v>1018</v>
      </c>
      <c r="F25" s="7" t="n">
        <v>2</v>
      </c>
      <c r="G25" s="7" t="n">
        <v>3</v>
      </c>
    </row>
    <row r="26" customFormat="false" ht="15" hidden="false" customHeight="false" outlineLevel="0" collapsed="false">
      <c r="A26" s="5" t="s">
        <v>95</v>
      </c>
      <c r="B26" s="18" t="s">
        <v>65</v>
      </c>
      <c r="C26" s="18" t="s">
        <v>65</v>
      </c>
      <c r="D26" s="2" t="s">
        <v>1041</v>
      </c>
      <c r="E26" s="18" t="s">
        <v>1018</v>
      </c>
      <c r="F26" s="7" t="n">
        <v>0</v>
      </c>
      <c r="G26" s="7" t="n">
        <v>3</v>
      </c>
    </row>
    <row r="27" customFormat="false" ht="15" hidden="false" customHeight="false" outlineLevel="0" collapsed="false">
      <c r="A27" s="5" t="s">
        <v>101</v>
      </c>
      <c r="B27" s="18" t="s">
        <v>100</v>
      </c>
      <c r="C27" s="18" t="s">
        <v>7</v>
      </c>
      <c r="D27" s="2" t="s">
        <v>1042</v>
      </c>
      <c r="E27" s="18" t="s">
        <v>70</v>
      </c>
      <c r="F27" s="7" t="n">
        <v>5</v>
      </c>
      <c r="G27" s="7" t="n">
        <v>4</v>
      </c>
    </row>
    <row r="28" customFormat="false" ht="15" hidden="false" customHeight="false" outlineLevel="0" collapsed="false">
      <c r="A28" s="5" t="s">
        <v>101</v>
      </c>
      <c r="B28" s="18" t="s">
        <v>100</v>
      </c>
      <c r="C28" s="18" t="s">
        <v>7</v>
      </c>
      <c r="D28" s="2" t="s">
        <v>1043</v>
      </c>
      <c r="E28" s="18" t="s">
        <v>70</v>
      </c>
      <c r="F28" s="7" t="n">
        <v>5</v>
      </c>
      <c r="G28" s="7" t="n">
        <v>5</v>
      </c>
    </row>
    <row r="29" customFormat="false" ht="15" hidden="false" customHeight="false" outlineLevel="0" collapsed="false">
      <c r="A29" s="5" t="s">
        <v>101</v>
      </c>
      <c r="B29" s="18" t="s">
        <v>100</v>
      </c>
      <c r="C29" s="18" t="s">
        <v>7</v>
      </c>
      <c r="D29" s="2" t="s">
        <v>1044</v>
      </c>
      <c r="E29" s="18" t="s">
        <v>70</v>
      </c>
      <c r="F29" s="7" t="n">
        <v>8</v>
      </c>
      <c r="G29" s="7" t="n">
        <v>7</v>
      </c>
    </row>
    <row r="30" customFormat="false" ht="15" hidden="false" customHeight="false" outlineLevel="0" collapsed="false">
      <c r="A30" s="5" t="s">
        <v>101</v>
      </c>
      <c r="B30" s="18" t="s">
        <v>100</v>
      </c>
      <c r="C30" s="18" t="s">
        <v>7</v>
      </c>
      <c r="D30" s="2" t="s">
        <v>1045</v>
      </c>
      <c r="E30" s="18" t="s">
        <v>70</v>
      </c>
      <c r="F30" s="7" t="n">
        <v>7</v>
      </c>
      <c r="G30" s="7" t="n">
        <v>6</v>
      </c>
    </row>
    <row r="31" customFormat="false" ht="15" hidden="false" customHeight="false" outlineLevel="0" collapsed="false">
      <c r="A31" s="5" t="s">
        <v>101</v>
      </c>
      <c r="B31" s="18" t="s">
        <v>100</v>
      </c>
      <c r="C31" s="18" t="s">
        <v>7</v>
      </c>
      <c r="D31" s="2" t="s">
        <v>1046</v>
      </c>
      <c r="E31" s="18" t="s">
        <v>70</v>
      </c>
      <c r="F31" s="7" t="n">
        <v>4</v>
      </c>
      <c r="G31" s="7" t="n">
        <v>3</v>
      </c>
    </row>
    <row r="32" customFormat="false" ht="15" hidden="false" customHeight="false" outlineLevel="0" collapsed="false">
      <c r="A32" s="5" t="s">
        <v>101</v>
      </c>
      <c r="B32" s="18" t="s">
        <v>100</v>
      </c>
      <c r="C32" s="18" t="s">
        <v>7</v>
      </c>
      <c r="D32" s="2" t="s">
        <v>1047</v>
      </c>
      <c r="E32" s="18" t="s">
        <v>70</v>
      </c>
      <c r="F32" s="7" t="n">
        <v>0</v>
      </c>
      <c r="G32" s="7" t="n">
        <v>3</v>
      </c>
    </row>
    <row r="33" customFormat="false" ht="15" hidden="false" customHeight="false" outlineLevel="0" collapsed="false">
      <c r="A33" s="5" t="s">
        <v>105</v>
      </c>
      <c r="B33" s="18" t="s">
        <v>100</v>
      </c>
      <c r="C33" s="18" t="s">
        <v>7</v>
      </c>
      <c r="D33" s="2" t="s">
        <v>1048</v>
      </c>
      <c r="E33" s="18" t="s">
        <v>70</v>
      </c>
      <c r="F33" s="7" t="n">
        <v>4</v>
      </c>
      <c r="G33" s="7" t="n">
        <v>4</v>
      </c>
    </row>
    <row r="34" customFormat="false" ht="15" hidden="false" customHeight="false" outlineLevel="0" collapsed="false">
      <c r="A34" s="5" t="s">
        <v>105</v>
      </c>
      <c r="B34" s="18" t="s">
        <v>100</v>
      </c>
      <c r="C34" s="18" t="s">
        <v>7</v>
      </c>
      <c r="D34" s="2" t="s">
        <v>1049</v>
      </c>
      <c r="E34" s="18" t="s">
        <v>70</v>
      </c>
      <c r="F34" s="7" t="n">
        <v>5</v>
      </c>
      <c r="G34" s="7" t="n">
        <v>5</v>
      </c>
    </row>
    <row r="35" customFormat="false" ht="15" hidden="false" customHeight="false" outlineLevel="0" collapsed="false">
      <c r="A35" s="5" t="s">
        <v>105</v>
      </c>
      <c r="B35" s="18" t="s">
        <v>100</v>
      </c>
      <c r="C35" s="18" t="s">
        <v>7</v>
      </c>
      <c r="D35" s="2" t="s">
        <v>1050</v>
      </c>
      <c r="E35" s="18" t="s">
        <v>70</v>
      </c>
      <c r="F35" s="7" t="n">
        <v>6</v>
      </c>
      <c r="G35" s="7" t="n">
        <v>5</v>
      </c>
    </row>
    <row r="36" customFormat="false" ht="15" hidden="false" customHeight="false" outlineLevel="0" collapsed="false">
      <c r="A36" s="5" t="s">
        <v>105</v>
      </c>
      <c r="B36" s="18" t="s">
        <v>100</v>
      </c>
      <c r="C36" s="18" t="s">
        <v>7</v>
      </c>
      <c r="D36" s="2" t="s">
        <v>1047</v>
      </c>
      <c r="E36" s="18" t="s">
        <v>70</v>
      </c>
      <c r="F36" s="7" t="n">
        <v>0</v>
      </c>
      <c r="G36" s="7" t="n">
        <v>3</v>
      </c>
    </row>
    <row r="37" customFormat="false" ht="15" hidden="false" customHeight="false" outlineLevel="0" collapsed="false">
      <c r="A37" s="5" t="s">
        <v>109</v>
      </c>
      <c r="B37" s="18" t="s">
        <v>100</v>
      </c>
      <c r="C37" s="18" t="s">
        <v>7</v>
      </c>
      <c r="D37" s="2" t="s">
        <v>1051</v>
      </c>
      <c r="E37" s="18" t="s">
        <v>70</v>
      </c>
      <c r="F37" s="7" t="n">
        <v>6</v>
      </c>
      <c r="G37" s="7" t="n">
        <v>5</v>
      </c>
    </row>
    <row r="38" customFormat="false" ht="15" hidden="false" customHeight="false" outlineLevel="0" collapsed="false">
      <c r="A38" s="5" t="s">
        <v>109</v>
      </c>
      <c r="B38" s="18" t="s">
        <v>100</v>
      </c>
      <c r="C38" s="18" t="s">
        <v>7</v>
      </c>
      <c r="D38" s="2" t="s">
        <v>1052</v>
      </c>
      <c r="E38" s="18" t="s">
        <v>70</v>
      </c>
      <c r="F38" s="7" t="n">
        <v>8</v>
      </c>
      <c r="G38" s="7" t="n">
        <v>7</v>
      </c>
    </row>
    <row r="39" customFormat="false" ht="15" hidden="false" customHeight="false" outlineLevel="0" collapsed="false">
      <c r="A39" s="5" t="s">
        <v>109</v>
      </c>
      <c r="B39" s="18" t="s">
        <v>100</v>
      </c>
      <c r="C39" s="18" t="s">
        <v>7</v>
      </c>
      <c r="D39" s="2" t="s">
        <v>1053</v>
      </c>
      <c r="E39" s="18" t="s">
        <v>70</v>
      </c>
      <c r="F39" s="7" t="n">
        <v>8</v>
      </c>
      <c r="G39" s="7" t="n">
        <v>7</v>
      </c>
    </row>
    <row r="40" customFormat="false" ht="15" hidden="false" customHeight="false" outlineLevel="0" collapsed="false">
      <c r="A40" s="5" t="s">
        <v>109</v>
      </c>
      <c r="B40" s="18" t="s">
        <v>100</v>
      </c>
      <c r="C40" s="18" t="s">
        <v>7</v>
      </c>
      <c r="D40" s="2" t="s">
        <v>1054</v>
      </c>
      <c r="E40" s="18" t="s">
        <v>70</v>
      </c>
      <c r="F40" s="7" t="n">
        <v>5</v>
      </c>
      <c r="G40" s="7" t="n">
        <v>4</v>
      </c>
    </row>
    <row r="41" customFormat="false" ht="15" hidden="false" customHeight="false" outlineLevel="0" collapsed="false">
      <c r="A41" s="5" t="s">
        <v>109</v>
      </c>
      <c r="B41" s="18" t="s">
        <v>100</v>
      </c>
      <c r="C41" s="18" t="s">
        <v>7</v>
      </c>
      <c r="D41" s="2" t="s">
        <v>1047</v>
      </c>
      <c r="E41" s="18" t="s">
        <v>70</v>
      </c>
      <c r="F41" s="7" t="n">
        <v>0</v>
      </c>
      <c r="G41" s="7" t="n">
        <v>3</v>
      </c>
    </row>
    <row r="42" customFormat="false" ht="15" hidden="false" customHeight="false" outlineLevel="0" collapsed="false">
      <c r="A42" s="5" t="s">
        <v>113</v>
      </c>
      <c r="B42" s="18" t="s">
        <v>100</v>
      </c>
      <c r="C42" s="18" t="s">
        <v>7</v>
      </c>
      <c r="D42" s="2" t="s">
        <v>1055</v>
      </c>
      <c r="E42" s="18" t="s">
        <v>70</v>
      </c>
      <c r="F42" s="7" t="n">
        <v>5</v>
      </c>
      <c r="G42" s="7" t="n">
        <v>5</v>
      </c>
    </row>
    <row r="43" customFormat="false" ht="15" hidden="false" customHeight="false" outlineLevel="0" collapsed="false">
      <c r="A43" s="5" t="s">
        <v>113</v>
      </c>
      <c r="B43" s="18" t="s">
        <v>100</v>
      </c>
      <c r="C43" s="18" t="s">
        <v>7</v>
      </c>
      <c r="D43" s="2" t="s">
        <v>1056</v>
      </c>
      <c r="E43" s="18" t="s">
        <v>70</v>
      </c>
      <c r="F43" s="7" t="n">
        <v>7</v>
      </c>
      <c r="G43" s="7" t="n">
        <v>8</v>
      </c>
    </row>
    <row r="44" customFormat="false" ht="15" hidden="false" customHeight="false" outlineLevel="0" collapsed="false">
      <c r="A44" s="5" t="s">
        <v>113</v>
      </c>
      <c r="B44" s="18" t="s">
        <v>100</v>
      </c>
      <c r="C44" s="18" t="s">
        <v>7</v>
      </c>
      <c r="D44" s="2" t="s">
        <v>1057</v>
      </c>
      <c r="E44" s="18" t="s">
        <v>70</v>
      </c>
      <c r="F44" s="7" t="n">
        <v>4</v>
      </c>
      <c r="G44" s="7" t="n">
        <v>4</v>
      </c>
    </row>
    <row r="45" customFormat="false" ht="15" hidden="false" customHeight="false" outlineLevel="0" collapsed="false">
      <c r="A45" s="5" t="s">
        <v>113</v>
      </c>
      <c r="B45" s="18" t="s">
        <v>100</v>
      </c>
      <c r="C45" s="18" t="s">
        <v>7</v>
      </c>
      <c r="D45" s="2" t="s">
        <v>1047</v>
      </c>
      <c r="E45" s="18" t="s">
        <v>70</v>
      </c>
      <c r="F45" s="7" t="n">
        <v>0</v>
      </c>
      <c r="G45" s="7" t="n">
        <v>3</v>
      </c>
    </row>
    <row r="46" customFormat="false" ht="15" hidden="false" customHeight="false" outlineLevel="0" collapsed="false">
      <c r="A46" s="5" t="s">
        <v>117</v>
      </c>
      <c r="B46" s="18" t="s">
        <v>100</v>
      </c>
      <c r="C46" s="18" t="s">
        <v>7</v>
      </c>
      <c r="D46" s="3" t="s">
        <v>1058</v>
      </c>
      <c r="E46" s="18" t="s">
        <v>1018</v>
      </c>
      <c r="F46" s="7" t="n">
        <v>10</v>
      </c>
      <c r="G46" s="7" t="n">
        <v>12</v>
      </c>
    </row>
    <row r="47" customFormat="false" ht="15" hidden="false" customHeight="false" outlineLevel="0" collapsed="false">
      <c r="A47" s="5" t="s">
        <v>117</v>
      </c>
      <c r="B47" s="18" t="s">
        <v>100</v>
      </c>
      <c r="C47" s="18" t="s">
        <v>7</v>
      </c>
      <c r="D47" s="2" t="s">
        <v>1059</v>
      </c>
      <c r="E47" s="18" t="s">
        <v>1018</v>
      </c>
      <c r="F47" s="7" t="n">
        <v>6</v>
      </c>
      <c r="G47" s="7" t="n">
        <v>15</v>
      </c>
    </row>
    <row r="48" customFormat="false" ht="15" hidden="false" customHeight="false" outlineLevel="0" collapsed="false">
      <c r="A48" s="5" t="s">
        <v>117</v>
      </c>
      <c r="B48" s="18" t="s">
        <v>100</v>
      </c>
      <c r="C48" s="18" t="s">
        <v>7</v>
      </c>
      <c r="D48" s="2" t="s">
        <v>1060</v>
      </c>
      <c r="E48" s="18" t="s">
        <v>1018</v>
      </c>
      <c r="F48" s="7" t="n">
        <v>0</v>
      </c>
      <c r="G48" s="7" t="n">
        <v>5</v>
      </c>
    </row>
    <row r="49" customFormat="false" ht="15" hidden="false" customHeight="false" outlineLevel="0" collapsed="false">
      <c r="A49" s="5" t="s">
        <v>122</v>
      </c>
      <c r="B49" s="18" t="s">
        <v>100</v>
      </c>
      <c r="C49" s="18" t="s">
        <v>7</v>
      </c>
      <c r="D49" s="2" t="s">
        <v>1061</v>
      </c>
      <c r="E49" s="18" t="s">
        <v>70</v>
      </c>
      <c r="F49" s="7" t="n">
        <v>6</v>
      </c>
      <c r="G49" s="7" t="n">
        <v>5</v>
      </c>
    </row>
    <row r="50" customFormat="false" ht="15" hidden="false" customHeight="false" outlineLevel="0" collapsed="false">
      <c r="A50" s="5" t="s">
        <v>122</v>
      </c>
      <c r="B50" s="18" t="s">
        <v>100</v>
      </c>
      <c r="C50" s="18" t="s">
        <v>7</v>
      </c>
      <c r="D50" s="2" t="s">
        <v>1062</v>
      </c>
      <c r="E50" s="18" t="s">
        <v>70</v>
      </c>
      <c r="F50" s="7" t="n">
        <v>8</v>
      </c>
      <c r="G50" s="7" t="n">
        <v>8</v>
      </c>
    </row>
    <row r="51" customFormat="false" ht="15" hidden="false" customHeight="false" outlineLevel="0" collapsed="false">
      <c r="A51" s="5" t="s">
        <v>122</v>
      </c>
      <c r="B51" s="18" t="s">
        <v>100</v>
      </c>
      <c r="C51" s="18" t="s">
        <v>7</v>
      </c>
      <c r="D51" s="2" t="s">
        <v>1063</v>
      </c>
      <c r="E51" s="18" t="s">
        <v>1018</v>
      </c>
      <c r="F51" s="7" t="n">
        <v>5</v>
      </c>
      <c r="G51" s="7" t="n">
        <v>15</v>
      </c>
    </row>
    <row r="52" customFormat="false" ht="15" hidden="false" customHeight="false" outlineLevel="0" collapsed="false">
      <c r="A52" s="5" t="s">
        <v>122</v>
      </c>
      <c r="B52" s="18" t="s">
        <v>100</v>
      </c>
      <c r="C52" s="18" t="s">
        <v>7</v>
      </c>
      <c r="D52" s="2" t="s">
        <v>1064</v>
      </c>
      <c r="E52" s="18" t="s">
        <v>1018</v>
      </c>
      <c r="F52" s="7" t="n">
        <v>3</v>
      </c>
      <c r="G52" s="7" t="n">
        <v>5</v>
      </c>
    </row>
    <row r="53" customFormat="false" ht="15" hidden="false" customHeight="false" outlineLevel="0" collapsed="false">
      <c r="A53" s="5" t="s">
        <v>126</v>
      </c>
      <c r="B53" s="18" t="s">
        <v>100</v>
      </c>
      <c r="C53" s="18" t="s">
        <v>7</v>
      </c>
      <c r="D53" s="2" t="s">
        <v>1065</v>
      </c>
      <c r="E53" s="18" t="s">
        <v>70</v>
      </c>
      <c r="F53" s="7" t="n">
        <v>6</v>
      </c>
      <c r="G53" s="7" t="n">
        <v>5</v>
      </c>
    </row>
    <row r="54" customFormat="false" ht="15" hidden="false" customHeight="false" outlineLevel="0" collapsed="false">
      <c r="A54" s="5" t="s">
        <v>126</v>
      </c>
      <c r="B54" s="18" t="s">
        <v>100</v>
      </c>
      <c r="C54" s="18" t="s">
        <v>7</v>
      </c>
      <c r="D54" s="2" t="s">
        <v>1066</v>
      </c>
      <c r="E54" s="18" t="s">
        <v>70</v>
      </c>
      <c r="F54" s="7" t="n">
        <v>6</v>
      </c>
      <c r="G54" s="7" t="n">
        <v>6</v>
      </c>
    </row>
    <row r="55" customFormat="false" ht="15" hidden="false" customHeight="false" outlineLevel="0" collapsed="false">
      <c r="A55" s="5" t="s">
        <v>126</v>
      </c>
      <c r="B55" s="18" t="s">
        <v>100</v>
      </c>
      <c r="C55" s="18" t="s">
        <v>7</v>
      </c>
      <c r="D55" s="2" t="s">
        <v>1067</v>
      </c>
      <c r="E55" s="18" t="s">
        <v>70</v>
      </c>
      <c r="F55" s="7" t="n">
        <v>4</v>
      </c>
      <c r="G55" s="7" t="n">
        <v>4</v>
      </c>
    </row>
    <row r="56" customFormat="false" ht="15" hidden="false" customHeight="false" outlineLevel="0" collapsed="false">
      <c r="A56" s="5" t="s">
        <v>126</v>
      </c>
      <c r="B56" s="18" t="s">
        <v>100</v>
      </c>
      <c r="C56" s="18" t="s">
        <v>7</v>
      </c>
      <c r="D56" s="2" t="s">
        <v>1047</v>
      </c>
      <c r="E56" s="18" t="s">
        <v>70</v>
      </c>
      <c r="F56" s="7" t="n">
        <v>0</v>
      </c>
      <c r="G56" s="7" t="n">
        <v>2</v>
      </c>
    </row>
    <row r="57" customFormat="false" ht="15" hidden="false" customHeight="false" outlineLevel="0" collapsed="false">
      <c r="A57" s="5" t="s">
        <v>130</v>
      </c>
      <c r="B57" s="18" t="s">
        <v>100</v>
      </c>
      <c r="C57" s="18" t="s">
        <v>7</v>
      </c>
      <c r="D57" s="2" t="s">
        <v>1068</v>
      </c>
      <c r="E57" s="18" t="s">
        <v>70</v>
      </c>
      <c r="F57" s="7" t="n">
        <v>5</v>
      </c>
      <c r="G57" s="7" t="n">
        <v>5</v>
      </c>
    </row>
    <row r="58" customFormat="false" ht="15" hidden="false" customHeight="false" outlineLevel="0" collapsed="false">
      <c r="A58" s="5" t="s">
        <v>130</v>
      </c>
      <c r="B58" s="18" t="s">
        <v>100</v>
      </c>
      <c r="C58" s="18" t="s">
        <v>7</v>
      </c>
      <c r="D58" s="2" t="s">
        <v>1069</v>
      </c>
      <c r="E58" s="18" t="s">
        <v>70</v>
      </c>
      <c r="F58" s="7" t="n">
        <v>5</v>
      </c>
      <c r="G58" s="7" t="n">
        <v>5</v>
      </c>
    </row>
    <row r="59" customFormat="false" ht="15" hidden="false" customHeight="false" outlineLevel="0" collapsed="false">
      <c r="A59" s="5" t="s">
        <v>130</v>
      </c>
      <c r="B59" s="18" t="s">
        <v>100</v>
      </c>
      <c r="C59" s="18" t="s">
        <v>7</v>
      </c>
      <c r="D59" s="2" t="s">
        <v>1070</v>
      </c>
      <c r="E59" s="18" t="s">
        <v>70</v>
      </c>
      <c r="F59" s="7" t="n">
        <v>5</v>
      </c>
      <c r="G59" s="7" t="n">
        <v>5</v>
      </c>
    </row>
    <row r="60" customFormat="false" ht="15" hidden="false" customHeight="false" outlineLevel="0" collapsed="false">
      <c r="A60" s="5" t="s">
        <v>130</v>
      </c>
      <c r="B60" s="18" t="s">
        <v>100</v>
      </c>
      <c r="C60" s="18" t="s">
        <v>7</v>
      </c>
      <c r="D60" s="2" t="s">
        <v>1071</v>
      </c>
      <c r="E60" s="18" t="s">
        <v>1018</v>
      </c>
      <c r="F60" s="7" t="n">
        <v>3</v>
      </c>
      <c r="G60" s="7" t="n">
        <v>8</v>
      </c>
    </row>
    <row r="61" customFormat="false" ht="15" hidden="false" customHeight="false" outlineLevel="0" collapsed="false">
      <c r="A61" s="5" t="s">
        <v>130</v>
      </c>
      <c r="B61" s="18" t="s">
        <v>100</v>
      </c>
      <c r="C61" s="18" t="s">
        <v>7</v>
      </c>
      <c r="D61" s="2" t="s">
        <v>1047</v>
      </c>
      <c r="E61" s="18" t="s">
        <v>70</v>
      </c>
      <c r="F61" s="7" t="n">
        <v>0</v>
      </c>
      <c r="G61" s="7" t="n">
        <v>2</v>
      </c>
    </row>
    <row r="62" customFormat="false" ht="15" hidden="false" customHeight="false" outlineLevel="0" collapsed="false">
      <c r="A62" s="5" t="s">
        <v>134</v>
      </c>
      <c r="B62" s="18" t="s">
        <v>100</v>
      </c>
      <c r="C62" s="18" t="s">
        <v>7</v>
      </c>
      <c r="D62" s="2" t="s">
        <v>1072</v>
      </c>
      <c r="E62" s="18" t="s">
        <v>70</v>
      </c>
      <c r="F62" s="7" t="n">
        <v>5</v>
      </c>
      <c r="G62" s="7" t="n">
        <v>4</v>
      </c>
    </row>
    <row r="63" customFormat="false" ht="15" hidden="false" customHeight="false" outlineLevel="0" collapsed="false">
      <c r="A63" s="5" t="s">
        <v>134</v>
      </c>
      <c r="B63" s="18" t="s">
        <v>100</v>
      </c>
      <c r="C63" s="18" t="s">
        <v>7</v>
      </c>
      <c r="D63" s="2" t="s">
        <v>1073</v>
      </c>
      <c r="E63" s="18" t="s">
        <v>70</v>
      </c>
      <c r="F63" s="7" t="n">
        <v>8</v>
      </c>
      <c r="G63" s="7" t="n">
        <v>7</v>
      </c>
    </row>
    <row r="64" customFormat="false" ht="15" hidden="false" customHeight="false" outlineLevel="0" collapsed="false">
      <c r="A64" s="5" t="s">
        <v>134</v>
      </c>
      <c r="B64" s="18" t="s">
        <v>100</v>
      </c>
      <c r="C64" s="18" t="s">
        <v>7</v>
      </c>
      <c r="D64" s="2" t="s">
        <v>1074</v>
      </c>
      <c r="E64" s="18" t="s">
        <v>70</v>
      </c>
      <c r="F64" s="7" t="n">
        <v>5</v>
      </c>
      <c r="G64" s="7" t="n">
        <v>4</v>
      </c>
    </row>
    <row r="65" customFormat="false" ht="15" hidden="false" customHeight="false" outlineLevel="0" collapsed="false">
      <c r="A65" s="5" t="s">
        <v>134</v>
      </c>
      <c r="B65" s="18" t="s">
        <v>100</v>
      </c>
      <c r="C65" s="18" t="s">
        <v>7</v>
      </c>
      <c r="D65" s="2" t="s">
        <v>1075</v>
      </c>
      <c r="E65" s="18" t="s">
        <v>1018</v>
      </c>
      <c r="F65" s="7" t="n">
        <v>5</v>
      </c>
      <c r="G65" s="7" t="n">
        <v>12</v>
      </c>
    </row>
    <row r="66" customFormat="false" ht="15" hidden="false" customHeight="false" outlineLevel="0" collapsed="false">
      <c r="A66" s="5" t="s">
        <v>134</v>
      </c>
      <c r="B66" s="18" t="s">
        <v>100</v>
      </c>
      <c r="C66" s="18" t="s">
        <v>7</v>
      </c>
      <c r="D66" s="2" t="s">
        <v>1076</v>
      </c>
      <c r="E66" s="18" t="s">
        <v>1018</v>
      </c>
      <c r="F66" s="7" t="n">
        <v>5</v>
      </c>
      <c r="G66" s="7" t="n">
        <v>13</v>
      </c>
    </row>
    <row r="67" customFormat="false" ht="15" hidden="false" customHeight="false" outlineLevel="0" collapsed="false">
      <c r="A67" s="5" t="s">
        <v>134</v>
      </c>
      <c r="B67" s="18" t="s">
        <v>100</v>
      </c>
      <c r="C67" s="18" t="s">
        <v>7</v>
      </c>
      <c r="D67" s="2" t="s">
        <v>1077</v>
      </c>
      <c r="E67" s="18" t="s">
        <v>70</v>
      </c>
      <c r="F67" s="7" t="n">
        <v>3</v>
      </c>
      <c r="G67" s="7" t="n">
        <v>3</v>
      </c>
    </row>
    <row r="68" customFormat="false" ht="15" hidden="false" customHeight="false" outlineLevel="0" collapsed="false">
      <c r="A68" s="5" t="s">
        <v>138</v>
      </c>
      <c r="B68" s="18" t="s">
        <v>100</v>
      </c>
      <c r="C68" s="18" t="s">
        <v>7</v>
      </c>
      <c r="D68" s="2" t="s">
        <v>1078</v>
      </c>
      <c r="E68" s="18" t="s">
        <v>70</v>
      </c>
      <c r="F68" s="7" t="n">
        <v>5</v>
      </c>
      <c r="G68" s="7" t="n">
        <v>4</v>
      </c>
    </row>
    <row r="69" customFormat="false" ht="15" hidden="false" customHeight="false" outlineLevel="0" collapsed="false">
      <c r="A69" s="5" t="s">
        <v>138</v>
      </c>
      <c r="B69" s="18" t="s">
        <v>100</v>
      </c>
      <c r="C69" s="18" t="s">
        <v>7</v>
      </c>
      <c r="D69" s="2" t="s">
        <v>1079</v>
      </c>
      <c r="E69" s="18" t="s">
        <v>70</v>
      </c>
      <c r="F69" s="7" t="n">
        <v>8</v>
      </c>
      <c r="G69" s="7" t="n">
        <v>7</v>
      </c>
    </row>
    <row r="70" customFormat="false" ht="15" hidden="false" customHeight="false" outlineLevel="0" collapsed="false">
      <c r="A70" s="5" t="s">
        <v>138</v>
      </c>
      <c r="B70" s="18" t="s">
        <v>100</v>
      </c>
      <c r="C70" s="18" t="s">
        <v>7</v>
      </c>
      <c r="D70" s="2" t="s">
        <v>1080</v>
      </c>
      <c r="E70" s="18" t="s">
        <v>70</v>
      </c>
      <c r="F70" s="7" t="n">
        <v>8</v>
      </c>
      <c r="G70" s="7" t="n">
        <v>15</v>
      </c>
    </row>
    <row r="71" customFormat="false" ht="15" hidden="false" customHeight="false" outlineLevel="0" collapsed="false">
      <c r="A71" s="5" t="s">
        <v>138</v>
      </c>
      <c r="B71" s="18" t="s">
        <v>100</v>
      </c>
      <c r="C71" s="18" t="s">
        <v>7</v>
      </c>
      <c r="D71" s="2" t="s">
        <v>1081</v>
      </c>
      <c r="E71" s="18" t="s">
        <v>1018</v>
      </c>
      <c r="F71" s="7" t="n">
        <v>6</v>
      </c>
      <c r="G71" s="7" t="n">
        <v>5</v>
      </c>
    </row>
    <row r="72" customFormat="false" ht="15" hidden="false" customHeight="false" outlineLevel="0" collapsed="false">
      <c r="A72" s="5" t="s">
        <v>138</v>
      </c>
      <c r="B72" s="18" t="s">
        <v>100</v>
      </c>
      <c r="C72" s="18" t="s">
        <v>7</v>
      </c>
      <c r="D72" s="2" t="s">
        <v>1082</v>
      </c>
      <c r="E72" s="18" t="s">
        <v>70</v>
      </c>
      <c r="F72" s="7" t="n">
        <v>3</v>
      </c>
      <c r="G72" s="7" t="n">
        <v>3</v>
      </c>
    </row>
    <row r="73" customFormat="false" ht="15" hidden="false" customHeight="false" outlineLevel="0" collapsed="false">
      <c r="A73" s="5" t="s">
        <v>143</v>
      </c>
      <c r="B73" s="18" t="s">
        <v>100</v>
      </c>
      <c r="C73" s="18" t="s">
        <v>7</v>
      </c>
      <c r="D73" s="2" t="s">
        <v>1083</v>
      </c>
      <c r="E73" s="18" t="s">
        <v>1018</v>
      </c>
      <c r="F73" s="7" t="n">
        <v>7</v>
      </c>
      <c r="G73" s="7" t="n">
        <v>7</v>
      </c>
    </row>
    <row r="74" customFormat="false" ht="15" hidden="false" customHeight="false" outlineLevel="0" collapsed="false">
      <c r="A74" s="5" t="s">
        <v>143</v>
      </c>
      <c r="B74" s="18" t="s">
        <v>100</v>
      </c>
      <c r="C74" s="18" t="s">
        <v>7</v>
      </c>
      <c r="D74" s="2" t="s">
        <v>1084</v>
      </c>
      <c r="E74" s="18" t="s">
        <v>70</v>
      </c>
      <c r="F74" s="7" t="n">
        <v>8</v>
      </c>
      <c r="G74" s="7" t="n">
        <v>10</v>
      </c>
    </row>
    <row r="75" customFormat="false" ht="15" hidden="false" customHeight="false" outlineLevel="0" collapsed="false">
      <c r="A75" s="5" t="s">
        <v>147</v>
      </c>
      <c r="B75" s="18" t="s">
        <v>100</v>
      </c>
      <c r="C75" s="18" t="s">
        <v>7</v>
      </c>
      <c r="D75" s="2" t="s">
        <v>1085</v>
      </c>
      <c r="E75" s="18" t="s">
        <v>1018</v>
      </c>
      <c r="F75" s="7" t="n">
        <v>10</v>
      </c>
      <c r="G75" s="7" t="n">
        <v>8</v>
      </c>
    </row>
    <row r="76" customFormat="false" ht="15" hidden="false" customHeight="false" outlineLevel="0" collapsed="false">
      <c r="A76" s="5" t="s">
        <v>147</v>
      </c>
      <c r="B76" s="18" t="s">
        <v>100</v>
      </c>
      <c r="C76" s="18" t="s">
        <v>7</v>
      </c>
      <c r="D76" s="2" t="s">
        <v>1086</v>
      </c>
      <c r="E76" s="18" t="s">
        <v>1018</v>
      </c>
      <c r="F76" s="7" t="n">
        <v>0</v>
      </c>
      <c r="G76" s="7" t="n">
        <v>7</v>
      </c>
    </row>
    <row r="77" customFormat="false" ht="15" hidden="false" customHeight="false" outlineLevel="0" collapsed="false">
      <c r="A77" s="5" t="s">
        <v>151</v>
      </c>
      <c r="B77" s="18" t="s">
        <v>100</v>
      </c>
      <c r="C77" s="18" t="s">
        <v>7</v>
      </c>
      <c r="D77" s="2" t="s">
        <v>1087</v>
      </c>
      <c r="E77" s="18" t="s">
        <v>70</v>
      </c>
      <c r="F77" s="7" t="n">
        <v>5</v>
      </c>
      <c r="G77" s="7" t="n">
        <v>4</v>
      </c>
    </row>
    <row r="78" customFormat="false" ht="15" hidden="false" customHeight="false" outlineLevel="0" collapsed="false">
      <c r="A78" s="5" t="s">
        <v>151</v>
      </c>
      <c r="B78" s="18" t="s">
        <v>100</v>
      </c>
      <c r="C78" s="18" t="s">
        <v>7</v>
      </c>
      <c r="D78" s="2" t="s">
        <v>1088</v>
      </c>
      <c r="E78" s="18" t="s">
        <v>70</v>
      </c>
      <c r="F78" s="7" t="n">
        <v>7</v>
      </c>
      <c r="G78" s="7" t="n">
        <v>8</v>
      </c>
    </row>
    <row r="79" customFormat="false" ht="15" hidden="false" customHeight="false" outlineLevel="0" collapsed="false">
      <c r="A79" s="5" t="s">
        <v>151</v>
      </c>
      <c r="B79" s="18" t="s">
        <v>100</v>
      </c>
      <c r="C79" s="18" t="s">
        <v>7</v>
      </c>
      <c r="D79" s="2" t="s">
        <v>1089</v>
      </c>
      <c r="E79" s="18" t="s">
        <v>70</v>
      </c>
      <c r="F79" s="7" t="n">
        <v>7</v>
      </c>
      <c r="G79" s="7" t="n">
        <v>8</v>
      </c>
    </row>
    <row r="80" customFormat="false" ht="15" hidden="false" customHeight="false" outlineLevel="0" collapsed="false">
      <c r="A80" s="5" t="s">
        <v>151</v>
      </c>
      <c r="B80" s="18" t="s">
        <v>100</v>
      </c>
      <c r="C80" s="18" t="s">
        <v>7</v>
      </c>
      <c r="D80" s="2" t="s">
        <v>1090</v>
      </c>
      <c r="E80" s="18" t="s">
        <v>1018</v>
      </c>
      <c r="F80" s="7" t="n">
        <v>0</v>
      </c>
      <c r="G80" s="7" t="n">
        <v>20</v>
      </c>
    </row>
    <row r="81" customFormat="false" ht="15" hidden="false" customHeight="false" outlineLevel="0" collapsed="false">
      <c r="A81" s="5" t="s">
        <v>155</v>
      </c>
      <c r="B81" s="18" t="s">
        <v>100</v>
      </c>
      <c r="C81" s="18" t="s">
        <v>7</v>
      </c>
      <c r="D81" s="2" t="s">
        <v>1091</v>
      </c>
      <c r="E81" s="18" t="s">
        <v>1018</v>
      </c>
      <c r="F81" s="7" t="n">
        <v>6</v>
      </c>
      <c r="G81" s="7" t="n">
        <v>6</v>
      </c>
    </row>
    <row r="82" customFormat="false" ht="15" hidden="false" customHeight="false" outlineLevel="0" collapsed="false">
      <c r="A82" s="5" t="s">
        <v>155</v>
      </c>
      <c r="B82" s="18" t="s">
        <v>100</v>
      </c>
      <c r="C82" s="18" t="s">
        <v>7</v>
      </c>
      <c r="D82" s="2" t="s">
        <v>1092</v>
      </c>
      <c r="E82" s="18" t="s">
        <v>1018</v>
      </c>
      <c r="F82" s="7" t="n">
        <v>6</v>
      </c>
      <c r="G82" s="7" t="n">
        <v>5</v>
      </c>
    </row>
    <row r="83" customFormat="false" ht="15" hidden="false" customHeight="false" outlineLevel="0" collapsed="false">
      <c r="A83" s="5" t="s">
        <v>155</v>
      </c>
      <c r="B83" s="18" t="s">
        <v>100</v>
      </c>
      <c r="C83" s="18" t="s">
        <v>7</v>
      </c>
      <c r="D83" s="2" t="s">
        <v>1047</v>
      </c>
      <c r="E83" s="18" t="s">
        <v>70</v>
      </c>
      <c r="F83" s="7" t="n">
        <v>0</v>
      </c>
      <c r="G83" s="7" t="n">
        <v>2</v>
      </c>
    </row>
    <row r="84" customFormat="false" ht="15" hidden="false" customHeight="false" outlineLevel="0" collapsed="false">
      <c r="A84" s="5" t="s">
        <v>160</v>
      </c>
      <c r="B84" s="18" t="s">
        <v>100</v>
      </c>
      <c r="C84" s="18" t="s">
        <v>9</v>
      </c>
      <c r="D84" s="2" t="s">
        <v>159</v>
      </c>
      <c r="E84" s="18" t="s">
        <v>70</v>
      </c>
      <c r="F84" s="7" t="n">
        <v>10</v>
      </c>
      <c r="G84" s="7" t="n">
        <v>10</v>
      </c>
    </row>
    <row r="85" customFormat="false" ht="15" hidden="false" customHeight="false" outlineLevel="0" collapsed="false">
      <c r="A85" s="5" t="s">
        <v>165</v>
      </c>
      <c r="B85" s="18" t="s">
        <v>100</v>
      </c>
      <c r="C85" s="18" t="s">
        <v>9</v>
      </c>
      <c r="D85" s="2" t="s">
        <v>1093</v>
      </c>
      <c r="E85" s="18" t="s">
        <v>1018</v>
      </c>
      <c r="F85" s="7" t="n">
        <v>3</v>
      </c>
      <c r="G85" s="7" t="n">
        <v>3</v>
      </c>
    </row>
    <row r="86" customFormat="false" ht="15" hidden="false" customHeight="false" outlineLevel="0" collapsed="false">
      <c r="A86" s="5" t="s">
        <v>165</v>
      </c>
      <c r="B86" s="18" t="s">
        <v>100</v>
      </c>
      <c r="C86" s="18" t="s">
        <v>9</v>
      </c>
      <c r="D86" s="2" t="s">
        <v>1094</v>
      </c>
      <c r="E86" s="18" t="s">
        <v>1018</v>
      </c>
      <c r="F86" s="7" t="n">
        <v>4</v>
      </c>
      <c r="G86" s="7" t="n">
        <v>5</v>
      </c>
    </row>
    <row r="87" customFormat="false" ht="15" hidden="false" customHeight="false" outlineLevel="0" collapsed="false">
      <c r="A87" s="5" t="s">
        <v>165</v>
      </c>
      <c r="B87" s="18" t="s">
        <v>100</v>
      </c>
      <c r="C87" s="18" t="s">
        <v>9</v>
      </c>
      <c r="D87" s="2" t="s">
        <v>1095</v>
      </c>
      <c r="E87" s="18" t="s">
        <v>70</v>
      </c>
      <c r="F87" s="7" t="n">
        <v>3</v>
      </c>
      <c r="G87" s="7" t="n">
        <v>3</v>
      </c>
    </row>
    <row r="88" customFormat="false" ht="15" hidden="false" customHeight="false" outlineLevel="0" collapsed="false">
      <c r="A88" s="5" t="s">
        <v>165</v>
      </c>
      <c r="B88" s="18" t="s">
        <v>100</v>
      </c>
      <c r="C88" s="18" t="s">
        <v>9</v>
      </c>
      <c r="D88" s="3" t="s">
        <v>1096</v>
      </c>
      <c r="E88" s="18" t="s">
        <v>1018</v>
      </c>
      <c r="F88" s="7" t="n">
        <v>3</v>
      </c>
      <c r="G88" s="7" t="n">
        <v>4</v>
      </c>
    </row>
    <row r="89" customFormat="false" ht="15" hidden="false" customHeight="false" outlineLevel="0" collapsed="false">
      <c r="A89" s="5" t="s">
        <v>165</v>
      </c>
      <c r="B89" s="18" t="s">
        <v>100</v>
      </c>
      <c r="C89" s="18" t="s">
        <v>9</v>
      </c>
      <c r="D89" s="2" t="s">
        <v>1097</v>
      </c>
      <c r="E89" s="18" t="s">
        <v>70</v>
      </c>
      <c r="F89" s="7" t="n">
        <v>3</v>
      </c>
      <c r="G89" s="7" t="n">
        <v>3</v>
      </c>
    </row>
    <row r="90" customFormat="false" ht="15" hidden="false" customHeight="false" outlineLevel="0" collapsed="false">
      <c r="A90" s="5" t="s">
        <v>165</v>
      </c>
      <c r="B90" s="18" t="s">
        <v>100</v>
      </c>
      <c r="C90" s="18" t="s">
        <v>9</v>
      </c>
      <c r="D90" s="2" t="s">
        <v>1098</v>
      </c>
      <c r="E90" s="18" t="s">
        <v>1018</v>
      </c>
      <c r="F90" s="7" t="n">
        <v>0</v>
      </c>
      <c r="G90" s="7" t="n">
        <v>3</v>
      </c>
    </row>
    <row r="91" customFormat="false" ht="15" hidden="false" customHeight="false" outlineLevel="0" collapsed="false">
      <c r="A91" s="5" t="s">
        <v>170</v>
      </c>
      <c r="B91" s="18" t="s">
        <v>100</v>
      </c>
      <c r="C91" s="18" t="s">
        <v>9</v>
      </c>
      <c r="D91" s="2" t="s">
        <v>1099</v>
      </c>
      <c r="E91" s="18" t="s">
        <v>1018</v>
      </c>
      <c r="F91" s="7" t="n">
        <v>3</v>
      </c>
      <c r="G91" s="7" t="n">
        <v>4</v>
      </c>
    </row>
    <row r="92" customFormat="false" ht="15" hidden="false" customHeight="false" outlineLevel="0" collapsed="false">
      <c r="A92" s="5" t="s">
        <v>170</v>
      </c>
      <c r="B92" s="18" t="s">
        <v>100</v>
      </c>
      <c r="C92" s="18" t="s">
        <v>9</v>
      </c>
      <c r="D92" s="2" t="s">
        <v>1100</v>
      </c>
      <c r="E92" s="18" t="s">
        <v>1018</v>
      </c>
      <c r="F92" s="7" t="n">
        <v>1</v>
      </c>
      <c r="G92" s="7" t="n">
        <v>1</v>
      </c>
    </row>
    <row r="93" customFormat="false" ht="15" hidden="false" customHeight="false" outlineLevel="0" collapsed="false">
      <c r="A93" s="5" t="s">
        <v>170</v>
      </c>
      <c r="B93" s="18" t="s">
        <v>100</v>
      </c>
      <c r="C93" s="18" t="s">
        <v>9</v>
      </c>
      <c r="D93" s="2" t="s">
        <v>1101</v>
      </c>
      <c r="E93" s="18" t="s">
        <v>70</v>
      </c>
      <c r="F93" s="7" t="n">
        <v>2</v>
      </c>
      <c r="G93" s="7" t="n">
        <v>2</v>
      </c>
    </row>
    <row r="94" customFormat="false" ht="15" hidden="false" customHeight="false" outlineLevel="0" collapsed="false">
      <c r="A94" s="5" t="s">
        <v>170</v>
      </c>
      <c r="B94" s="18" t="s">
        <v>100</v>
      </c>
      <c r="C94" s="18" t="s">
        <v>9</v>
      </c>
      <c r="D94" s="3" t="s">
        <v>1102</v>
      </c>
      <c r="E94" s="18" t="s">
        <v>1018</v>
      </c>
      <c r="F94" s="7" t="n">
        <v>4</v>
      </c>
      <c r="G94" s="7" t="n">
        <v>4</v>
      </c>
    </row>
    <row r="95" customFormat="false" ht="15" hidden="false" customHeight="false" outlineLevel="0" collapsed="false">
      <c r="A95" s="5" t="s">
        <v>170</v>
      </c>
      <c r="B95" s="18" t="s">
        <v>100</v>
      </c>
      <c r="C95" s="18" t="s">
        <v>9</v>
      </c>
      <c r="D95" s="2" t="s">
        <v>1103</v>
      </c>
      <c r="E95" s="18" t="s">
        <v>70</v>
      </c>
      <c r="F95" s="7" t="n">
        <v>3</v>
      </c>
      <c r="G95" s="7" t="n">
        <v>3</v>
      </c>
    </row>
    <row r="96" customFormat="false" ht="15" hidden="false" customHeight="false" outlineLevel="0" collapsed="false">
      <c r="A96" s="5" t="s">
        <v>170</v>
      </c>
      <c r="B96" s="18" t="s">
        <v>100</v>
      </c>
      <c r="C96" s="18" t="s">
        <v>9</v>
      </c>
      <c r="D96" s="2" t="s">
        <v>1104</v>
      </c>
      <c r="E96" s="18" t="s">
        <v>1018</v>
      </c>
      <c r="F96" s="7" t="n">
        <v>1</v>
      </c>
      <c r="G96" s="7" t="n">
        <v>2</v>
      </c>
    </row>
    <row r="97" customFormat="false" ht="15" hidden="false" customHeight="false" outlineLevel="0" collapsed="false">
      <c r="A97" s="5" t="s">
        <v>170</v>
      </c>
      <c r="B97" s="18" t="s">
        <v>100</v>
      </c>
      <c r="C97" s="18" t="s">
        <v>9</v>
      </c>
      <c r="D97" s="2" t="s">
        <v>1105</v>
      </c>
      <c r="E97" s="18" t="s">
        <v>1018</v>
      </c>
      <c r="F97" s="7" t="n">
        <v>2</v>
      </c>
      <c r="G97" s="7" t="n">
        <v>2</v>
      </c>
    </row>
    <row r="98" customFormat="false" ht="15" hidden="false" customHeight="false" outlineLevel="0" collapsed="false">
      <c r="A98" s="5" t="s">
        <v>170</v>
      </c>
      <c r="B98" s="18" t="s">
        <v>100</v>
      </c>
      <c r="C98" s="18" t="s">
        <v>9</v>
      </c>
      <c r="D98" s="2" t="s">
        <v>1106</v>
      </c>
      <c r="E98" s="18" t="s">
        <v>1018</v>
      </c>
      <c r="F98" s="7" t="n">
        <v>3</v>
      </c>
      <c r="G98" s="7" t="n">
        <v>3</v>
      </c>
    </row>
    <row r="99" customFormat="false" ht="15" hidden="false" customHeight="false" outlineLevel="0" collapsed="false">
      <c r="A99" s="5" t="s">
        <v>170</v>
      </c>
      <c r="B99" s="18" t="s">
        <v>100</v>
      </c>
      <c r="C99" s="18" t="s">
        <v>9</v>
      </c>
      <c r="D99" s="2" t="s">
        <v>1107</v>
      </c>
      <c r="E99" s="18" t="s">
        <v>1018</v>
      </c>
      <c r="F99" s="7" t="n">
        <v>6</v>
      </c>
      <c r="G99" s="7" t="n">
        <v>8</v>
      </c>
    </row>
    <row r="100" customFormat="false" ht="15" hidden="false" customHeight="false" outlineLevel="0" collapsed="false">
      <c r="A100" s="5" t="s">
        <v>170</v>
      </c>
      <c r="B100" s="18" t="s">
        <v>100</v>
      </c>
      <c r="C100" s="18" t="s">
        <v>9</v>
      </c>
      <c r="D100" s="2" t="s">
        <v>1108</v>
      </c>
      <c r="E100" s="18" t="s">
        <v>70</v>
      </c>
      <c r="F100" s="7" t="n">
        <v>2</v>
      </c>
      <c r="G100" s="7" t="n">
        <v>2</v>
      </c>
    </row>
    <row r="101" customFormat="false" ht="15" hidden="false" customHeight="false" outlineLevel="0" collapsed="false">
      <c r="A101" s="5" t="s">
        <v>170</v>
      </c>
      <c r="B101" s="18" t="s">
        <v>100</v>
      </c>
      <c r="C101" s="18" t="s">
        <v>9</v>
      </c>
      <c r="D101" s="2" t="s">
        <v>1109</v>
      </c>
      <c r="E101" s="18" t="s">
        <v>1018</v>
      </c>
      <c r="F101" s="7" t="n">
        <v>3</v>
      </c>
      <c r="G101" s="7" t="n">
        <v>4</v>
      </c>
    </row>
    <row r="102" customFormat="false" ht="15" hidden="false" customHeight="false" outlineLevel="0" collapsed="false">
      <c r="A102" s="5" t="s">
        <v>170</v>
      </c>
      <c r="B102" s="18" t="s">
        <v>100</v>
      </c>
      <c r="C102" s="18" t="s">
        <v>9</v>
      </c>
      <c r="D102" s="2" t="s">
        <v>1110</v>
      </c>
      <c r="E102" s="18" t="s">
        <v>1018</v>
      </c>
      <c r="F102" s="7" t="n">
        <v>0</v>
      </c>
      <c r="G102" s="7" t="n">
        <v>5</v>
      </c>
    </row>
    <row r="103" customFormat="false" ht="15" hidden="false" customHeight="false" outlineLevel="0" collapsed="false">
      <c r="A103" s="5" t="s">
        <v>175</v>
      </c>
      <c r="B103" s="18" t="s">
        <v>100</v>
      </c>
      <c r="C103" s="18" t="s">
        <v>9</v>
      </c>
      <c r="D103" s="2" t="s">
        <v>1111</v>
      </c>
      <c r="E103" s="18" t="s">
        <v>70</v>
      </c>
      <c r="F103" s="7" t="n">
        <v>2</v>
      </c>
      <c r="G103" s="7" t="n">
        <v>2</v>
      </c>
    </row>
    <row r="104" customFormat="false" ht="15" hidden="false" customHeight="false" outlineLevel="0" collapsed="false">
      <c r="A104" s="5" t="s">
        <v>175</v>
      </c>
      <c r="B104" s="18" t="s">
        <v>100</v>
      </c>
      <c r="C104" s="18" t="s">
        <v>9</v>
      </c>
      <c r="D104" s="2" t="s">
        <v>1112</v>
      </c>
      <c r="E104" s="18" t="s">
        <v>1018</v>
      </c>
      <c r="F104" s="7" t="n">
        <v>5</v>
      </c>
      <c r="G104" s="7" t="n">
        <v>5</v>
      </c>
    </row>
    <row r="105" customFormat="false" ht="15" hidden="false" customHeight="false" outlineLevel="0" collapsed="false">
      <c r="A105" s="5" t="s">
        <v>175</v>
      </c>
      <c r="B105" s="18" t="s">
        <v>100</v>
      </c>
      <c r="C105" s="18" t="s">
        <v>9</v>
      </c>
      <c r="D105" s="2" t="s">
        <v>1113</v>
      </c>
      <c r="E105" s="18" t="s">
        <v>70</v>
      </c>
      <c r="F105" s="7" t="n">
        <v>2</v>
      </c>
      <c r="G105" s="7" t="n">
        <v>2</v>
      </c>
    </row>
    <row r="106" customFormat="false" ht="15" hidden="false" customHeight="false" outlineLevel="0" collapsed="false">
      <c r="A106" s="5" t="s">
        <v>175</v>
      </c>
      <c r="B106" s="18" t="s">
        <v>100</v>
      </c>
      <c r="C106" s="18" t="s">
        <v>9</v>
      </c>
      <c r="D106" s="2" t="s">
        <v>1114</v>
      </c>
      <c r="E106" s="18" t="s">
        <v>1018</v>
      </c>
      <c r="F106" s="7" t="n">
        <v>4</v>
      </c>
      <c r="G106" s="7" t="n">
        <v>4</v>
      </c>
    </row>
    <row r="107" customFormat="false" ht="15" hidden="false" customHeight="false" outlineLevel="0" collapsed="false">
      <c r="A107" s="5" t="s">
        <v>175</v>
      </c>
      <c r="B107" s="18" t="s">
        <v>100</v>
      </c>
      <c r="C107" s="18" t="s">
        <v>9</v>
      </c>
      <c r="D107" s="2" t="s">
        <v>1115</v>
      </c>
      <c r="E107" s="18" t="s">
        <v>1018</v>
      </c>
      <c r="F107" s="7" t="n">
        <v>5</v>
      </c>
      <c r="G107" s="7" t="n">
        <v>5</v>
      </c>
    </row>
    <row r="108" customFormat="false" ht="15" hidden="false" customHeight="false" outlineLevel="0" collapsed="false">
      <c r="A108" s="5" t="s">
        <v>175</v>
      </c>
      <c r="B108" s="18" t="s">
        <v>100</v>
      </c>
      <c r="C108" s="18" t="s">
        <v>9</v>
      </c>
      <c r="D108" s="2" t="s">
        <v>1116</v>
      </c>
      <c r="E108" s="18" t="s">
        <v>70</v>
      </c>
      <c r="F108" s="7" t="n">
        <v>2</v>
      </c>
      <c r="G108" s="7" t="n">
        <v>2</v>
      </c>
    </row>
    <row r="109" customFormat="false" ht="15" hidden="false" customHeight="false" outlineLevel="0" collapsed="false">
      <c r="A109" s="5" t="s">
        <v>175</v>
      </c>
      <c r="B109" s="18" t="s">
        <v>100</v>
      </c>
      <c r="C109" s="18" t="s">
        <v>9</v>
      </c>
      <c r="D109" s="2" t="s">
        <v>1098</v>
      </c>
      <c r="E109" s="18" t="s">
        <v>1018</v>
      </c>
      <c r="F109" s="7" t="n">
        <v>0</v>
      </c>
      <c r="G109" s="7" t="n">
        <v>4</v>
      </c>
    </row>
    <row r="110" customFormat="false" ht="15" hidden="false" customHeight="false" outlineLevel="0" collapsed="false">
      <c r="A110" s="5" t="s">
        <v>180</v>
      </c>
      <c r="B110" s="18" t="s">
        <v>100</v>
      </c>
      <c r="C110" s="18" t="s">
        <v>9</v>
      </c>
      <c r="D110" s="2" t="s">
        <v>1117</v>
      </c>
      <c r="E110" s="18" t="s">
        <v>1018</v>
      </c>
      <c r="F110" s="7" t="n">
        <v>3</v>
      </c>
      <c r="G110" s="7" t="n">
        <v>3</v>
      </c>
    </row>
    <row r="111" customFormat="false" ht="15" hidden="false" customHeight="false" outlineLevel="0" collapsed="false">
      <c r="A111" s="5" t="s">
        <v>180</v>
      </c>
      <c r="B111" s="18" t="s">
        <v>100</v>
      </c>
      <c r="C111" s="18" t="s">
        <v>9</v>
      </c>
      <c r="D111" s="2" t="s">
        <v>1118</v>
      </c>
      <c r="E111" s="18" t="s">
        <v>70</v>
      </c>
      <c r="F111" s="7" t="n">
        <v>2</v>
      </c>
      <c r="G111" s="7" t="n">
        <v>2</v>
      </c>
    </row>
    <row r="112" customFormat="false" ht="15" hidden="false" customHeight="false" outlineLevel="0" collapsed="false">
      <c r="A112" s="5" t="s">
        <v>180</v>
      </c>
      <c r="B112" s="18" t="s">
        <v>100</v>
      </c>
      <c r="C112" s="18" t="s">
        <v>9</v>
      </c>
      <c r="D112" s="2" t="s">
        <v>1119</v>
      </c>
      <c r="E112" s="18" t="s">
        <v>1018</v>
      </c>
      <c r="F112" s="7" t="n">
        <v>4</v>
      </c>
      <c r="G112" s="7" t="n">
        <v>5</v>
      </c>
    </row>
    <row r="113" customFormat="false" ht="15" hidden="false" customHeight="false" outlineLevel="0" collapsed="false">
      <c r="A113" s="5" t="s">
        <v>180</v>
      </c>
      <c r="B113" s="18" t="s">
        <v>100</v>
      </c>
      <c r="C113" s="18" t="s">
        <v>9</v>
      </c>
      <c r="D113" s="2" t="s">
        <v>1120</v>
      </c>
      <c r="E113" s="18" t="s">
        <v>70</v>
      </c>
      <c r="F113" s="7" t="n">
        <v>2</v>
      </c>
      <c r="G113" s="7" t="n">
        <v>2</v>
      </c>
    </row>
    <row r="114" customFormat="false" ht="15" hidden="false" customHeight="false" outlineLevel="0" collapsed="false">
      <c r="A114" s="5" t="s">
        <v>180</v>
      </c>
      <c r="B114" s="18" t="s">
        <v>100</v>
      </c>
      <c r="C114" s="18" t="s">
        <v>9</v>
      </c>
      <c r="D114" s="2" t="s">
        <v>1121</v>
      </c>
      <c r="E114" s="18" t="s">
        <v>1018</v>
      </c>
      <c r="F114" s="7" t="n">
        <v>5</v>
      </c>
      <c r="G114" s="7" t="n">
        <v>5</v>
      </c>
    </row>
    <row r="115" customFormat="false" ht="15" hidden="false" customHeight="false" outlineLevel="0" collapsed="false">
      <c r="A115" s="5" t="s">
        <v>180</v>
      </c>
      <c r="B115" s="18" t="s">
        <v>100</v>
      </c>
      <c r="C115" s="18" t="s">
        <v>9</v>
      </c>
      <c r="D115" s="2" t="s">
        <v>1122</v>
      </c>
      <c r="E115" s="18" t="s">
        <v>70</v>
      </c>
      <c r="F115" s="7" t="n">
        <v>2</v>
      </c>
      <c r="G115" s="7" t="n">
        <v>2</v>
      </c>
    </row>
    <row r="116" customFormat="false" ht="15" hidden="false" customHeight="false" outlineLevel="0" collapsed="false">
      <c r="A116" s="5" t="s">
        <v>180</v>
      </c>
      <c r="B116" s="18" t="s">
        <v>100</v>
      </c>
      <c r="C116" s="18" t="s">
        <v>9</v>
      </c>
      <c r="D116" s="2" t="s">
        <v>1123</v>
      </c>
      <c r="E116" s="18" t="s">
        <v>1018</v>
      </c>
      <c r="F116" s="7" t="n">
        <v>1</v>
      </c>
      <c r="G116" s="7" t="n">
        <v>1</v>
      </c>
    </row>
    <row r="117" customFormat="false" ht="15" hidden="false" customHeight="false" outlineLevel="0" collapsed="false">
      <c r="A117" s="5" t="s">
        <v>180</v>
      </c>
      <c r="B117" s="18" t="s">
        <v>100</v>
      </c>
      <c r="C117" s="18" t="s">
        <v>9</v>
      </c>
      <c r="D117" s="2" t="s">
        <v>1124</v>
      </c>
      <c r="E117" s="18" t="s">
        <v>1018</v>
      </c>
      <c r="F117" s="7" t="n">
        <v>0</v>
      </c>
      <c r="G117" s="7" t="n">
        <v>4</v>
      </c>
    </row>
    <row r="118" customFormat="false" ht="15" hidden="false" customHeight="false" outlineLevel="0" collapsed="false">
      <c r="A118" s="5" t="s">
        <v>185</v>
      </c>
      <c r="B118" s="18" t="s">
        <v>100</v>
      </c>
      <c r="C118" s="18" t="s">
        <v>9</v>
      </c>
      <c r="D118" s="2" t="s">
        <v>1125</v>
      </c>
      <c r="E118" s="18" t="s">
        <v>1018</v>
      </c>
      <c r="F118" s="7" t="n">
        <v>1</v>
      </c>
      <c r="G118" s="7" t="n">
        <v>1</v>
      </c>
    </row>
    <row r="119" customFormat="false" ht="15" hidden="false" customHeight="false" outlineLevel="0" collapsed="false">
      <c r="A119" s="5" t="s">
        <v>185</v>
      </c>
      <c r="B119" s="18" t="s">
        <v>100</v>
      </c>
      <c r="C119" s="18" t="s">
        <v>9</v>
      </c>
      <c r="D119" s="2" t="s">
        <v>1126</v>
      </c>
      <c r="E119" s="18" t="s">
        <v>1018</v>
      </c>
      <c r="F119" s="7" t="n">
        <v>2</v>
      </c>
      <c r="G119" s="7" t="n">
        <v>3</v>
      </c>
    </row>
    <row r="120" customFormat="false" ht="15" hidden="false" customHeight="false" outlineLevel="0" collapsed="false">
      <c r="A120" s="5" t="s">
        <v>185</v>
      </c>
      <c r="B120" s="18" t="s">
        <v>100</v>
      </c>
      <c r="C120" s="18" t="s">
        <v>9</v>
      </c>
      <c r="D120" s="3" t="s">
        <v>1127</v>
      </c>
      <c r="E120" s="18" t="s">
        <v>1018</v>
      </c>
      <c r="F120" s="7" t="n">
        <v>4</v>
      </c>
      <c r="G120" s="7" t="n">
        <v>4</v>
      </c>
    </row>
    <row r="121" customFormat="false" ht="15" hidden="false" customHeight="false" outlineLevel="0" collapsed="false">
      <c r="A121" s="5" t="s">
        <v>185</v>
      </c>
      <c r="B121" s="18" t="s">
        <v>100</v>
      </c>
      <c r="C121" s="18" t="s">
        <v>9</v>
      </c>
      <c r="D121" s="2" t="s">
        <v>1128</v>
      </c>
      <c r="E121" s="18" t="s">
        <v>70</v>
      </c>
      <c r="F121" s="7" t="n">
        <v>3</v>
      </c>
      <c r="G121" s="7" t="n">
        <v>3</v>
      </c>
    </row>
    <row r="122" customFormat="false" ht="15" hidden="false" customHeight="false" outlineLevel="0" collapsed="false">
      <c r="A122" s="5" t="s">
        <v>185</v>
      </c>
      <c r="B122" s="18" t="s">
        <v>100</v>
      </c>
      <c r="C122" s="18" t="s">
        <v>9</v>
      </c>
      <c r="D122" s="2" t="s">
        <v>1129</v>
      </c>
      <c r="E122" s="18" t="s">
        <v>1018</v>
      </c>
      <c r="F122" s="7" t="n">
        <v>3</v>
      </c>
      <c r="G122" s="7" t="n">
        <v>3</v>
      </c>
    </row>
    <row r="123" customFormat="false" ht="15" hidden="false" customHeight="false" outlineLevel="0" collapsed="false">
      <c r="A123" s="5" t="s">
        <v>185</v>
      </c>
      <c r="B123" s="18" t="s">
        <v>100</v>
      </c>
      <c r="C123" s="18" t="s">
        <v>9</v>
      </c>
      <c r="D123" s="2" t="s">
        <v>1130</v>
      </c>
      <c r="E123" s="18" t="s">
        <v>1018</v>
      </c>
      <c r="F123" s="7" t="n">
        <v>5</v>
      </c>
      <c r="G123" s="7" t="n">
        <v>6</v>
      </c>
    </row>
    <row r="124" customFormat="false" ht="15" hidden="false" customHeight="false" outlineLevel="0" collapsed="false">
      <c r="A124" s="5" t="s">
        <v>185</v>
      </c>
      <c r="B124" s="18" t="s">
        <v>100</v>
      </c>
      <c r="C124" s="18" t="s">
        <v>9</v>
      </c>
      <c r="D124" s="2" t="s">
        <v>1131</v>
      </c>
      <c r="E124" s="18" t="s">
        <v>1018</v>
      </c>
      <c r="F124" s="7" t="n">
        <v>1</v>
      </c>
      <c r="G124" s="7" t="n">
        <v>1</v>
      </c>
    </row>
    <row r="125" customFormat="false" ht="15" hidden="false" customHeight="false" outlineLevel="0" collapsed="false">
      <c r="A125" s="5" t="s">
        <v>185</v>
      </c>
      <c r="B125" s="18" t="s">
        <v>100</v>
      </c>
      <c r="C125" s="18" t="s">
        <v>9</v>
      </c>
      <c r="D125" s="2" t="s">
        <v>1132</v>
      </c>
      <c r="E125" s="18" t="s">
        <v>70</v>
      </c>
      <c r="F125" s="7" t="n">
        <v>4</v>
      </c>
      <c r="G125" s="7" t="n">
        <v>4</v>
      </c>
    </row>
    <row r="126" customFormat="false" ht="15" hidden="false" customHeight="false" outlineLevel="0" collapsed="false">
      <c r="A126" s="5" t="s">
        <v>185</v>
      </c>
      <c r="B126" s="18" t="s">
        <v>100</v>
      </c>
      <c r="C126" s="18" t="s">
        <v>9</v>
      </c>
      <c r="D126" s="2" t="s">
        <v>1124</v>
      </c>
      <c r="E126" s="18" t="s">
        <v>1018</v>
      </c>
      <c r="F126" s="7" t="n">
        <v>0</v>
      </c>
      <c r="G126" s="7" t="n">
        <v>4</v>
      </c>
    </row>
    <row r="127" customFormat="false" ht="15" hidden="false" customHeight="false" outlineLevel="0" collapsed="false">
      <c r="A127" s="5" t="s">
        <v>190</v>
      </c>
      <c r="B127" s="18" t="s">
        <v>100</v>
      </c>
      <c r="C127" s="18" t="s">
        <v>9</v>
      </c>
      <c r="D127" s="2" t="s">
        <v>1133</v>
      </c>
      <c r="E127" s="18" t="s">
        <v>1018</v>
      </c>
      <c r="F127" s="7" t="n">
        <v>5</v>
      </c>
      <c r="G127" s="7" t="n">
        <v>5</v>
      </c>
    </row>
    <row r="128" customFormat="false" ht="15" hidden="false" customHeight="false" outlineLevel="0" collapsed="false">
      <c r="A128" s="5" t="s">
        <v>190</v>
      </c>
      <c r="B128" s="18" t="s">
        <v>100</v>
      </c>
      <c r="C128" s="18" t="s">
        <v>9</v>
      </c>
      <c r="D128" s="2" t="s">
        <v>1134</v>
      </c>
      <c r="E128" s="18" t="s">
        <v>1018</v>
      </c>
      <c r="F128" s="7" t="n">
        <v>4</v>
      </c>
      <c r="G128" s="7" t="n">
        <v>4</v>
      </c>
    </row>
    <row r="129" customFormat="false" ht="15" hidden="false" customHeight="false" outlineLevel="0" collapsed="false">
      <c r="A129" s="5" t="s">
        <v>190</v>
      </c>
      <c r="B129" s="18" t="s">
        <v>100</v>
      </c>
      <c r="C129" s="18" t="s">
        <v>9</v>
      </c>
      <c r="D129" s="2" t="s">
        <v>1135</v>
      </c>
      <c r="E129" s="18" t="s">
        <v>70</v>
      </c>
      <c r="F129" s="7" t="n">
        <v>2</v>
      </c>
      <c r="G129" s="7" t="n">
        <v>2</v>
      </c>
    </row>
    <row r="130" customFormat="false" ht="15" hidden="false" customHeight="false" outlineLevel="0" collapsed="false">
      <c r="A130" s="5" t="s">
        <v>190</v>
      </c>
      <c r="B130" s="18" t="s">
        <v>100</v>
      </c>
      <c r="C130" s="18" t="s">
        <v>9</v>
      </c>
      <c r="D130" s="2" t="s">
        <v>1124</v>
      </c>
      <c r="E130" s="18" t="s">
        <v>1018</v>
      </c>
      <c r="F130" s="7" t="n">
        <v>0</v>
      </c>
      <c r="G130" s="7" t="n">
        <v>3</v>
      </c>
    </row>
    <row r="131" customFormat="false" ht="15" hidden="false" customHeight="false" outlineLevel="0" collapsed="false">
      <c r="A131" s="5" t="s">
        <v>195</v>
      </c>
      <c r="B131" s="18" t="s">
        <v>100</v>
      </c>
      <c r="C131" s="18" t="s">
        <v>9</v>
      </c>
      <c r="D131" s="2" t="s">
        <v>1136</v>
      </c>
      <c r="E131" s="18" t="s">
        <v>1018</v>
      </c>
      <c r="F131" s="7" t="n">
        <v>4</v>
      </c>
      <c r="G131" s="7" t="n">
        <v>5</v>
      </c>
    </row>
    <row r="132" customFormat="false" ht="15" hidden="false" customHeight="false" outlineLevel="0" collapsed="false">
      <c r="A132" s="5" t="s">
        <v>195</v>
      </c>
      <c r="B132" s="18" t="s">
        <v>100</v>
      </c>
      <c r="C132" s="18" t="s">
        <v>9</v>
      </c>
      <c r="D132" s="2" t="s">
        <v>1137</v>
      </c>
      <c r="E132" s="18" t="s">
        <v>1018</v>
      </c>
      <c r="F132" s="7" t="n">
        <v>5</v>
      </c>
      <c r="G132" s="7" t="n">
        <v>5</v>
      </c>
    </row>
    <row r="133" customFormat="false" ht="15" hidden="false" customHeight="false" outlineLevel="0" collapsed="false">
      <c r="A133" s="5" t="s">
        <v>195</v>
      </c>
      <c r="B133" s="18" t="s">
        <v>100</v>
      </c>
      <c r="C133" s="18" t="s">
        <v>9</v>
      </c>
      <c r="D133" s="2" t="s">
        <v>1124</v>
      </c>
      <c r="E133" s="18" t="s">
        <v>1018</v>
      </c>
      <c r="F133" s="7" t="n">
        <v>0</v>
      </c>
      <c r="G133" s="7" t="n">
        <v>3</v>
      </c>
    </row>
    <row r="134" customFormat="false" ht="15" hidden="false" customHeight="false" outlineLevel="0" collapsed="false">
      <c r="A134" s="5" t="s">
        <v>201</v>
      </c>
      <c r="B134" s="18" t="s">
        <v>100</v>
      </c>
      <c r="C134" s="18" t="s">
        <v>9</v>
      </c>
      <c r="D134" s="2" t="s">
        <v>1138</v>
      </c>
      <c r="E134" s="18" t="s">
        <v>1018</v>
      </c>
      <c r="F134" s="7" t="n">
        <v>1</v>
      </c>
      <c r="G134" s="7" t="n">
        <v>1</v>
      </c>
    </row>
    <row r="135" customFormat="false" ht="15" hidden="false" customHeight="false" outlineLevel="0" collapsed="false">
      <c r="A135" s="5" t="s">
        <v>201</v>
      </c>
      <c r="B135" s="18" t="s">
        <v>100</v>
      </c>
      <c r="C135" s="18" t="s">
        <v>9</v>
      </c>
      <c r="D135" s="2" t="s">
        <v>1139</v>
      </c>
      <c r="E135" s="18" t="s">
        <v>1018</v>
      </c>
      <c r="F135" s="7" t="n">
        <v>2</v>
      </c>
      <c r="G135" s="7" t="n">
        <v>3</v>
      </c>
    </row>
    <row r="136" customFormat="false" ht="15" hidden="false" customHeight="false" outlineLevel="0" collapsed="false">
      <c r="A136" s="5" t="s">
        <v>201</v>
      </c>
      <c r="B136" s="18" t="s">
        <v>100</v>
      </c>
      <c r="C136" s="18" t="s">
        <v>9</v>
      </c>
      <c r="D136" s="3" t="s">
        <v>1140</v>
      </c>
      <c r="E136" s="18" t="s">
        <v>1018</v>
      </c>
      <c r="F136" s="7" t="n">
        <v>4</v>
      </c>
      <c r="G136" s="7" t="n">
        <v>4</v>
      </c>
    </row>
    <row r="137" customFormat="false" ht="15" hidden="false" customHeight="false" outlineLevel="0" collapsed="false">
      <c r="A137" s="5" t="s">
        <v>201</v>
      </c>
      <c r="B137" s="18" t="s">
        <v>100</v>
      </c>
      <c r="C137" s="18" t="s">
        <v>9</v>
      </c>
      <c r="D137" s="2" t="s">
        <v>1141</v>
      </c>
      <c r="E137" s="18" t="s">
        <v>70</v>
      </c>
      <c r="F137" s="7" t="n">
        <v>3</v>
      </c>
      <c r="G137" s="7" t="n">
        <v>3</v>
      </c>
    </row>
    <row r="138" customFormat="false" ht="15" hidden="false" customHeight="false" outlineLevel="0" collapsed="false">
      <c r="A138" s="5" t="s">
        <v>201</v>
      </c>
      <c r="B138" s="18" t="s">
        <v>100</v>
      </c>
      <c r="C138" s="18" t="s">
        <v>9</v>
      </c>
      <c r="D138" s="2" t="s">
        <v>1129</v>
      </c>
      <c r="E138" s="18" t="s">
        <v>1018</v>
      </c>
      <c r="F138" s="7" t="n">
        <v>3</v>
      </c>
      <c r="G138" s="7" t="n">
        <v>3</v>
      </c>
    </row>
    <row r="139" customFormat="false" ht="15" hidden="false" customHeight="false" outlineLevel="0" collapsed="false">
      <c r="A139" s="5" t="s">
        <v>201</v>
      </c>
      <c r="B139" s="18" t="s">
        <v>100</v>
      </c>
      <c r="C139" s="18" t="s">
        <v>9</v>
      </c>
      <c r="D139" s="2" t="s">
        <v>1142</v>
      </c>
      <c r="E139" s="18" t="s">
        <v>1018</v>
      </c>
      <c r="F139" s="7" t="n">
        <v>4</v>
      </c>
      <c r="G139" s="7" t="n">
        <v>5</v>
      </c>
    </row>
    <row r="140" customFormat="false" ht="15" hidden="false" customHeight="false" outlineLevel="0" collapsed="false">
      <c r="A140" s="5" t="s">
        <v>201</v>
      </c>
      <c r="B140" s="18" t="s">
        <v>100</v>
      </c>
      <c r="C140" s="18" t="s">
        <v>9</v>
      </c>
      <c r="D140" s="2" t="s">
        <v>1131</v>
      </c>
      <c r="E140" s="18" t="s">
        <v>1018</v>
      </c>
      <c r="F140" s="7" t="n">
        <v>1</v>
      </c>
      <c r="G140" s="7" t="n">
        <v>1</v>
      </c>
    </row>
    <row r="141" customFormat="false" ht="15" hidden="false" customHeight="false" outlineLevel="0" collapsed="false">
      <c r="A141" s="5" t="s">
        <v>201</v>
      </c>
      <c r="B141" s="18" t="s">
        <v>100</v>
      </c>
      <c r="C141" s="18" t="s">
        <v>9</v>
      </c>
      <c r="D141" s="2" t="s">
        <v>1143</v>
      </c>
      <c r="E141" s="18" t="s">
        <v>70</v>
      </c>
      <c r="F141" s="7" t="n">
        <v>2</v>
      </c>
      <c r="G141" s="7" t="n">
        <v>2</v>
      </c>
    </row>
    <row r="142" customFormat="false" ht="15" hidden="false" customHeight="false" outlineLevel="0" collapsed="false">
      <c r="A142" s="5" t="s">
        <v>201</v>
      </c>
      <c r="B142" s="18" t="s">
        <v>100</v>
      </c>
      <c r="C142" s="18" t="s">
        <v>9</v>
      </c>
      <c r="D142" s="2" t="s">
        <v>1124</v>
      </c>
      <c r="E142" s="18" t="s">
        <v>1018</v>
      </c>
      <c r="F142" s="7" t="n">
        <v>0</v>
      </c>
      <c r="G142" s="7" t="n">
        <v>4</v>
      </c>
    </row>
    <row r="143" customFormat="false" ht="15" hidden="false" customHeight="false" outlineLevel="0" collapsed="false">
      <c r="A143" s="5" t="s">
        <v>206</v>
      </c>
      <c r="B143" s="18" t="s">
        <v>100</v>
      </c>
      <c r="C143" s="18" t="s">
        <v>9</v>
      </c>
      <c r="D143" s="2" t="s">
        <v>1144</v>
      </c>
      <c r="E143" s="18" t="s">
        <v>1018</v>
      </c>
      <c r="F143" s="7" t="n">
        <v>5</v>
      </c>
      <c r="G143" s="7" t="n">
        <v>5</v>
      </c>
    </row>
    <row r="144" customFormat="false" ht="15" hidden="false" customHeight="false" outlineLevel="0" collapsed="false">
      <c r="A144" s="5" t="s">
        <v>206</v>
      </c>
      <c r="B144" s="18" t="s">
        <v>100</v>
      </c>
      <c r="C144" s="18" t="s">
        <v>9</v>
      </c>
      <c r="D144" s="2" t="s">
        <v>1134</v>
      </c>
      <c r="E144" s="18" t="s">
        <v>1018</v>
      </c>
      <c r="F144" s="7" t="n">
        <v>4</v>
      </c>
      <c r="G144" s="7" t="n">
        <v>4</v>
      </c>
    </row>
    <row r="145" customFormat="false" ht="15" hidden="false" customHeight="false" outlineLevel="0" collapsed="false">
      <c r="A145" s="5" t="s">
        <v>206</v>
      </c>
      <c r="B145" s="18" t="s">
        <v>100</v>
      </c>
      <c r="C145" s="18" t="s">
        <v>9</v>
      </c>
      <c r="D145" s="2" t="s">
        <v>1124</v>
      </c>
      <c r="E145" s="18" t="s">
        <v>1018</v>
      </c>
      <c r="F145" s="7" t="n">
        <v>0</v>
      </c>
      <c r="G145" s="7" t="n">
        <v>3</v>
      </c>
    </row>
    <row r="146" customFormat="false" ht="15" hidden="false" customHeight="false" outlineLevel="0" collapsed="false">
      <c r="A146" s="5" t="s">
        <v>211</v>
      </c>
      <c r="B146" s="18" t="s">
        <v>100</v>
      </c>
      <c r="C146" s="18" t="s">
        <v>9</v>
      </c>
      <c r="D146" s="2" t="s">
        <v>1145</v>
      </c>
      <c r="E146" s="18" t="s">
        <v>1018</v>
      </c>
      <c r="F146" s="7" t="n">
        <v>3</v>
      </c>
      <c r="G146" s="7" t="n">
        <v>4</v>
      </c>
    </row>
    <row r="147" customFormat="false" ht="15" hidden="false" customHeight="false" outlineLevel="0" collapsed="false">
      <c r="A147" s="5" t="s">
        <v>211</v>
      </c>
      <c r="B147" s="18" t="s">
        <v>100</v>
      </c>
      <c r="C147" s="18" t="s">
        <v>9</v>
      </c>
      <c r="D147" s="2" t="s">
        <v>1146</v>
      </c>
      <c r="E147" s="18" t="s">
        <v>1018</v>
      </c>
      <c r="F147" s="7" t="n">
        <v>5</v>
      </c>
      <c r="G147" s="7" t="n">
        <v>5</v>
      </c>
    </row>
    <row r="148" customFormat="false" ht="15" hidden="false" customHeight="false" outlineLevel="0" collapsed="false">
      <c r="A148" s="5" t="s">
        <v>211</v>
      </c>
      <c r="B148" s="18" t="s">
        <v>100</v>
      </c>
      <c r="C148" s="18" t="s">
        <v>9</v>
      </c>
      <c r="D148" s="2" t="s">
        <v>1124</v>
      </c>
      <c r="E148" s="18" t="s">
        <v>1018</v>
      </c>
      <c r="F148" s="7" t="n">
        <v>0</v>
      </c>
      <c r="G148" s="7" t="n">
        <v>3</v>
      </c>
    </row>
    <row r="149" customFormat="false" ht="15" hidden="false" customHeight="false" outlineLevel="0" collapsed="false">
      <c r="A149" s="5" t="s">
        <v>216</v>
      </c>
      <c r="B149" s="18" t="s">
        <v>100</v>
      </c>
      <c r="C149" s="18" t="s">
        <v>9</v>
      </c>
      <c r="D149" s="2" t="s">
        <v>1147</v>
      </c>
      <c r="E149" s="18" t="s">
        <v>1018</v>
      </c>
      <c r="F149" s="7" t="n">
        <v>2</v>
      </c>
      <c r="G149" s="7" t="n">
        <v>2</v>
      </c>
    </row>
    <row r="150" customFormat="false" ht="15" hidden="false" customHeight="false" outlineLevel="0" collapsed="false">
      <c r="A150" s="5" t="s">
        <v>216</v>
      </c>
      <c r="B150" s="18" t="s">
        <v>100</v>
      </c>
      <c r="C150" s="18" t="s">
        <v>9</v>
      </c>
      <c r="D150" s="2" t="s">
        <v>1148</v>
      </c>
      <c r="E150" s="18" t="s">
        <v>70</v>
      </c>
      <c r="F150" s="7" t="n">
        <v>3</v>
      </c>
      <c r="G150" s="7" t="n">
        <v>3</v>
      </c>
    </row>
    <row r="151" customFormat="false" ht="15" hidden="false" customHeight="false" outlineLevel="0" collapsed="false">
      <c r="A151" s="5" t="s">
        <v>220</v>
      </c>
      <c r="B151" s="18" t="s">
        <v>100</v>
      </c>
      <c r="C151" s="18" t="s">
        <v>11</v>
      </c>
      <c r="D151" s="2" t="s">
        <v>1149</v>
      </c>
      <c r="E151" s="18" t="s">
        <v>70</v>
      </c>
      <c r="F151" s="7" t="n">
        <v>5</v>
      </c>
      <c r="G151" s="7" t="n">
        <v>4</v>
      </c>
    </row>
    <row r="152" customFormat="false" ht="15" hidden="false" customHeight="false" outlineLevel="0" collapsed="false">
      <c r="A152" s="5" t="s">
        <v>220</v>
      </c>
      <c r="B152" s="18" t="s">
        <v>100</v>
      </c>
      <c r="C152" s="18" t="s">
        <v>11</v>
      </c>
      <c r="D152" s="3" t="s">
        <v>1150</v>
      </c>
      <c r="E152" s="18" t="s">
        <v>1018</v>
      </c>
      <c r="F152" s="7" t="n">
        <v>6</v>
      </c>
      <c r="G152" s="7" t="n">
        <v>5</v>
      </c>
    </row>
    <row r="153" customFormat="false" ht="15" hidden="false" customHeight="false" outlineLevel="0" collapsed="false">
      <c r="A153" s="5" t="s">
        <v>220</v>
      </c>
      <c r="B153" s="18" t="s">
        <v>100</v>
      </c>
      <c r="C153" s="18" t="s">
        <v>11</v>
      </c>
      <c r="D153" s="2" t="s">
        <v>1151</v>
      </c>
      <c r="E153" s="18" t="s">
        <v>1018</v>
      </c>
      <c r="F153" s="7" t="n">
        <v>5</v>
      </c>
      <c r="G153" s="7" t="n">
        <v>8</v>
      </c>
    </row>
    <row r="154" customFormat="false" ht="15" hidden="false" customHeight="false" outlineLevel="0" collapsed="false">
      <c r="A154" s="5" t="s">
        <v>220</v>
      </c>
      <c r="B154" s="18" t="s">
        <v>100</v>
      </c>
      <c r="C154" s="18" t="s">
        <v>11</v>
      </c>
      <c r="D154" s="2" t="s">
        <v>1152</v>
      </c>
      <c r="E154" s="18" t="s">
        <v>1018</v>
      </c>
      <c r="F154" s="7" t="n">
        <v>8</v>
      </c>
      <c r="G154" s="7" t="n">
        <v>8</v>
      </c>
    </row>
    <row r="155" customFormat="false" ht="15" hidden="false" customHeight="false" outlineLevel="0" collapsed="false">
      <c r="A155" s="5" t="s">
        <v>220</v>
      </c>
      <c r="B155" s="18" t="s">
        <v>100</v>
      </c>
      <c r="C155" s="18" t="s">
        <v>11</v>
      </c>
      <c r="D155" s="2" t="s">
        <v>1153</v>
      </c>
      <c r="E155" s="18" t="s">
        <v>1018</v>
      </c>
      <c r="F155" s="7" t="n">
        <v>3</v>
      </c>
      <c r="G155" s="7" t="n">
        <v>3</v>
      </c>
    </row>
    <row r="156" customFormat="false" ht="15" hidden="false" customHeight="false" outlineLevel="0" collapsed="false">
      <c r="A156" s="5" t="s">
        <v>220</v>
      </c>
      <c r="B156" s="18" t="s">
        <v>100</v>
      </c>
      <c r="C156" s="18" t="s">
        <v>11</v>
      </c>
      <c r="D156" s="3" t="s">
        <v>1154</v>
      </c>
      <c r="E156" s="18" t="s">
        <v>1018</v>
      </c>
      <c r="F156" s="7" t="n">
        <v>6</v>
      </c>
      <c r="G156" s="7" t="n">
        <v>5</v>
      </c>
    </row>
    <row r="157" customFormat="false" ht="15" hidden="false" customHeight="false" outlineLevel="0" collapsed="false">
      <c r="A157" s="5" t="s">
        <v>220</v>
      </c>
      <c r="B157" s="18" t="s">
        <v>100</v>
      </c>
      <c r="C157" s="18" t="s">
        <v>11</v>
      </c>
      <c r="D157" s="2" t="s">
        <v>1155</v>
      </c>
      <c r="E157" s="18" t="s">
        <v>1018</v>
      </c>
      <c r="F157" s="7" t="n">
        <v>5</v>
      </c>
      <c r="G157" s="7" t="n">
        <v>5</v>
      </c>
    </row>
    <row r="158" customFormat="false" ht="15" hidden="false" customHeight="false" outlineLevel="0" collapsed="false">
      <c r="A158" s="5" t="s">
        <v>220</v>
      </c>
      <c r="B158" s="18" t="s">
        <v>100</v>
      </c>
      <c r="C158" s="18" t="s">
        <v>11</v>
      </c>
      <c r="D158" s="2" t="s">
        <v>1156</v>
      </c>
      <c r="E158" s="18" t="s">
        <v>1018</v>
      </c>
      <c r="F158" s="7" t="n">
        <v>5</v>
      </c>
      <c r="G158" s="7" t="n">
        <v>12</v>
      </c>
    </row>
    <row r="159" customFormat="false" ht="15" hidden="false" customHeight="false" outlineLevel="0" collapsed="false">
      <c r="A159" s="5" t="s">
        <v>226</v>
      </c>
      <c r="B159" s="18" t="s">
        <v>100</v>
      </c>
      <c r="C159" s="18" t="s">
        <v>11</v>
      </c>
      <c r="D159" s="2" t="s">
        <v>1157</v>
      </c>
      <c r="E159" s="18" t="s">
        <v>1018</v>
      </c>
      <c r="F159" s="7" t="n">
        <v>2</v>
      </c>
      <c r="G159" s="7" t="n">
        <v>2</v>
      </c>
    </row>
    <row r="160" customFormat="false" ht="15" hidden="false" customHeight="false" outlineLevel="0" collapsed="false">
      <c r="A160" s="5" t="s">
        <v>226</v>
      </c>
      <c r="B160" s="18" t="s">
        <v>100</v>
      </c>
      <c r="C160" s="18" t="s">
        <v>11</v>
      </c>
      <c r="D160" s="2" t="s">
        <v>1158</v>
      </c>
      <c r="E160" s="18" t="s">
        <v>1018</v>
      </c>
      <c r="F160" s="7" t="n">
        <v>3</v>
      </c>
      <c r="G160" s="7" t="n">
        <v>4</v>
      </c>
    </row>
    <row r="161" customFormat="false" ht="15" hidden="false" customHeight="false" outlineLevel="0" collapsed="false">
      <c r="A161" s="5" t="s">
        <v>226</v>
      </c>
      <c r="B161" s="18" t="s">
        <v>100</v>
      </c>
      <c r="C161" s="18" t="s">
        <v>11</v>
      </c>
      <c r="D161" s="2" t="s">
        <v>1159</v>
      </c>
      <c r="E161" s="18" t="s">
        <v>1018</v>
      </c>
      <c r="F161" s="7" t="n">
        <v>3</v>
      </c>
      <c r="G161" s="7" t="n">
        <v>4</v>
      </c>
    </row>
    <row r="162" customFormat="false" ht="15" hidden="false" customHeight="false" outlineLevel="0" collapsed="false">
      <c r="A162" s="5" t="s">
        <v>226</v>
      </c>
      <c r="B162" s="18" t="s">
        <v>100</v>
      </c>
      <c r="C162" s="18" t="s">
        <v>11</v>
      </c>
      <c r="D162" s="2" t="s">
        <v>1041</v>
      </c>
      <c r="E162" s="18" t="s">
        <v>1018</v>
      </c>
      <c r="F162" s="7" t="n">
        <v>0</v>
      </c>
      <c r="G162" s="7" t="n">
        <v>3</v>
      </c>
    </row>
    <row r="163" customFormat="false" ht="15" hidden="false" customHeight="false" outlineLevel="0" collapsed="false">
      <c r="A163" s="5" t="s">
        <v>232</v>
      </c>
      <c r="B163" s="18" t="s">
        <v>100</v>
      </c>
      <c r="C163" s="18" t="s">
        <v>11</v>
      </c>
      <c r="D163" s="2" t="s">
        <v>1160</v>
      </c>
      <c r="E163" s="18" t="s">
        <v>70</v>
      </c>
      <c r="F163" s="7" t="n">
        <v>4</v>
      </c>
      <c r="G163" s="7" t="n">
        <v>3</v>
      </c>
    </row>
    <row r="164" customFormat="false" ht="15" hidden="false" customHeight="false" outlineLevel="0" collapsed="false">
      <c r="A164" s="5" t="s">
        <v>232</v>
      </c>
      <c r="B164" s="18" t="s">
        <v>100</v>
      </c>
      <c r="C164" s="18" t="s">
        <v>11</v>
      </c>
      <c r="D164" s="2" t="s">
        <v>1161</v>
      </c>
      <c r="E164" s="18" t="s">
        <v>70</v>
      </c>
      <c r="F164" s="7" t="n">
        <v>4</v>
      </c>
      <c r="G164" s="7" t="n">
        <v>4</v>
      </c>
    </row>
    <row r="165" customFormat="false" ht="15" hidden="false" customHeight="false" outlineLevel="0" collapsed="false">
      <c r="A165" s="5" t="s">
        <v>232</v>
      </c>
      <c r="B165" s="18" t="s">
        <v>100</v>
      </c>
      <c r="C165" s="18" t="s">
        <v>11</v>
      </c>
      <c r="D165" s="2" t="s">
        <v>1162</v>
      </c>
      <c r="E165" s="18" t="s">
        <v>1018</v>
      </c>
      <c r="F165" s="7" t="n">
        <v>3</v>
      </c>
      <c r="G165" s="7" t="n">
        <v>3</v>
      </c>
    </row>
    <row r="166" customFormat="false" ht="15" hidden="false" customHeight="false" outlineLevel="0" collapsed="false">
      <c r="A166" s="5" t="s">
        <v>232</v>
      </c>
      <c r="B166" s="18" t="s">
        <v>100</v>
      </c>
      <c r="C166" s="18" t="s">
        <v>11</v>
      </c>
      <c r="D166" s="3" t="s">
        <v>1163</v>
      </c>
      <c r="E166" s="18" t="s">
        <v>1018</v>
      </c>
      <c r="F166" s="7" t="n">
        <v>3</v>
      </c>
      <c r="G166" s="7" t="n">
        <v>3</v>
      </c>
    </row>
    <row r="167" customFormat="false" ht="15" hidden="false" customHeight="false" outlineLevel="0" collapsed="false">
      <c r="A167" s="5" t="s">
        <v>232</v>
      </c>
      <c r="B167" s="18" t="s">
        <v>100</v>
      </c>
      <c r="C167" s="18" t="s">
        <v>11</v>
      </c>
      <c r="D167" s="2" t="s">
        <v>1164</v>
      </c>
      <c r="E167" s="18" t="s">
        <v>1018</v>
      </c>
      <c r="F167" s="7" t="n">
        <v>5</v>
      </c>
      <c r="G167" s="7" t="n">
        <v>4</v>
      </c>
    </row>
    <row r="168" customFormat="false" ht="15" hidden="false" customHeight="false" outlineLevel="0" collapsed="false">
      <c r="A168" s="5" t="s">
        <v>232</v>
      </c>
      <c r="B168" s="18" t="s">
        <v>100</v>
      </c>
      <c r="C168" s="18" t="s">
        <v>11</v>
      </c>
      <c r="D168" s="2" t="s">
        <v>1165</v>
      </c>
      <c r="E168" s="18" t="s">
        <v>1018</v>
      </c>
      <c r="F168" s="7" t="n">
        <v>4</v>
      </c>
      <c r="G168" s="7" t="n">
        <v>4</v>
      </c>
    </row>
    <row r="169" customFormat="false" ht="15" hidden="false" customHeight="false" outlineLevel="0" collapsed="false">
      <c r="A169" s="5" t="s">
        <v>232</v>
      </c>
      <c r="B169" s="18" t="s">
        <v>100</v>
      </c>
      <c r="C169" s="18" t="s">
        <v>11</v>
      </c>
      <c r="D169" s="2" t="s">
        <v>1166</v>
      </c>
      <c r="E169" s="18" t="s">
        <v>1018</v>
      </c>
      <c r="F169" s="7" t="n">
        <v>6</v>
      </c>
      <c r="G169" s="7" t="n">
        <v>12</v>
      </c>
    </row>
    <row r="170" customFormat="false" ht="15" hidden="false" customHeight="false" outlineLevel="0" collapsed="false">
      <c r="A170" s="5" t="s">
        <v>232</v>
      </c>
      <c r="B170" s="18" t="s">
        <v>100</v>
      </c>
      <c r="C170" s="18" t="s">
        <v>11</v>
      </c>
      <c r="D170" s="2" t="s">
        <v>1167</v>
      </c>
      <c r="E170" s="18" t="s">
        <v>1018</v>
      </c>
      <c r="F170" s="7" t="n">
        <v>5</v>
      </c>
      <c r="G170" s="7" t="n">
        <v>8</v>
      </c>
    </row>
    <row r="171" customFormat="false" ht="15" hidden="false" customHeight="false" outlineLevel="0" collapsed="false">
      <c r="A171" s="5" t="s">
        <v>237</v>
      </c>
      <c r="B171" s="18" t="s">
        <v>100</v>
      </c>
      <c r="C171" s="18" t="s">
        <v>11</v>
      </c>
      <c r="D171" s="2" t="s">
        <v>1160</v>
      </c>
      <c r="E171" s="18" t="s">
        <v>70</v>
      </c>
      <c r="F171" s="7" t="n">
        <v>4</v>
      </c>
      <c r="G171" s="7" t="n">
        <v>3</v>
      </c>
    </row>
    <row r="172" customFormat="false" ht="15" hidden="false" customHeight="false" outlineLevel="0" collapsed="false">
      <c r="A172" s="5" t="s">
        <v>237</v>
      </c>
      <c r="B172" s="18" t="s">
        <v>100</v>
      </c>
      <c r="C172" s="18" t="s">
        <v>11</v>
      </c>
      <c r="D172" s="2" t="s">
        <v>1161</v>
      </c>
      <c r="E172" s="18" t="s">
        <v>70</v>
      </c>
      <c r="F172" s="7" t="n">
        <v>2</v>
      </c>
      <c r="G172" s="7" t="n">
        <v>2</v>
      </c>
    </row>
    <row r="173" customFormat="false" ht="15" hidden="false" customHeight="false" outlineLevel="0" collapsed="false">
      <c r="A173" s="5" t="s">
        <v>237</v>
      </c>
      <c r="B173" s="18" t="s">
        <v>100</v>
      </c>
      <c r="C173" s="18" t="s">
        <v>11</v>
      </c>
      <c r="D173" s="2" t="s">
        <v>1162</v>
      </c>
      <c r="E173" s="18" t="s">
        <v>1018</v>
      </c>
      <c r="F173" s="7" t="n">
        <v>3</v>
      </c>
      <c r="G173" s="7" t="n">
        <v>3</v>
      </c>
    </row>
    <row r="174" customFormat="false" ht="15" hidden="false" customHeight="false" outlineLevel="0" collapsed="false">
      <c r="A174" s="5" t="s">
        <v>237</v>
      </c>
      <c r="B174" s="18" t="s">
        <v>100</v>
      </c>
      <c r="C174" s="18" t="s">
        <v>11</v>
      </c>
      <c r="D174" s="3" t="s">
        <v>1163</v>
      </c>
      <c r="E174" s="18" t="s">
        <v>1018</v>
      </c>
      <c r="F174" s="7" t="n">
        <v>3</v>
      </c>
      <c r="G174" s="7" t="n">
        <v>3</v>
      </c>
    </row>
    <row r="175" customFormat="false" ht="15" hidden="false" customHeight="false" outlineLevel="0" collapsed="false">
      <c r="A175" s="5" t="s">
        <v>237</v>
      </c>
      <c r="B175" s="18" t="s">
        <v>100</v>
      </c>
      <c r="C175" s="18" t="s">
        <v>11</v>
      </c>
      <c r="D175" s="2" t="s">
        <v>1164</v>
      </c>
      <c r="E175" s="18" t="s">
        <v>1018</v>
      </c>
      <c r="F175" s="7" t="n">
        <v>4</v>
      </c>
      <c r="G175" s="7" t="n">
        <v>4</v>
      </c>
    </row>
    <row r="176" customFormat="false" ht="15" hidden="false" customHeight="false" outlineLevel="0" collapsed="false">
      <c r="A176" s="5" t="s">
        <v>237</v>
      </c>
      <c r="B176" s="18" t="s">
        <v>100</v>
      </c>
      <c r="C176" s="18" t="s">
        <v>11</v>
      </c>
      <c r="D176" s="2" t="s">
        <v>1168</v>
      </c>
      <c r="E176" s="18" t="s">
        <v>1018</v>
      </c>
      <c r="F176" s="7" t="n">
        <v>5</v>
      </c>
      <c r="G176" s="7" t="n">
        <v>4</v>
      </c>
    </row>
    <row r="177" customFormat="false" ht="15" hidden="false" customHeight="false" outlineLevel="0" collapsed="false">
      <c r="A177" s="5" t="s">
        <v>237</v>
      </c>
      <c r="B177" s="18" t="s">
        <v>100</v>
      </c>
      <c r="C177" s="18" t="s">
        <v>11</v>
      </c>
      <c r="D177" s="2" t="s">
        <v>1166</v>
      </c>
      <c r="E177" s="18" t="s">
        <v>1018</v>
      </c>
      <c r="F177" s="7" t="n">
        <v>6</v>
      </c>
      <c r="G177" s="7" t="n">
        <v>12</v>
      </c>
    </row>
    <row r="178" customFormat="false" ht="15" hidden="false" customHeight="false" outlineLevel="0" collapsed="false">
      <c r="A178" s="5" t="s">
        <v>237</v>
      </c>
      <c r="B178" s="18" t="s">
        <v>100</v>
      </c>
      <c r="C178" s="18" t="s">
        <v>11</v>
      </c>
      <c r="D178" s="2" t="s">
        <v>1167</v>
      </c>
      <c r="E178" s="18" t="s">
        <v>1018</v>
      </c>
      <c r="F178" s="7" t="n">
        <v>5</v>
      </c>
      <c r="G178" s="7" t="n">
        <v>8</v>
      </c>
    </row>
    <row r="179" customFormat="false" ht="15" hidden="false" customHeight="false" outlineLevel="0" collapsed="false">
      <c r="A179" s="5" t="s">
        <v>242</v>
      </c>
      <c r="B179" s="18" t="s">
        <v>100</v>
      </c>
      <c r="C179" s="18" t="s">
        <v>11</v>
      </c>
      <c r="D179" s="2" t="s">
        <v>1160</v>
      </c>
      <c r="E179" s="18" t="s">
        <v>70</v>
      </c>
      <c r="F179" s="7" t="n">
        <v>4</v>
      </c>
      <c r="G179" s="7" t="n">
        <v>3</v>
      </c>
    </row>
    <row r="180" customFormat="false" ht="15" hidden="false" customHeight="false" outlineLevel="0" collapsed="false">
      <c r="A180" s="5" t="s">
        <v>242</v>
      </c>
      <c r="B180" s="18" t="s">
        <v>100</v>
      </c>
      <c r="C180" s="18" t="s">
        <v>11</v>
      </c>
      <c r="D180" s="2" t="s">
        <v>1161</v>
      </c>
      <c r="E180" s="18" t="s">
        <v>70</v>
      </c>
      <c r="F180" s="7" t="n">
        <v>3</v>
      </c>
      <c r="G180" s="7" t="n">
        <v>3</v>
      </c>
    </row>
    <row r="181" customFormat="false" ht="15" hidden="false" customHeight="false" outlineLevel="0" collapsed="false">
      <c r="A181" s="5" t="s">
        <v>242</v>
      </c>
      <c r="B181" s="18" t="s">
        <v>100</v>
      </c>
      <c r="C181" s="18" t="s">
        <v>11</v>
      </c>
      <c r="D181" s="2" t="s">
        <v>1162</v>
      </c>
      <c r="E181" s="18" t="s">
        <v>1018</v>
      </c>
      <c r="F181" s="7" t="n">
        <v>3</v>
      </c>
      <c r="G181" s="7" t="n">
        <v>3</v>
      </c>
    </row>
    <row r="182" customFormat="false" ht="15" hidden="false" customHeight="false" outlineLevel="0" collapsed="false">
      <c r="A182" s="5" t="s">
        <v>242</v>
      </c>
      <c r="B182" s="18" t="s">
        <v>100</v>
      </c>
      <c r="C182" s="18" t="s">
        <v>11</v>
      </c>
      <c r="D182" s="3" t="s">
        <v>1163</v>
      </c>
      <c r="E182" s="18" t="s">
        <v>1018</v>
      </c>
      <c r="F182" s="7" t="n">
        <v>3</v>
      </c>
      <c r="G182" s="7" t="n">
        <v>3</v>
      </c>
    </row>
    <row r="183" customFormat="false" ht="15" hidden="false" customHeight="false" outlineLevel="0" collapsed="false">
      <c r="A183" s="5" t="s">
        <v>242</v>
      </c>
      <c r="B183" s="18" t="s">
        <v>100</v>
      </c>
      <c r="C183" s="18" t="s">
        <v>11</v>
      </c>
      <c r="D183" s="2" t="s">
        <v>1164</v>
      </c>
      <c r="E183" s="18" t="s">
        <v>1018</v>
      </c>
      <c r="F183" s="7" t="n">
        <v>5</v>
      </c>
      <c r="G183" s="7" t="n">
        <v>4</v>
      </c>
    </row>
    <row r="184" customFormat="false" ht="15" hidden="false" customHeight="false" outlineLevel="0" collapsed="false">
      <c r="A184" s="5" t="s">
        <v>242</v>
      </c>
      <c r="B184" s="18" t="s">
        <v>100</v>
      </c>
      <c r="C184" s="18" t="s">
        <v>11</v>
      </c>
      <c r="D184" s="2" t="s">
        <v>1169</v>
      </c>
      <c r="E184" s="18" t="s">
        <v>1018</v>
      </c>
      <c r="F184" s="7" t="n">
        <v>4</v>
      </c>
      <c r="G184" s="7" t="n">
        <v>3</v>
      </c>
    </row>
    <row r="185" customFormat="false" ht="15" hidden="false" customHeight="false" outlineLevel="0" collapsed="false">
      <c r="A185" s="5" t="s">
        <v>242</v>
      </c>
      <c r="B185" s="18" t="s">
        <v>100</v>
      </c>
      <c r="C185" s="18" t="s">
        <v>11</v>
      </c>
      <c r="D185" s="2" t="s">
        <v>1170</v>
      </c>
      <c r="E185" s="18" t="s">
        <v>1018</v>
      </c>
      <c r="F185" s="7" t="n">
        <v>5</v>
      </c>
      <c r="G185" s="7" t="n">
        <v>5</v>
      </c>
    </row>
    <row r="186" customFormat="false" ht="15" hidden="false" customHeight="false" outlineLevel="0" collapsed="false">
      <c r="A186" s="5" t="s">
        <v>242</v>
      </c>
      <c r="B186" s="18" t="s">
        <v>100</v>
      </c>
      <c r="C186" s="18" t="s">
        <v>11</v>
      </c>
      <c r="D186" s="2" t="s">
        <v>1166</v>
      </c>
      <c r="E186" s="18" t="s">
        <v>1018</v>
      </c>
      <c r="F186" s="7" t="n">
        <v>6</v>
      </c>
      <c r="G186" s="7" t="n">
        <v>12</v>
      </c>
    </row>
    <row r="187" customFormat="false" ht="15" hidden="false" customHeight="false" outlineLevel="0" collapsed="false">
      <c r="A187" s="5" t="s">
        <v>242</v>
      </c>
      <c r="B187" s="18" t="s">
        <v>100</v>
      </c>
      <c r="C187" s="18" t="s">
        <v>11</v>
      </c>
      <c r="D187" s="2" t="s">
        <v>1167</v>
      </c>
      <c r="E187" s="18" t="s">
        <v>1018</v>
      </c>
      <c r="F187" s="7" t="n">
        <v>5</v>
      </c>
      <c r="G187" s="7" t="n">
        <v>8</v>
      </c>
    </row>
    <row r="188" customFormat="false" ht="15" hidden="false" customHeight="false" outlineLevel="0" collapsed="false">
      <c r="A188" s="5" t="s">
        <v>247</v>
      </c>
      <c r="B188" s="18" t="s">
        <v>100</v>
      </c>
      <c r="C188" s="18" t="s">
        <v>11</v>
      </c>
      <c r="D188" s="2" t="s">
        <v>1160</v>
      </c>
      <c r="E188" s="18" t="s">
        <v>70</v>
      </c>
      <c r="F188" s="7" t="n">
        <v>4</v>
      </c>
      <c r="G188" s="7" t="n">
        <v>3</v>
      </c>
    </row>
    <row r="189" customFormat="false" ht="15" hidden="false" customHeight="false" outlineLevel="0" collapsed="false">
      <c r="A189" s="5" t="s">
        <v>247</v>
      </c>
      <c r="B189" s="18" t="s">
        <v>100</v>
      </c>
      <c r="C189" s="18" t="s">
        <v>11</v>
      </c>
      <c r="D189" s="2" t="s">
        <v>1161</v>
      </c>
      <c r="E189" s="18" t="s">
        <v>70</v>
      </c>
      <c r="F189" s="7" t="n">
        <v>3</v>
      </c>
      <c r="G189" s="7" t="n">
        <v>3</v>
      </c>
    </row>
    <row r="190" customFormat="false" ht="15" hidden="false" customHeight="false" outlineLevel="0" collapsed="false">
      <c r="A190" s="5" t="s">
        <v>247</v>
      </c>
      <c r="B190" s="18" t="s">
        <v>100</v>
      </c>
      <c r="C190" s="18" t="s">
        <v>11</v>
      </c>
      <c r="D190" s="2" t="s">
        <v>1162</v>
      </c>
      <c r="E190" s="18" t="s">
        <v>1018</v>
      </c>
      <c r="F190" s="7" t="n">
        <v>3</v>
      </c>
      <c r="G190" s="7" t="n">
        <v>3</v>
      </c>
    </row>
    <row r="191" customFormat="false" ht="15" hidden="false" customHeight="false" outlineLevel="0" collapsed="false">
      <c r="A191" s="5" t="s">
        <v>247</v>
      </c>
      <c r="B191" s="18" t="s">
        <v>100</v>
      </c>
      <c r="C191" s="18" t="s">
        <v>11</v>
      </c>
      <c r="D191" s="3" t="s">
        <v>1163</v>
      </c>
      <c r="E191" s="18" t="s">
        <v>1018</v>
      </c>
      <c r="F191" s="7" t="n">
        <v>3</v>
      </c>
      <c r="G191" s="7" t="n">
        <v>3</v>
      </c>
    </row>
    <row r="192" customFormat="false" ht="15" hidden="false" customHeight="false" outlineLevel="0" collapsed="false">
      <c r="A192" s="5" t="s">
        <v>247</v>
      </c>
      <c r="B192" s="18" t="s">
        <v>100</v>
      </c>
      <c r="C192" s="18" t="s">
        <v>11</v>
      </c>
      <c r="D192" s="2" t="s">
        <v>1171</v>
      </c>
      <c r="E192" s="18" t="s">
        <v>1018</v>
      </c>
      <c r="F192" s="7" t="n">
        <v>7</v>
      </c>
      <c r="G192" s="7" t="n">
        <v>7</v>
      </c>
    </row>
    <row r="193" customFormat="false" ht="15" hidden="false" customHeight="false" outlineLevel="0" collapsed="false">
      <c r="A193" s="5" t="s">
        <v>247</v>
      </c>
      <c r="B193" s="18" t="s">
        <v>100</v>
      </c>
      <c r="C193" s="18" t="s">
        <v>11</v>
      </c>
      <c r="D193" s="2" t="s">
        <v>1164</v>
      </c>
      <c r="E193" s="18" t="s">
        <v>1018</v>
      </c>
      <c r="F193" s="7" t="n">
        <v>5</v>
      </c>
      <c r="G193" s="7" t="n">
        <v>4</v>
      </c>
    </row>
    <row r="194" customFormat="false" ht="15" hidden="false" customHeight="false" outlineLevel="0" collapsed="false">
      <c r="A194" s="5" t="s">
        <v>247</v>
      </c>
      <c r="B194" s="18" t="s">
        <v>100</v>
      </c>
      <c r="C194" s="18" t="s">
        <v>11</v>
      </c>
      <c r="D194" s="2" t="s">
        <v>1169</v>
      </c>
      <c r="E194" s="18" t="s">
        <v>1018</v>
      </c>
      <c r="F194" s="7" t="n">
        <v>4</v>
      </c>
      <c r="G194" s="7" t="n">
        <v>3</v>
      </c>
    </row>
    <row r="195" customFormat="false" ht="15" hidden="false" customHeight="false" outlineLevel="0" collapsed="false">
      <c r="A195" s="5" t="s">
        <v>247</v>
      </c>
      <c r="B195" s="18" t="s">
        <v>100</v>
      </c>
      <c r="C195" s="18" t="s">
        <v>11</v>
      </c>
      <c r="D195" s="2" t="s">
        <v>1166</v>
      </c>
      <c r="E195" s="18" t="s">
        <v>1018</v>
      </c>
      <c r="F195" s="7" t="n">
        <v>6</v>
      </c>
      <c r="G195" s="7" t="n">
        <v>12</v>
      </c>
    </row>
    <row r="196" customFormat="false" ht="15" hidden="false" customHeight="false" outlineLevel="0" collapsed="false">
      <c r="A196" s="5" t="s">
        <v>247</v>
      </c>
      <c r="B196" s="18" t="s">
        <v>100</v>
      </c>
      <c r="C196" s="18" t="s">
        <v>11</v>
      </c>
      <c r="D196" s="2" t="s">
        <v>1167</v>
      </c>
      <c r="E196" s="18" t="s">
        <v>1018</v>
      </c>
      <c r="F196" s="7" t="n">
        <v>5</v>
      </c>
      <c r="G196" s="7" t="n">
        <v>8</v>
      </c>
    </row>
    <row r="197" customFormat="false" ht="15" hidden="false" customHeight="false" outlineLevel="0" collapsed="false">
      <c r="A197" s="5" t="s">
        <v>252</v>
      </c>
      <c r="B197" s="18" t="s">
        <v>100</v>
      </c>
      <c r="C197" s="18" t="s">
        <v>11</v>
      </c>
      <c r="D197" s="2" t="s">
        <v>1160</v>
      </c>
      <c r="E197" s="18" t="s">
        <v>70</v>
      </c>
      <c r="F197" s="7" t="n">
        <v>4</v>
      </c>
      <c r="G197" s="7" t="n">
        <v>3</v>
      </c>
    </row>
    <row r="198" customFormat="false" ht="15" hidden="false" customHeight="false" outlineLevel="0" collapsed="false">
      <c r="A198" s="5" t="s">
        <v>252</v>
      </c>
      <c r="B198" s="18" t="s">
        <v>100</v>
      </c>
      <c r="C198" s="18" t="s">
        <v>11</v>
      </c>
      <c r="D198" s="2" t="s">
        <v>1161</v>
      </c>
      <c r="E198" s="18" t="s">
        <v>70</v>
      </c>
      <c r="F198" s="7" t="n">
        <v>3</v>
      </c>
      <c r="G198" s="7" t="n">
        <v>3</v>
      </c>
    </row>
    <row r="199" customFormat="false" ht="15" hidden="false" customHeight="false" outlineLevel="0" collapsed="false">
      <c r="A199" s="5" t="s">
        <v>252</v>
      </c>
      <c r="B199" s="18" t="s">
        <v>100</v>
      </c>
      <c r="C199" s="18" t="s">
        <v>11</v>
      </c>
      <c r="D199" s="2" t="s">
        <v>1162</v>
      </c>
      <c r="E199" s="18" t="s">
        <v>1018</v>
      </c>
      <c r="F199" s="7" t="n">
        <v>3</v>
      </c>
      <c r="G199" s="7" t="n">
        <v>3</v>
      </c>
    </row>
    <row r="200" customFormat="false" ht="15" hidden="false" customHeight="false" outlineLevel="0" collapsed="false">
      <c r="A200" s="5" t="s">
        <v>252</v>
      </c>
      <c r="B200" s="18" t="s">
        <v>100</v>
      </c>
      <c r="C200" s="18" t="s">
        <v>11</v>
      </c>
      <c r="D200" s="3" t="s">
        <v>1172</v>
      </c>
      <c r="E200" s="18" t="s">
        <v>1018</v>
      </c>
      <c r="F200" s="7" t="n">
        <v>6</v>
      </c>
      <c r="G200" s="7" t="n">
        <v>6</v>
      </c>
    </row>
    <row r="201" customFormat="false" ht="15" hidden="false" customHeight="false" outlineLevel="0" collapsed="false">
      <c r="A201" s="5" t="s">
        <v>252</v>
      </c>
      <c r="B201" s="18" t="s">
        <v>100</v>
      </c>
      <c r="C201" s="18" t="s">
        <v>11</v>
      </c>
      <c r="D201" s="2" t="s">
        <v>1164</v>
      </c>
      <c r="E201" s="18" t="s">
        <v>1018</v>
      </c>
      <c r="F201" s="7" t="n">
        <v>5</v>
      </c>
      <c r="G201" s="7" t="n">
        <v>4</v>
      </c>
    </row>
    <row r="202" customFormat="false" ht="15" hidden="false" customHeight="false" outlineLevel="0" collapsed="false">
      <c r="A202" s="5" t="s">
        <v>252</v>
      </c>
      <c r="B202" s="18" t="s">
        <v>100</v>
      </c>
      <c r="C202" s="18" t="s">
        <v>11</v>
      </c>
      <c r="D202" s="2" t="s">
        <v>1173</v>
      </c>
      <c r="E202" s="18" t="s">
        <v>1018</v>
      </c>
      <c r="F202" s="7" t="n">
        <v>5</v>
      </c>
      <c r="G202" s="7" t="n">
        <v>4</v>
      </c>
    </row>
    <row r="203" customFormat="false" ht="15" hidden="false" customHeight="false" outlineLevel="0" collapsed="false">
      <c r="A203" s="5" t="s">
        <v>252</v>
      </c>
      <c r="B203" s="18" t="s">
        <v>100</v>
      </c>
      <c r="C203" s="18" t="s">
        <v>11</v>
      </c>
      <c r="D203" s="2" t="s">
        <v>1166</v>
      </c>
      <c r="E203" s="18" t="s">
        <v>1018</v>
      </c>
      <c r="F203" s="7" t="n">
        <v>6</v>
      </c>
      <c r="G203" s="7" t="n">
        <v>12</v>
      </c>
    </row>
    <row r="204" customFormat="false" ht="15" hidden="false" customHeight="false" outlineLevel="0" collapsed="false">
      <c r="A204" s="5" t="s">
        <v>252</v>
      </c>
      <c r="B204" s="18" t="s">
        <v>100</v>
      </c>
      <c r="C204" s="18" t="s">
        <v>11</v>
      </c>
      <c r="D204" s="2" t="s">
        <v>1167</v>
      </c>
      <c r="E204" s="18" t="s">
        <v>1018</v>
      </c>
      <c r="F204" s="7" t="n">
        <v>5</v>
      </c>
      <c r="G204" s="7" t="n">
        <v>8</v>
      </c>
    </row>
    <row r="205" customFormat="false" ht="15" hidden="false" customHeight="false" outlineLevel="0" collapsed="false">
      <c r="A205" s="5" t="s">
        <v>257</v>
      </c>
      <c r="B205" s="18" t="s">
        <v>100</v>
      </c>
      <c r="C205" s="18" t="s">
        <v>11</v>
      </c>
      <c r="D205" s="2" t="s">
        <v>1160</v>
      </c>
      <c r="E205" s="18" t="s">
        <v>70</v>
      </c>
      <c r="F205" s="7" t="n">
        <v>4</v>
      </c>
      <c r="G205" s="7" t="n">
        <v>3</v>
      </c>
    </row>
    <row r="206" customFormat="false" ht="15" hidden="false" customHeight="false" outlineLevel="0" collapsed="false">
      <c r="A206" s="5" t="s">
        <v>257</v>
      </c>
      <c r="B206" s="18" t="s">
        <v>100</v>
      </c>
      <c r="C206" s="18" t="s">
        <v>11</v>
      </c>
      <c r="D206" s="2" t="s">
        <v>1161</v>
      </c>
      <c r="E206" s="18" t="s">
        <v>70</v>
      </c>
      <c r="F206" s="7" t="n">
        <v>4</v>
      </c>
      <c r="G206" s="7" t="n">
        <v>4</v>
      </c>
    </row>
    <row r="207" customFormat="false" ht="15" hidden="false" customHeight="false" outlineLevel="0" collapsed="false">
      <c r="A207" s="5" t="s">
        <v>257</v>
      </c>
      <c r="B207" s="18" t="s">
        <v>100</v>
      </c>
      <c r="C207" s="18" t="s">
        <v>11</v>
      </c>
      <c r="D207" s="2" t="s">
        <v>1162</v>
      </c>
      <c r="E207" s="18" t="s">
        <v>1018</v>
      </c>
      <c r="F207" s="7" t="n">
        <v>3</v>
      </c>
      <c r="G207" s="7" t="n">
        <v>3</v>
      </c>
    </row>
    <row r="208" customFormat="false" ht="15" hidden="false" customHeight="false" outlineLevel="0" collapsed="false">
      <c r="A208" s="5" t="s">
        <v>257</v>
      </c>
      <c r="B208" s="18" t="s">
        <v>100</v>
      </c>
      <c r="C208" s="18" t="s">
        <v>11</v>
      </c>
      <c r="D208" s="3" t="s">
        <v>1163</v>
      </c>
      <c r="E208" s="18" t="s">
        <v>1018</v>
      </c>
      <c r="F208" s="7" t="n">
        <v>3</v>
      </c>
      <c r="G208" s="7" t="n">
        <v>3</v>
      </c>
    </row>
    <row r="209" customFormat="false" ht="15" hidden="false" customHeight="false" outlineLevel="0" collapsed="false">
      <c r="A209" s="5" t="s">
        <v>257</v>
      </c>
      <c r="B209" s="18" t="s">
        <v>100</v>
      </c>
      <c r="C209" s="18" t="s">
        <v>11</v>
      </c>
      <c r="D209" s="2" t="s">
        <v>1164</v>
      </c>
      <c r="E209" s="18" t="s">
        <v>1018</v>
      </c>
      <c r="F209" s="7" t="n">
        <v>5</v>
      </c>
      <c r="G209" s="7" t="n">
        <v>4</v>
      </c>
    </row>
    <row r="210" customFormat="false" ht="15" hidden="false" customHeight="false" outlineLevel="0" collapsed="false">
      <c r="A210" s="5" t="s">
        <v>257</v>
      </c>
      <c r="B210" s="18" t="s">
        <v>100</v>
      </c>
      <c r="C210" s="18" t="s">
        <v>11</v>
      </c>
      <c r="D210" s="2" t="s">
        <v>1174</v>
      </c>
      <c r="E210" s="18" t="s">
        <v>1018</v>
      </c>
      <c r="F210" s="7" t="n">
        <v>6</v>
      </c>
      <c r="G210" s="7" t="n">
        <v>5</v>
      </c>
    </row>
    <row r="211" customFormat="false" ht="15" hidden="false" customHeight="false" outlineLevel="0" collapsed="false">
      <c r="A211" s="5" t="s">
        <v>257</v>
      </c>
      <c r="B211" s="18" t="s">
        <v>100</v>
      </c>
      <c r="C211" s="18" t="s">
        <v>11</v>
      </c>
      <c r="D211" s="2" t="s">
        <v>1166</v>
      </c>
      <c r="E211" s="18" t="s">
        <v>1018</v>
      </c>
      <c r="F211" s="7" t="n">
        <v>6</v>
      </c>
      <c r="G211" s="7" t="n">
        <v>12</v>
      </c>
    </row>
    <row r="212" customFormat="false" ht="15" hidden="false" customHeight="false" outlineLevel="0" collapsed="false">
      <c r="A212" s="5" t="s">
        <v>257</v>
      </c>
      <c r="B212" s="18" t="s">
        <v>100</v>
      </c>
      <c r="C212" s="18" t="s">
        <v>11</v>
      </c>
      <c r="D212" s="2" t="s">
        <v>1167</v>
      </c>
      <c r="E212" s="18" t="s">
        <v>1018</v>
      </c>
      <c r="F212" s="7" t="n">
        <v>5</v>
      </c>
      <c r="G212" s="7" t="n">
        <v>8</v>
      </c>
    </row>
    <row r="213" customFormat="false" ht="15" hidden="false" customHeight="false" outlineLevel="0" collapsed="false">
      <c r="A213" s="5" t="s">
        <v>262</v>
      </c>
      <c r="B213" s="18" t="s">
        <v>100</v>
      </c>
      <c r="C213" s="18" t="s">
        <v>11</v>
      </c>
      <c r="D213" s="2" t="s">
        <v>1160</v>
      </c>
      <c r="E213" s="18" t="s">
        <v>70</v>
      </c>
      <c r="F213" s="7" t="n">
        <v>4</v>
      </c>
      <c r="G213" s="7" t="n">
        <v>3</v>
      </c>
    </row>
    <row r="214" customFormat="false" ht="15" hidden="false" customHeight="false" outlineLevel="0" collapsed="false">
      <c r="A214" s="5" t="s">
        <v>262</v>
      </c>
      <c r="B214" s="18" t="s">
        <v>100</v>
      </c>
      <c r="C214" s="18" t="s">
        <v>11</v>
      </c>
      <c r="D214" s="2" t="s">
        <v>1161</v>
      </c>
      <c r="E214" s="18" t="s">
        <v>70</v>
      </c>
      <c r="F214" s="7" t="n">
        <v>3</v>
      </c>
      <c r="G214" s="7" t="n">
        <v>3</v>
      </c>
    </row>
    <row r="215" customFormat="false" ht="15" hidden="false" customHeight="false" outlineLevel="0" collapsed="false">
      <c r="A215" s="5" t="s">
        <v>262</v>
      </c>
      <c r="B215" s="18" t="s">
        <v>100</v>
      </c>
      <c r="C215" s="18" t="s">
        <v>11</v>
      </c>
      <c r="D215" s="2" t="s">
        <v>1162</v>
      </c>
      <c r="E215" s="18" t="s">
        <v>1018</v>
      </c>
      <c r="F215" s="7" t="n">
        <v>3</v>
      </c>
      <c r="G215" s="7" t="n">
        <v>3</v>
      </c>
    </row>
    <row r="216" customFormat="false" ht="15" hidden="false" customHeight="false" outlineLevel="0" collapsed="false">
      <c r="A216" s="5" t="s">
        <v>262</v>
      </c>
      <c r="B216" s="18" t="s">
        <v>100</v>
      </c>
      <c r="C216" s="18" t="s">
        <v>11</v>
      </c>
      <c r="D216" s="3" t="s">
        <v>1163</v>
      </c>
      <c r="E216" s="18" t="s">
        <v>1018</v>
      </c>
      <c r="F216" s="7" t="n">
        <v>3</v>
      </c>
      <c r="G216" s="7" t="n">
        <v>3</v>
      </c>
    </row>
    <row r="217" customFormat="false" ht="15" hidden="false" customHeight="false" outlineLevel="0" collapsed="false">
      <c r="A217" s="5" t="s">
        <v>262</v>
      </c>
      <c r="B217" s="18" t="s">
        <v>100</v>
      </c>
      <c r="C217" s="18" t="s">
        <v>11</v>
      </c>
      <c r="D217" s="2" t="s">
        <v>1164</v>
      </c>
      <c r="E217" s="18" t="s">
        <v>1018</v>
      </c>
      <c r="F217" s="7" t="n">
        <v>5</v>
      </c>
      <c r="G217" s="7" t="n">
        <v>4</v>
      </c>
    </row>
    <row r="218" customFormat="false" ht="15" hidden="false" customHeight="false" outlineLevel="0" collapsed="false">
      <c r="A218" s="5" t="s">
        <v>262</v>
      </c>
      <c r="B218" s="18" t="s">
        <v>100</v>
      </c>
      <c r="C218" s="18" t="s">
        <v>11</v>
      </c>
      <c r="D218" s="2" t="s">
        <v>1175</v>
      </c>
      <c r="E218" s="18" t="s">
        <v>1018</v>
      </c>
      <c r="F218" s="7" t="n">
        <v>5</v>
      </c>
      <c r="G218" s="7" t="n">
        <v>4</v>
      </c>
    </row>
    <row r="219" customFormat="false" ht="15" hidden="false" customHeight="false" outlineLevel="0" collapsed="false">
      <c r="A219" s="5" t="s">
        <v>262</v>
      </c>
      <c r="B219" s="18" t="s">
        <v>100</v>
      </c>
      <c r="C219" s="18" t="s">
        <v>11</v>
      </c>
      <c r="D219" s="2" t="s">
        <v>1166</v>
      </c>
      <c r="E219" s="18" t="s">
        <v>1018</v>
      </c>
      <c r="F219" s="7" t="n">
        <v>6</v>
      </c>
      <c r="G219" s="7" t="n">
        <v>12</v>
      </c>
    </row>
    <row r="220" customFormat="false" ht="15" hidden="false" customHeight="false" outlineLevel="0" collapsed="false">
      <c r="A220" s="5" t="s">
        <v>262</v>
      </c>
      <c r="B220" s="18" t="s">
        <v>100</v>
      </c>
      <c r="C220" s="18" t="s">
        <v>11</v>
      </c>
      <c r="D220" s="2" t="s">
        <v>1167</v>
      </c>
      <c r="E220" s="18" t="s">
        <v>1018</v>
      </c>
      <c r="F220" s="7" t="n">
        <v>5</v>
      </c>
      <c r="G220" s="7" t="n">
        <v>8</v>
      </c>
    </row>
    <row r="221" customFormat="false" ht="15" hidden="false" customHeight="false" outlineLevel="0" collapsed="false">
      <c r="A221" s="5" t="s">
        <v>267</v>
      </c>
      <c r="B221" s="18" t="s">
        <v>100</v>
      </c>
      <c r="C221" s="18" t="s">
        <v>11</v>
      </c>
      <c r="D221" s="2" t="s">
        <v>1160</v>
      </c>
      <c r="E221" s="18" t="s">
        <v>70</v>
      </c>
      <c r="F221" s="7" t="n">
        <v>4</v>
      </c>
      <c r="G221" s="7" t="n">
        <v>3</v>
      </c>
    </row>
    <row r="222" customFormat="false" ht="15" hidden="false" customHeight="false" outlineLevel="0" collapsed="false">
      <c r="A222" s="5" t="s">
        <v>267</v>
      </c>
      <c r="B222" s="18" t="s">
        <v>100</v>
      </c>
      <c r="C222" s="18" t="s">
        <v>11</v>
      </c>
      <c r="D222" s="2" t="s">
        <v>1161</v>
      </c>
      <c r="E222" s="18" t="s">
        <v>70</v>
      </c>
      <c r="F222" s="7" t="n">
        <v>3</v>
      </c>
      <c r="G222" s="7" t="n">
        <v>3</v>
      </c>
    </row>
    <row r="223" customFormat="false" ht="15" hidden="false" customHeight="false" outlineLevel="0" collapsed="false">
      <c r="A223" s="5" t="s">
        <v>267</v>
      </c>
      <c r="B223" s="18" t="s">
        <v>100</v>
      </c>
      <c r="C223" s="18" t="s">
        <v>11</v>
      </c>
      <c r="D223" s="2" t="s">
        <v>1162</v>
      </c>
      <c r="E223" s="18" t="s">
        <v>1018</v>
      </c>
      <c r="F223" s="7" t="n">
        <v>3</v>
      </c>
      <c r="G223" s="7" t="n">
        <v>3</v>
      </c>
    </row>
    <row r="224" customFormat="false" ht="15" hidden="false" customHeight="false" outlineLevel="0" collapsed="false">
      <c r="A224" s="5" t="s">
        <v>267</v>
      </c>
      <c r="B224" s="18" t="s">
        <v>100</v>
      </c>
      <c r="C224" s="18" t="s">
        <v>11</v>
      </c>
      <c r="D224" s="3" t="s">
        <v>1163</v>
      </c>
      <c r="E224" s="18" t="s">
        <v>1018</v>
      </c>
      <c r="F224" s="7" t="n">
        <v>3</v>
      </c>
      <c r="G224" s="7" t="n">
        <v>3</v>
      </c>
    </row>
    <row r="225" customFormat="false" ht="15" hidden="false" customHeight="false" outlineLevel="0" collapsed="false">
      <c r="A225" s="5" t="s">
        <v>267</v>
      </c>
      <c r="B225" s="18" t="s">
        <v>100</v>
      </c>
      <c r="C225" s="18" t="s">
        <v>11</v>
      </c>
      <c r="D225" s="2" t="s">
        <v>1164</v>
      </c>
      <c r="E225" s="18" t="s">
        <v>1018</v>
      </c>
      <c r="F225" s="7" t="n">
        <v>5</v>
      </c>
      <c r="G225" s="7" t="n">
        <v>4</v>
      </c>
    </row>
    <row r="226" customFormat="false" ht="15" hidden="false" customHeight="false" outlineLevel="0" collapsed="false">
      <c r="A226" s="5" t="s">
        <v>267</v>
      </c>
      <c r="B226" s="18" t="s">
        <v>100</v>
      </c>
      <c r="C226" s="18" t="s">
        <v>11</v>
      </c>
      <c r="D226" s="2" t="s">
        <v>1169</v>
      </c>
      <c r="E226" s="18" t="s">
        <v>1018</v>
      </c>
      <c r="F226" s="7" t="n">
        <v>4</v>
      </c>
      <c r="G226" s="7" t="n">
        <v>3</v>
      </c>
    </row>
    <row r="227" customFormat="false" ht="15" hidden="false" customHeight="false" outlineLevel="0" collapsed="false">
      <c r="A227" s="5" t="s">
        <v>267</v>
      </c>
      <c r="B227" s="18" t="s">
        <v>100</v>
      </c>
      <c r="C227" s="18" t="s">
        <v>11</v>
      </c>
      <c r="D227" s="2" t="s">
        <v>1166</v>
      </c>
      <c r="E227" s="18" t="s">
        <v>1018</v>
      </c>
      <c r="F227" s="7" t="n">
        <v>6</v>
      </c>
      <c r="G227" s="7" t="n">
        <v>12</v>
      </c>
    </row>
    <row r="228" customFormat="false" ht="15" hidden="false" customHeight="false" outlineLevel="0" collapsed="false">
      <c r="A228" s="5" t="s">
        <v>267</v>
      </c>
      <c r="B228" s="18" t="s">
        <v>100</v>
      </c>
      <c r="C228" s="18" t="s">
        <v>11</v>
      </c>
      <c r="D228" s="2" t="s">
        <v>1167</v>
      </c>
      <c r="E228" s="18" t="s">
        <v>1018</v>
      </c>
      <c r="F228" s="7" t="n">
        <v>5</v>
      </c>
      <c r="G228" s="7" t="n">
        <v>8</v>
      </c>
    </row>
    <row r="229" customFormat="false" ht="15" hidden="false" customHeight="false" outlineLevel="0" collapsed="false">
      <c r="A229" s="5" t="s">
        <v>272</v>
      </c>
      <c r="B229" s="18" t="s">
        <v>100</v>
      </c>
      <c r="C229" s="18" t="s">
        <v>11</v>
      </c>
      <c r="D229" s="2" t="s">
        <v>1160</v>
      </c>
      <c r="E229" s="18" t="s">
        <v>70</v>
      </c>
      <c r="F229" s="7" t="n">
        <v>4</v>
      </c>
      <c r="G229" s="7" t="n">
        <v>3</v>
      </c>
    </row>
    <row r="230" customFormat="false" ht="15" hidden="false" customHeight="false" outlineLevel="0" collapsed="false">
      <c r="A230" s="5" t="s">
        <v>272</v>
      </c>
      <c r="B230" s="18" t="s">
        <v>100</v>
      </c>
      <c r="C230" s="18" t="s">
        <v>11</v>
      </c>
      <c r="D230" s="2" t="s">
        <v>1161</v>
      </c>
      <c r="E230" s="18" t="s">
        <v>70</v>
      </c>
      <c r="F230" s="7" t="n">
        <v>4</v>
      </c>
      <c r="G230" s="7" t="n">
        <v>4</v>
      </c>
    </row>
    <row r="231" customFormat="false" ht="15" hidden="false" customHeight="false" outlineLevel="0" collapsed="false">
      <c r="A231" s="5" t="s">
        <v>272</v>
      </c>
      <c r="B231" s="18" t="s">
        <v>100</v>
      </c>
      <c r="C231" s="18" t="s">
        <v>11</v>
      </c>
      <c r="D231" s="2" t="s">
        <v>1162</v>
      </c>
      <c r="E231" s="18" t="s">
        <v>1018</v>
      </c>
      <c r="F231" s="7" t="n">
        <v>3</v>
      </c>
      <c r="G231" s="7" t="n">
        <v>3</v>
      </c>
    </row>
    <row r="232" customFormat="false" ht="15" hidden="false" customHeight="false" outlineLevel="0" collapsed="false">
      <c r="A232" s="5" t="s">
        <v>272</v>
      </c>
      <c r="B232" s="18" t="s">
        <v>100</v>
      </c>
      <c r="C232" s="18" t="s">
        <v>11</v>
      </c>
      <c r="D232" s="3" t="s">
        <v>1163</v>
      </c>
      <c r="E232" s="18" t="s">
        <v>1018</v>
      </c>
      <c r="F232" s="7" t="n">
        <v>3</v>
      </c>
      <c r="G232" s="7" t="n">
        <v>3</v>
      </c>
    </row>
    <row r="233" customFormat="false" ht="15" hidden="false" customHeight="false" outlineLevel="0" collapsed="false">
      <c r="A233" s="5" t="s">
        <v>272</v>
      </c>
      <c r="B233" s="18" t="s">
        <v>100</v>
      </c>
      <c r="C233" s="18" t="s">
        <v>11</v>
      </c>
      <c r="D233" s="2" t="s">
        <v>1164</v>
      </c>
      <c r="E233" s="18" t="s">
        <v>1018</v>
      </c>
      <c r="F233" s="7" t="n">
        <v>5</v>
      </c>
      <c r="G233" s="7" t="n">
        <v>4</v>
      </c>
    </row>
    <row r="234" customFormat="false" ht="15" hidden="false" customHeight="false" outlineLevel="0" collapsed="false">
      <c r="A234" s="5" t="s">
        <v>272</v>
      </c>
      <c r="B234" s="18" t="s">
        <v>100</v>
      </c>
      <c r="C234" s="18" t="s">
        <v>11</v>
      </c>
      <c r="D234" s="2" t="s">
        <v>1169</v>
      </c>
      <c r="E234" s="18" t="s">
        <v>1018</v>
      </c>
      <c r="F234" s="7" t="n">
        <v>4</v>
      </c>
      <c r="G234" s="7" t="n">
        <v>3</v>
      </c>
    </row>
    <row r="235" customFormat="false" ht="15" hidden="false" customHeight="false" outlineLevel="0" collapsed="false">
      <c r="A235" s="5" t="s">
        <v>272</v>
      </c>
      <c r="B235" s="18" t="s">
        <v>100</v>
      </c>
      <c r="C235" s="18" t="s">
        <v>11</v>
      </c>
      <c r="D235" s="2" t="s">
        <v>1166</v>
      </c>
      <c r="E235" s="18" t="s">
        <v>1018</v>
      </c>
      <c r="F235" s="7" t="n">
        <v>6</v>
      </c>
      <c r="G235" s="7" t="n">
        <v>12</v>
      </c>
    </row>
    <row r="236" customFormat="false" ht="15" hidden="false" customHeight="false" outlineLevel="0" collapsed="false">
      <c r="A236" s="5" t="s">
        <v>272</v>
      </c>
      <c r="B236" s="18" t="s">
        <v>100</v>
      </c>
      <c r="C236" s="18" t="s">
        <v>11</v>
      </c>
      <c r="D236" s="2" t="s">
        <v>1167</v>
      </c>
      <c r="E236" s="18" t="s">
        <v>1018</v>
      </c>
      <c r="F236" s="7" t="n">
        <v>5</v>
      </c>
      <c r="G236" s="7" t="n">
        <v>8</v>
      </c>
    </row>
    <row r="237" customFormat="false" ht="15" hidden="false" customHeight="false" outlineLevel="0" collapsed="false">
      <c r="A237" s="5" t="s">
        <v>277</v>
      </c>
      <c r="B237" s="18" t="s">
        <v>100</v>
      </c>
      <c r="C237" s="18" t="s">
        <v>11</v>
      </c>
      <c r="D237" s="2" t="s">
        <v>1176</v>
      </c>
      <c r="E237" s="18" t="s">
        <v>70</v>
      </c>
      <c r="F237" s="7" t="n">
        <v>5</v>
      </c>
      <c r="G237" s="7" t="n">
        <v>5</v>
      </c>
    </row>
    <row r="238" customFormat="false" ht="15" hidden="false" customHeight="false" outlineLevel="0" collapsed="false">
      <c r="A238" s="5" t="s">
        <v>277</v>
      </c>
      <c r="B238" s="18" t="s">
        <v>100</v>
      </c>
      <c r="C238" s="18" t="s">
        <v>11</v>
      </c>
      <c r="D238" s="2" t="s">
        <v>1177</v>
      </c>
      <c r="E238" s="18" t="s">
        <v>1018</v>
      </c>
      <c r="F238" s="7" t="n">
        <v>3</v>
      </c>
      <c r="G238" s="7" t="n">
        <v>5</v>
      </c>
    </row>
    <row r="239" customFormat="false" ht="15" hidden="false" customHeight="false" outlineLevel="0" collapsed="false">
      <c r="A239" s="5" t="s">
        <v>282</v>
      </c>
      <c r="B239" s="18" t="s">
        <v>281</v>
      </c>
      <c r="C239" s="18" t="s">
        <v>7</v>
      </c>
      <c r="D239" s="2" t="s">
        <v>1042</v>
      </c>
      <c r="E239" s="18" t="s">
        <v>70</v>
      </c>
      <c r="F239" s="7" t="n">
        <v>5</v>
      </c>
      <c r="G239" s="7" t="n">
        <v>4</v>
      </c>
    </row>
    <row r="240" customFormat="false" ht="15" hidden="false" customHeight="false" outlineLevel="0" collapsed="false">
      <c r="A240" s="5" t="s">
        <v>282</v>
      </c>
      <c r="B240" s="18" t="s">
        <v>281</v>
      </c>
      <c r="C240" s="18" t="s">
        <v>7</v>
      </c>
      <c r="D240" s="2" t="s">
        <v>1178</v>
      </c>
      <c r="E240" s="18" t="s">
        <v>70</v>
      </c>
      <c r="F240" s="7" t="n">
        <v>5</v>
      </c>
      <c r="G240" s="7" t="n">
        <v>5</v>
      </c>
    </row>
    <row r="241" customFormat="false" ht="15" hidden="false" customHeight="false" outlineLevel="0" collapsed="false">
      <c r="A241" s="5" t="s">
        <v>282</v>
      </c>
      <c r="B241" s="18" t="s">
        <v>281</v>
      </c>
      <c r="C241" s="18" t="s">
        <v>7</v>
      </c>
      <c r="D241" s="2" t="s">
        <v>1179</v>
      </c>
      <c r="E241" s="18" t="s">
        <v>70</v>
      </c>
      <c r="F241" s="7" t="n">
        <v>8</v>
      </c>
      <c r="G241" s="7" t="n">
        <v>7</v>
      </c>
    </row>
    <row r="242" customFormat="false" ht="15" hidden="false" customHeight="false" outlineLevel="0" collapsed="false">
      <c r="A242" s="5" t="s">
        <v>282</v>
      </c>
      <c r="B242" s="18" t="s">
        <v>281</v>
      </c>
      <c r="C242" s="18" t="s">
        <v>7</v>
      </c>
      <c r="D242" s="2" t="s">
        <v>1180</v>
      </c>
      <c r="E242" s="18" t="s">
        <v>70</v>
      </c>
      <c r="F242" s="7" t="n">
        <v>7</v>
      </c>
      <c r="G242" s="7" t="n">
        <v>6</v>
      </c>
    </row>
    <row r="243" customFormat="false" ht="15" hidden="false" customHeight="false" outlineLevel="0" collapsed="false">
      <c r="A243" s="5" t="s">
        <v>282</v>
      </c>
      <c r="B243" s="18" t="s">
        <v>281</v>
      </c>
      <c r="C243" s="18" t="s">
        <v>7</v>
      </c>
      <c r="D243" s="2" t="s">
        <v>1181</v>
      </c>
      <c r="E243" s="18" t="s">
        <v>70</v>
      </c>
      <c r="F243" s="7" t="n">
        <v>4</v>
      </c>
      <c r="G243" s="7" t="n">
        <v>3</v>
      </c>
    </row>
    <row r="244" customFormat="false" ht="15" hidden="false" customHeight="false" outlineLevel="0" collapsed="false">
      <c r="A244" s="5" t="s">
        <v>282</v>
      </c>
      <c r="B244" s="18" t="s">
        <v>281</v>
      </c>
      <c r="C244" s="18" t="s">
        <v>7</v>
      </c>
      <c r="D244" s="2" t="s">
        <v>1047</v>
      </c>
      <c r="E244" s="18" t="s">
        <v>70</v>
      </c>
      <c r="F244" s="7" t="n">
        <v>0</v>
      </c>
      <c r="G244" s="7" t="n">
        <v>3</v>
      </c>
    </row>
    <row r="245" customFormat="false" ht="15" hidden="false" customHeight="false" outlineLevel="0" collapsed="false">
      <c r="A245" s="5" t="s">
        <v>286</v>
      </c>
      <c r="B245" s="18" t="s">
        <v>281</v>
      </c>
      <c r="C245" s="18" t="s">
        <v>7</v>
      </c>
      <c r="D245" s="2" t="s">
        <v>1182</v>
      </c>
      <c r="E245" s="18" t="s">
        <v>1018</v>
      </c>
      <c r="F245" s="7" t="n">
        <v>7</v>
      </c>
      <c r="G245" s="7" t="n">
        <v>8</v>
      </c>
    </row>
    <row r="246" customFormat="false" ht="15" hidden="false" customHeight="false" outlineLevel="0" collapsed="false">
      <c r="A246" s="5" t="s">
        <v>286</v>
      </c>
      <c r="B246" s="18" t="s">
        <v>281</v>
      </c>
      <c r="C246" s="18" t="s">
        <v>7</v>
      </c>
      <c r="D246" s="2" t="s">
        <v>1183</v>
      </c>
      <c r="E246" s="18" t="s">
        <v>1018</v>
      </c>
      <c r="F246" s="7" t="n">
        <v>15</v>
      </c>
      <c r="G246" s="7" t="n">
        <v>0</v>
      </c>
    </row>
    <row r="247" customFormat="false" ht="15" hidden="false" customHeight="false" outlineLevel="0" collapsed="false">
      <c r="A247" s="5" t="s">
        <v>286</v>
      </c>
      <c r="B247" s="18" t="s">
        <v>281</v>
      </c>
      <c r="C247" s="18" t="s">
        <v>7</v>
      </c>
      <c r="D247" s="2" t="s">
        <v>1184</v>
      </c>
      <c r="E247" s="18" t="s">
        <v>1018</v>
      </c>
      <c r="F247" s="7" t="n">
        <v>0</v>
      </c>
      <c r="G247" s="7" t="n">
        <v>5</v>
      </c>
    </row>
    <row r="248" customFormat="false" ht="15" hidden="false" customHeight="false" outlineLevel="0" collapsed="false">
      <c r="A248" s="5" t="s">
        <v>286</v>
      </c>
      <c r="B248" s="18" t="s">
        <v>281</v>
      </c>
      <c r="C248" s="18" t="s">
        <v>7</v>
      </c>
      <c r="D248" s="3" t="s">
        <v>1185</v>
      </c>
      <c r="E248" s="18" t="s">
        <v>1018</v>
      </c>
      <c r="F248" s="7" t="n">
        <v>0</v>
      </c>
      <c r="G248" s="7" t="n">
        <v>10</v>
      </c>
    </row>
    <row r="249" customFormat="false" ht="15" hidden="false" customHeight="false" outlineLevel="0" collapsed="false">
      <c r="A249" s="5" t="s">
        <v>286</v>
      </c>
      <c r="B249" s="18" t="s">
        <v>281</v>
      </c>
      <c r="C249" s="18" t="s">
        <v>7</v>
      </c>
      <c r="D249" s="3" t="s">
        <v>1186</v>
      </c>
      <c r="E249" s="18" t="s">
        <v>1018</v>
      </c>
      <c r="F249" s="7" t="n">
        <v>0</v>
      </c>
      <c r="G249" s="7" t="n">
        <v>10</v>
      </c>
    </row>
    <row r="250" customFormat="false" ht="15" hidden="false" customHeight="false" outlineLevel="0" collapsed="false">
      <c r="A250" s="5" t="s">
        <v>286</v>
      </c>
      <c r="B250" s="18" t="s">
        <v>281</v>
      </c>
      <c r="C250" s="18" t="s">
        <v>7</v>
      </c>
      <c r="D250" s="2" t="s">
        <v>1187</v>
      </c>
      <c r="E250" s="18" t="s">
        <v>1018</v>
      </c>
      <c r="F250" s="7" t="n">
        <v>5</v>
      </c>
      <c r="G250" s="7" t="n">
        <v>10</v>
      </c>
    </row>
    <row r="251" customFormat="false" ht="15" hidden="false" customHeight="false" outlineLevel="0" collapsed="false">
      <c r="A251" s="5" t="s">
        <v>291</v>
      </c>
      <c r="B251" s="18" t="s">
        <v>281</v>
      </c>
      <c r="C251" s="18" t="s">
        <v>7</v>
      </c>
      <c r="D251" s="2" t="s">
        <v>1188</v>
      </c>
      <c r="E251" s="18" t="s">
        <v>70</v>
      </c>
      <c r="F251" s="7" t="n">
        <v>7</v>
      </c>
      <c r="G251" s="7" t="n">
        <v>6</v>
      </c>
    </row>
    <row r="252" customFormat="false" ht="15" hidden="false" customHeight="false" outlineLevel="0" collapsed="false">
      <c r="A252" s="5" t="s">
        <v>291</v>
      </c>
      <c r="B252" s="18" t="s">
        <v>281</v>
      </c>
      <c r="C252" s="18" t="s">
        <v>7</v>
      </c>
      <c r="D252" s="2" t="s">
        <v>1189</v>
      </c>
      <c r="E252" s="18" t="s">
        <v>1018</v>
      </c>
      <c r="F252" s="7" t="n">
        <v>3</v>
      </c>
      <c r="G252" s="7" t="n">
        <v>10</v>
      </c>
    </row>
    <row r="253" customFormat="false" ht="15" hidden="false" customHeight="false" outlineLevel="0" collapsed="false">
      <c r="A253" s="5" t="s">
        <v>295</v>
      </c>
      <c r="B253" s="18" t="s">
        <v>281</v>
      </c>
      <c r="C253" s="18" t="s">
        <v>7</v>
      </c>
      <c r="D253" s="2" t="s">
        <v>1190</v>
      </c>
      <c r="E253" s="18" t="s">
        <v>70</v>
      </c>
      <c r="F253" s="7" t="n">
        <v>5</v>
      </c>
      <c r="G253" s="7" t="n">
        <v>4</v>
      </c>
    </row>
    <row r="254" customFormat="false" ht="15" hidden="false" customHeight="false" outlineLevel="0" collapsed="false">
      <c r="A254" s="5" t="s">
        <v>295</v>
      </c>
      <c r="B254" s="18" t="s">
        <v>281</v>
      </c>
      <c r="C254" s="18" t="s">
        <v>7</v>
      </c>
      <c r="D254" s="2" t="s">
        <v>1191</v>
      </c>
      <c r="E254" s="18" t="s">
        <v>70</v>
      </c>
      <c r="F254" s="7" t="n">
        <v>6</v>
      </c>
      <c r="G254" s="7" t="n">
        <v>5</v>
      </c>
    </row>
    <row r="255" customFormat="false" ht="15" hidden="false" customHeight="false" outlineLevel="0" collapsed="false">
      <c r="A255" s="5" t="s">
        <v>295</v>
      </c>
      <c r="B255" s="18" t="s">
        <v>281</v>
      </c>
      <c r="C255" s="18" t="s">
        <v>7</v>
      </c>
      <c r="D255" s="2" t="s">
        <v>1192</v>
      </c>
      <c r="E255" s="18" t="s">
        <v>70</v>
      </c>
      <c r="F255" s="7" t="n">
        <v>7</v>
      </c>
      <c r="G255" s="7" t="n">
        <v>5</v>
      </c>
    </row>
    <row r="256" customFormat="false" ht="15" hidden="false" customHeight="false" outlineLevel="0" collapsed="false">
      <c r="A256" s="5" t="s">
        <v>295</v>
      </c>
      <c r="B256" s="18" t="s">
        <v>281</v>
      </c>
      <c r="C256" s="18" t="s">
        <v>7</v>
      </c>
      <c r="D256" s="2" t="s">
        <v>1193</v>
      </c>
      <c r="E256" s="18" t="s">
        <v>70</v>
      </c>
      <c r="F256" s="7" t="n">
        <v>3</v>
      </c>
      <c r="G256" s="7" t="n">
        <v>3</v>
      </c>
    </row>
    <row r="257" customFormat="false" ht="15" hidden="false" customHeight="false" outlineLevel="0" collapsed="false">
      <c r="A257" s="5" t="s">
        <v>295</v>
      </c>
      <c r="B257" s="18" t="s">
        <v>281</v>
      </c>
      <c r="C257" s="18" t="s">
        <v>7</v>
      </c>
      <c r="D257" s="2" t="s">
        <v>1047</v>
      </c>
      <c r="E257" s="18" t="s">
        <v>70</v>
      </c>
      <c r="F257" s="7" t="n">
        <v>0</v>
      </c>
      <c r="G257" s="7" t="n">
        <v>3</v>
      </c>
    </row>
    <row r="258" customFormat="false" ht="15" hidden="false" customHeight="false" outlineLevel="0" collapsed="false">
      <c r="A258" s="5" t="s">
        <v>299</v>
      </c>
      <c r="B258" s="18" t="s">
        <v>281</v>
      </c>
      <c r="C258" s="18" t="s">
        <v>7</v>
      </c>
      <c r="D258" s="2" t="s">
        <v>1194</v>
      </c>
      <c r="E258" s="18" t="s">
        <v>70</v>
      </c>
      <c r="F258" s="7" t="n">
        <v>5</v>
      </c>
      <c r="G258" s="7" t="n">
        <v>4</v>
      </c>
    </row>
    <row r="259" customFormat="false" ht="15" hidden="false" customHeight="false" outlineLevel="0" collapsed="false">
      <c r="A259" s="5" t="s">
        <v>299</v>
      </c>
      <c r="B259" s="18" t="s">
        <v>281</v>
      </c>
      <c r="C259" s="18" t="s">
        <v>7</v>
      </c>
      <c r="D259" s="2" t="s">
        <v>1195</v>
      </c>
      <c r="E259" s="18" t="s">
        <v>70</v>
      </c>
      <c r="F259" s="7" t="n">
        <v>6</v>
      </c>
      <c r="G259" s="7" t="n">
        <v>5</v>
      </c>
    </row>
    <row r="260" customFormat="false" ht="15" hidden="false" customHeight="false" outlineLevel="0" collapsed="false">
      <c r="A260" s="5" t="s">
        <v>299</v>
      </c>
      <c r="B260" s="18" t="s">
        <v>281</v>
      </c>
      <c r="C260" s="18" t="s">
        <v>7</v>
      </c>
      <c r="D260" s="2" t="s">
        <v>1196</v>
      </c>
      <c r="E260" s="18" t="s">
        <v>1018</v>
      </c>
      <c r="F260" s="7" t="n">
        <v>5</v>
      </c>
      <c r="G260" s="7" t="n">
        <v>8</v>
      </c>
    </row>
    <row r="261" customFormat="false" ht="15" hidden="false" customHeight="false" outlineLevel="0" collapsed="false">
      <c r="A261" s="5" t="s">
        <v>303</v>
      </c>
      <c r="B261" s="18" t="s">
        <v>281</v>
      </c>
      <c r="C261" s="18" t="s">
        <v>7</v>
      </c>
      <c r="D261" s="2" t="s">
        <v>1197</v>
      </c>
      <c r="E261" s="18" t="s">
        <v>70</v>
      </c>
      <c r="F261" s="7" t="n">
        <v>6</v>
      </c>
      <c r="G261" s="7" t="n">
        <v>6</v>
      </c>
    </row>
    <row r="262" customFormat="false" ht="15" hidden="false" customHeight="false" outlineLevel="0" collapsed="false">
      <c r="A262" s="5" t="s">
        <v>303</v>
      </c>
      <c r="B262" s="18" t="s">
        <v>281</v>
      </c>
      <c r="C262" s="18" t="s">
        <v>7</v>
      </c>
      <c r="D262" s="2" t="s">
        <v>1047</v>
      </c>
      <c r="E262" s="18" t="s">
        <v>70</v>
      </c>
      <c r="F262" s="7" t="n">
        <v>0</v>
      </c>
      <c r="G262" s="7" t="n">
        <v>2</v>
      </c>
    </row>
    <row r="263" customFormat="false" ht="15" hidden="false" customHeight="false" outlineLevel="0" collapsed="false">
      <c r="A263" s="5" t="s">
        <v>307</v>
      </c>
      <c r="B263" s="18" t="s">
        <v>281</v>
      </c>
      <c r="C263" s="18" t="s">
        <v>7</v>
      </c>
      <c r="D263" s="2" t="s">
        <v>1198</v>
      </c>
      <c r="E263" s="18" t="s">
        <v>70</v>
      </c>
      <c r="F263" s="7" t="n">
        <v>5</v>
      </c>
      <c r="G263" s="7" t="n">
        <v>4</v>
      </c>
    </row>
    <row r="264" customFormat="false" ht="15" hidden="false" customHeight="false" outlineLevel="0" collapsed="false">
      <c r="A264" s="5" t="s">
        <v>307</v>
      </c>
      <c r="B264" s="18" t="s">
        <v>281</v>
      </c>
      <c r="C264" s="18" t="s">
        <v>7</v>
      </c>
      <c r="D264" s="2" t="s">
        <v>1199</v>
      </c>
      <c r="E264" s="18" t="s">
        <v>70</v>
      </c>
      <c r="F264" s="7" t="n">
        <v>7</v>
      </c>
      <c r="G264" s="7" t="n">
        <v>6</v>
      </c>
    </row>
    <row r="265" customFormat="false" ht="15" hidden="false" customHeight="false" outlineLevel="0" collapsed="false">
      <c r="A265" s="5" t="s">
        <v>307</v>
      </c>
      <c r="B265" s="18" t="s">
        <v>281</v>
      </c>
      <c r="C265" s="18" t="s">
        <v>7</v>
      </c>
      <c r="D265" s="2" t="s">
        <v>1200</v>
      </c>
      <c r="E265" s="18" t="s">
        <v>70</v>
      </c>
      <c r="F265" s="7" t="n">
        <v>8</v>
      </c>
      <c r="G265" s="7" t="n">
        <v>7</v>
      </c>
    </row>
    <row r="266" customFormat="false" ht="15" hidden="false" customHeight="false" outlineLevel="0" collapsed="false">
      <c r="A266" s="5" t="s">
        <v>307</v>
      </c>
      <c r="B266" s="18" t="s">
        <v>281</v>
      </c>
      <c r="C266" s="18" t="s">
        <v>7</v>
      </c>
      <c r="D266" s="2" t="s">
        <v>1201</v>
      </c>
      <c r="E266" s="18" t="s">
        <v>1018</v>
      </c>
      <c r="F266" s="7" t="n">
        <v>5</v>
      </c>
      <c r="G266" s="7" t="n">
        <v>10</v>
      </c>
    </row>
    <row r="267" customFormat="false" ht="15" hidden="false" customHeight="false" outlineLevel="0" collapsed="false">
      <c r="A267" s="5" t="s">
        <v>307</v>
      </c>
      <c r="B267" s="18" t="s">
        <v>281</v>
      </c>
      <c r="C267" s="18" t="s">
        <v>7</v>
      </c>
      <c r="D267" s="2" t="s">
        <v>1202</v>
      </c>
      <c r="E267" s="18" t="s">
        <v>1018</v>
      </c>
      <c r="F267" s="7" t="n">
        <v>0</v>
      </c>
      <c r="G267" s="7" t="n">
        <v>3</v>
      </c>
    </row>
    <row r="268" customFormat="false" ht="15" hidden="false" customHeight="false" outlineLevel="0" collapsed="false">
      <c r="A268" s="5" t="s">
        <v>311</v>
      </c>
      <c r="B268" s="18" t="s">
        <v>281</v>
      </c>
      <c r="C268" s="18" t="s">
        <v>7</v>
      </c>
      <c r="D268" s="2" t="s">
        <v>1203</v>
      </c>
      <c r="E268" s="18" t="s">
        <v>70</v>
      </c>
      <c r="F268" s="7" t="n">
        <v>5</v>
      </c>
      <c r="G268" s="7" t="n">
        <v>4</v>
      </c>
    </row>
    <row r="269" customFormat="false" ht="15" hidden="false" customHeight="false" outlineLevel="0" collapsed="false">
      <c r="A269" s="5" t="s">
        <v>311</v>
      </c>
      <c r="B269" s="18" t="s">
        <v>281</v>
      </c>
      <c r="C269" s="18" t="s">
        <v>7</v>
      </c>
      <c r="D269" s="2" t="s">
        <v>1204</v>
      </c>
      <c r="E269" s="18" t="s">
        <v>70</v>
      </c>
      <c r="F269" s="7" t="n">
        <v>7</v>
      </c>
      <c r="G269" s="7" t="n">
        <v>6</v>
      </c>
    </row>
    <row r="270" customFormat="false" ht="15" hidden="false" customHeight="false" outlineLevel="0" collapsed="false">
      <c r="A270" s="5" t="s">
        <v>311</v>
      </c>
      <c r="B270" s="18" t="s">
        <v>281</v>
      </c>
      <c r="C270" s="18" t="s">
        <v>7</v>
      </c>
      <c r="D270" s="2" t="s">
        <v>1205</v>
      </c>
      <c r="E270" s="18" t="s">
        <v>70</v>
      </c>
      <c r="F270" s="7" t="n">
        <v>6</v>
      </c>
      <c r="G270" s="7" t="n">
        <v>5</v>
      </c>
    </row>
    <row r="271" customFormat="false" ht="15" hidden="false" customHeight="false" outlineLevel="0" collapsed="false">
      <c r="A271" s="5" t="s">
        <v>311</v>
      </c>
      <c r="B271" s="18" t="s">
        <v>281</v>
      </c>
      <c r="C271" s="18" t="s">
        <v>7</v>
      </c>
      <c r="D271" s="2" t="s">
        <v>1206</v>
      </c>
      <c r="E271" s="18" t="s">
        <v>70</v>
      </c>
      <c r="F271" s="7" t="n">
        <v>5</v>
      </c>
      <c r="G271" s="7" t="n">
        <v>5</v>
      </c>
    </row>
    <row r="272" customFormat="false" ht="15" hidden="false" customHeight="false" outlineLevel="0" collapsed="false">
      <c r="A272" s="5" t="s">
        <v>311</v>
      </c>
      <c r="B272" s="18" t="s">
        <v>281</v>
      </c>
      <c r="C272" s="18" t="s">
        <v>7</v>
      </c>
      <c r="D272" s="2" t="s">
        <v>1207</v>
      </c>
      <c r="E272" s="18" t="s">
        <v>1018</v>
      </c>
      <c r="F272" s="7" t="n">
        <v>9</v>
      </c>
      <c r="G272" s="7" t="n">
        <v>15</v>
      </c>
    </row>
    <row r="273" customFormat="false" ht="15" hidden="false" customHeight="false" outlineLevel="0" collapsed="false">
      <c r="A273" s="5" t="s">
        <v>311</v>
      </c>
      <c r="B273" s="18" t="s">
        <v>281</v>
      </c>
      <c r="C273" s="18" t="s">
        <v>7</v>
      </c>
      <c r="D273" s="2" t="s">
        <v>1208</v>
      </c>
      <c r="E273" s="18" t="s">
        <v>1018</v>
      </c>
      <c r="F273" s="7" t="n">
        <v>0</v>
      </c>
      <c r="G273" s="7" t="n">
        <v>4</v>
      </c>
    </row>
    <row r="274" customFormat="false" ht="15" hidden="false" customHeight="false" outlineLevel="0" collapsed="false">
      <c r="A274" s="5" t="s">
        <v>316</v>
      </c>
      <c r="B274" s="18" t="s">
        <v>281</v>
      </c>
      <c r="C274" s="18" t="s">
        <v>7</v>
      </c>
      <c r="D274" s="2" t="s">
        <v>1209</v>
      </c>
      <c r="E274" s="18" t="s">
        <v>70</v>
      </c>
      <c r="F274" s="7" t="n">
        <v>5</v>
      </c>
      <c r="G274" s="7" t="n">
        <v>4</v>
      </c>
    </row>
    <row r="275" customFormat="false" ht="15" hidden="false" customHeight="false" outlineLevel="0" collapsed="false">
      <c r="A275" s="5" t="s">
        <v>316</v>
      </c>
      <c r="B275" s="18" t="s">
        <v>281</v>
      </c>
      <c r="C275" s="18" t="s">
        <v>7</v>
      </c>
      <c r="D275" s="2" t="s">
        <v>1210</v>
      </c>
      <c r="E275" s="18" t="s">
        <v>70</v>
      </c>
      <c r="F275" s="7" t="n">
        <v>7</v>
      </c>
      <c r="G275" s="7" t="n">
        <v>6</v>
      </c>
    </row>
    <row r="276" customFormat="false" ht="15" hidden="false" customHeight="false" outlineLevel="0" collapsed="false">
      <c r="A276" s="5" t="s">
        <v>316</v>
      </c>
      <c r="B276" s="18" t="s">
        <v>281</v>
      </c>
      <c r="C276" s="18" t="s">
        <v>7</v>
      </c>
      <c r="D276" s="2" t="s">
        <v>1211</v>
      </c>
      <c r="E276" s="18" t="s">
        <v>1018</v>
      </c>
      <c r="F276" s="7" t="n">
        <v>8</v>
      </c>
      <c r="G276" s="7" t="n">
        <v>12</v>
      </c>
    </row>
    <row r="277" customFormat="false" ht="15" hidden="false" customHeight="false" outlineLevel="0" collapsed="false">
      <c r="A277" s="5" t="s">
        <v>320</v>
      </c>
      <c r="B277" s="18" t="s">
        <v>281</v>
      </c>
      <c r="C277" s="18" t="s">
        <v>7</v>
      </c>
      <c r="D277" s="2" t="s">
        <v>1212</v>
      </c>
      <c r="E277" s="18" t="s">
        <v>70</v>
      </c>
      <c r="F277" s="7" t="n">
        <v>6</v>
      </c>
      <c r="G277" s="7" t="n">
        <v>5</v>
      </c>
    </row>
    <row r="278" customFormat="false" ht="15" hidden="false" customHeight="false" outlineLevel="0" collapsed="false">
      <c r="A278" s="5" t="s">
        <v>320</v>
      </c>
      <c r="B278" s="18" t="s">
        <v>281</v>
      </c>
      <c r="C278" s="18" t="s">
        <v>7</v>
      </c>
      <c r="D278" s="2" t="s">
        <v>1047</v>
      </c>
      <c r="E278" s="18" t="s">
        <v>70</v>
      </c>
      <c r="F278" s="7" t="n">
        <v>0</v>
      </c>
      <c r="G278" s="7" t="n">
        <v>2</v>
      </c>
    </row>
    <row r="279" customFormat="false" ht="15" hidden="false" customHeight="false" outlineLevel="0" collapsed="false">
      <c r="A279" s="5" t="s">
        <v>324</v>
      </c>
      <c r="B279" s="18" t="s">
        <v>281</v>
      </c>
      <c r="C279" s="18" t="s">
        <v>7</v>
      </c>
      <c r="D279" s="2" t="s">
        <v>1213</v>
      </c>
      <c r="E279" s="18" t="s">
        <v>70</v>
      </c>
      <c r="F279" s="7" t="n">
        <v>8</v>
      </c>
      <c r="G279" s="7" t="n">
        <v>7</v>
      </c>
    </row>
    <row r="280" customFormat="false" ht="15" hidden="false" customHeight="false" outlineLevel="0" collapsed="false">
      <c r="A280" s="5" t="s">
        <v>324</v>
      </c>
      <c r="B280" s="18" t="s">
        <v>281</v>
      </c>
      <c r="C280" s="18" t="s">
        <v>7</v>
      </c>
      <c r="D280" s="2" t="s">
        <v>1214</v>
      </c>
      <c r="E280" s="18" t="s">
        <v>70</v>
      </c>
      <c r="F280" s="7" t="n">
        <v>5</v>
      </c>
      <c r="G280" s="7" t="n">
        <v>4</v>
      </c>
    </row>
    <row r="281" customFormat="false" ht="15" hidden="false" customHeight="false" outlineLevel="0" collapsed="false">
      <c r="A281" s="5" t="s">
        <v>324</v>
      </c>
      <c r="B281" s="18" t="s">
        <v>281</v>
      </c>
      <c r="C281" s="18" t="s">
        <v>7</v>
      </c>
      <c r="D281" s="2" t="s">
        <v>1215</v>
      </c>
      <c r="E281" s="18" t="s">
        <v>1018</v>
      </c>
      <c r="F281" s="7" t="n">
        <v>7</v>
      </c>
      <c r="G281" s="7" t="n">
        <v>10</v>
      </c>
    </row>
    <row r="282" customFormat="false" ht="15" hidden="false" customHeight="false" outlineLevel="0" collapsed="false">
      <c r="A282" s="5" t="s">
        <v>328</v>
      </c>
      <c r="B282" s="18" t="s">
        <v>281</v>
      </c>
      <c r="C282" s="18" t="s">
        <v>9</v>
      </c>
      <c r="D282" s="2" t="s">
        <v>159</v>
      </c>
      <c r="E282" s="18" t="s">
        <v>70</v>
      </c>
      <c r="F282" s="7" t="n">
        <v>10</v>
      </c>
      <c r="G282" s="7" t="n">
        <v>10</v>
      </c>
    </row>
    <row r="283" customFormat="false" ht="15" hidden="false" customHeight="false" outlineLevel="0" collapsed="false">
      <c r="A283" s="5" t="s">
        <v>330</v>
      </c>
      <c r="B283" s="18" t="s">
        <v>281</v>
      </c>
      <c r="C283" s="18" t="s">
        <v>9</v>
      </c>
      <c r="D283" s="2" t="s">
        <v>1216</v>
      </c>
      <c r="E283" s="18" t="s">
        <v>1018</v>
      </c>
      <c r="F283" s="7" t="n">
        <v>3</v>
      </c>
      <c r="G283" s="7" t="n">
        <v>3</v>
      </c>
    </row>
    <row r="284" customFormat="false" ht="15" hidden="false" customHeight="false" outlineLevel="0" collapsed="false">
      <c r="A284" s="5" t="s">
        <v>330</v>
      </c>
      <c r="B284" s="18" t="s">
        <v>281</v>
      </c>
      <c r="C284" s="18" t="s">
        <v>9</v>
      </c>
      <c r="D284" s="2" t="s">
        <v>1217</v>
      </c>
      <c r="E284" s="18" t="s">
        <v>1018</v>
      </c>
      <c r="F284" s="7" t="n">
        <v>1</v>
      </c>
      <c r="G284" s="7" t="n">
        <v>1</v>
      </c>
    </row>
    <row r="285" customFormat="false" ht="15" hidden="false" customHeight="false" outlineLevel="0" collapsed="false">
      <c r="A285" s="5" t="s">
        <v>330</v>
      </c>
      <c r="B285" s="18" t="s">
        <v>281</v>
      </c>
      <c r="C285" s="18" t="s">
        <v>9</v>
      </c>
      <c r="D285" s="2" t="s">
        <v>1218</v>
      </c>
      <c r="E285" s="18" t="s">
        <v>1018</v>
      </c>
      <c r="F285" s="7" t="n">
        <v>4</v>
      </c>
      <c r="G285" s="7" t="n">
        <v>5</v>
      </c>
    </row>
    <row r="286" customFormat="false" ht="15" hidden="false" customHeight="false" outlineLevel="0" collapsed="false">
      <c r="A286" s="5" t="s">
        <v>330</v>
      </c>
      <c r="B286" s="18" t="s">
        <v>281</v>
      </c>
      <c r="C286" s="18" t="s">
        <v>9</v>
      </c>
      <c r="D286" s="2" t="s">
        <v>1219</v>
      </c>
      <c r="E286" s="18" t="s">
        <v>70</v>
      </c>
      <c r="F286" s="7" t="n">
        <v>2</v>
      </c>
      <c r="G286" s="7" t="n">
        <v>2</v>
      </c>
    </row>
    <row r="287" customFormat="false" ht="15" hidden="false" customHeight="false" outlineLevel="0" collapsed="false">
      <c r="A287" s="5" t="s">
        <v>330</v>
      </c>
      <c r="B287" s="18" t="s">
        <v>281</v>
      </c>
      <c r="C287" s="18" t="s">
        <v>9</v>
      </c>
      <c r="D287" s="2" t="s">
        <v>1220</v>
      </c>
      <c r="E287" s="18" t="s">
        <v>1018</v>
      </c>
      <c r="F287" s="7" t="n">
        <v>2</v>
      </c>
      <c r="G287" s="7" t="n">
        <v>2</v>
      </c>
    </row>
    <row r="288" customFormat="false" ht="15" hidden="false" customHeight="false" outlineLevel="0" collapsed="false">
      <c r="A288" s="5" t="s">
        <v>330</v>
      </c>
      <c r="B288" s="18" t="s">
        <v>281</v>
      </c>
      <c r="C288" s="18" t="s">
        <v>9</v>
      </c>
      <c r="D288" s="2" t="s">
        <v>1221</v>
      </c>
      <c r="E288" s="18" t="s">
        <v>1018</v>
      </c>
      <c r="F288" s="7" t="n">
        <v>3</v>
      </c>
      <c r="G288" s="7" t="n">
        <v>4</v>
      </c>
    </row>
    <row r="289" customFormat="false" ht="15" hidden="false" customHeight="false" outlineLevel="0" collapsed="false">
      <c r="A289" s="5" t="s">
        <v>330</v>
      </c>
      <c r="B289" s="18" t="s">
        <v>281</v>
      </c>
      <c r="C289" s="18" t="s">
        <v>9</v>
      </c>
      <c r="D289" s="2" t="s">
        <v>1222</v>
      </c>
      <c r="E289" s="18" t="s">
        <v>70</v>
      </c>
      <c r="F289" s="7" t="n">
        <v>3</v>
      </c>
      <c r="G289" s="7" t="n">
        <v>3</v>
      </c>
    </row>
    <row r="290" customFormat="false" ht="15" hidden="false" customHeight="false" outlineLevel="0" collapsed="false">
      <c r="A290" s="5" t="s">
        <v>330</v>
      </c>
      <c r="B290" s="18" t="s">
        <v>281</v>
      </c>
      <c r="C290" s="18" t="s">
        <v>9</v>
      </c>
      <c r="D290" s="2" t="s">
        <v>1223</v>
      </c>
      <c r="E290" s="18" t="s">
        <v>1018</v>
      </c>
      <c r="F290" s="7" t="n">
        <v>3</v>
      </c>
      <c r="G290" s="7" t="n">
        <v>3</v>
      </c>
    </row>
    <row r="291" customFormat="false" ht="15" hidden="false" customHeight="false" outlineLevel="0" collapsed="false">
      <c r="A291" s="5" t="s">
        <v>330</v>
      </c>
      <c r="B291" s="18" t="s">
        <v>281</v>
      </c>
      <c r="C291" s="18" t="s">
        <v>9</v>
      </c>
      <c r="D291" s="2" t="s">
        <v>1224</v>
      </c>
      <c r="E291" s="18" t="s">
        <v>70</v>
      </c>
      <c r="F291" s="7" t="n">
        <v>2</v>
      </c>
      <c r="G291" s="7" t="n">
        <v>2</v>
      </c>
    </row>
    <row r="292" customFormat="false" ht="15" hidden="false" customHeight="false" outlineLevel="0" collapsed="false">
      <c r="A292" s="5" t="s">
        <v>330</v>
      </c>
      <c r="B292" s="18" t="s">
        <v>281</v>
      </c>
      <c r="C292" s="18" t="s">
        <v>9</v>
      </c>
      <c r="D292" s="2" t="s">
        <v>1225</v>
      </c>
      <c r="E292" s="18" t="s">
        <v>1018</v>
      </c>
      <c r="F292" s="7" t="n">
        <v>6</v>
      </c>
      <c r="G292" s="7" t="n">
        <v>6</v>
      </c>
    </row>
    <row r="293" customFormat="false" ht="15" hidden="false" customHeight="false" outlineLevel="0" collapsed="false">
      <c r="A293" s="5" t="s">
        <v>330</v>
      </c>
      <c r="B293" s="18" t="s">
        <v>281</v>
      </c>
      <c r="C293" s="18" t="s">
        <v>9</v>
      </c>
      <c r="D293" s="2" t="s">
        <v>1226</v>
      </c>
      <c r="E293" s="18" t="s">
        <v>70</v>
      </c>
      <c r="F293" s="7" t="n">
        <v>2</v>
      </c>
      <c r="G293" s="7" t="n">
        <v>2</v>
      </c>
    </row>
    <row r="294" customFormat="false" ht="15" hidden="false" customHeight="false" outlineLevel="0" collapsed="false">
      <c r="A294" s="5" t="s">
        <v>330</v>
      </c>
      <c r="B294" s="18" t="s">
        <v>281</v>
      </c>
      <c r="C294" s="18" t="s">
        <v>9</v>
      </c>
      <c r="D294" s="2" t="s">
        <v>1123</v>
      </c>
      <c r="E294" s="18" t="s">
        <v>1018</v>
      </c>
      <c r="F294" s="7" t="n">
        <v>1</v>
      </c>
      <c r="G294" s="7" t="n">
        <v>2</v>
      </c>
    </row>
    <row r="295" customFormat="false" ht="15" hidden="false" customHeight="false" outlineLevel="0" collapsed="false">
      <c r="A295" s="5" t="s">
        <v>330</v>
      </c>
      <c r="B295" s="18" t="s">
        <v>281</v>
      </c>
      <c r="C295" s="18" t="s">
        <v>9</v>
      </c>
      <c r="D295" s="2" t="s">
        <v>1227</v>
      </c>
      <c r="E295" s="18" t="s">
        <v>1018</v>
      </c>
      <c r="F295" s="7" t="n">
        <v>0</v>
      </c>
      <c r="G295" s="7" t="n">
        <v>6</v>
      </c>
    </row>
    <row r="296" customFormat="false" ht="15" hidden="false" customHeight="false" outlineLevel="0" collapsed="false">
      <c r="A296" s="5" t="s">
        <v>335</v>
      </c>
      <c r="B296" s="18" t="s">
        <v>281</v>
      </c>
      <c r="C296" s="18" t="s">
        <v>9</v>
      </c>
      <c r="D296" s="2" t="s">
        <v>1228</v>
      </c>
      <c r="E296" s="18" t="s">
        <v>1018</v>
      </c>
      <c r="F296" s="7" t="n">
        <v>1</v>
      </c>
      <c r="G296" s="7" t="n">
        <v>1</v>
      </c>
    </row>
    <row r="297" customFormat="false" ht="15" hidden="false" customHeight="false" outlineLevel="0" collapsed="false">
      <c r="A297" s="5" t="s">
        <v>335</v>
      </c>
      <c r="B297" s="18" t="s">
        <v>281</v>
      </c>
      <c r="C297" s="18" t="s">
        <v>9</v>
      </c>
      <c r="D297" s="3" t="s">
        <v>1229</v>
      </c>
      <c r="E297" s="18" t="s">
        <v>1018</v>
      </c>
      <c r="F297" s="7" t="n">
        <v>5</v>
      </c>
      <c r="G297" s="7" t="n">
        <v>5</v>
      </c>
    </row>
    <row r="298" customFormat="false" ht="15" hidden="false" customHeight="false" outlineLevel="0" collapsed="false">
      <c r="A298" s="5" t="s">
        <v>335</v>
      </c>
      <c r="B298" s="18" t="s">
        <v>281</v>
      </c>
      <c r="C298" s="18" t="s">
        <v>9</v>
      </c>
      <c r="D298" s="2" t="s">
        <v>1230</v>
      </c>
      <c r="E298" s="18" t="s">
        <v>1018</v>
      </c>
      <c r="F298" s="7" t="n">
        <v>6</v>
      </c>
      <c r="G298" s="7" t="n">
        <v>7</v>
      </c>
    </row>
    <row r="299" customFormat="false" ht="15" hidden="false" customHeight="false" outlineLevel="0" collapsed="false">
      <c r="A299" s="5" t="s">
        <v>335</v>
      </c>
      <c r="B299" s="18" t="s">
        <v>281</v>
      </c>
      <c r="C299" s="18" t="s">
        <v>9</v>
      </c>
      <c r="D299" s="2" t="s">
        <v>1231</v>
      </c>
      <c r="E299" s="18" t="s">
        <v>70</v>
      </c>
      <c r="F299" s="7" t="n">
        <v>3</v>
      </c>
      <c r="G299" s="7" t="n">
        <v>3</v>
      </c>
    </row>
    <row r="300" customFormat="false" ht="15" hidden="false" customHeight="false" outlineLevel="0" collapsed="false">
      <c r="A300" s="5" t="s">
        <v>335</v>
      </c>
      <c r="B300" s="18" t="s">
        <v>281</v>
      </c>
      <c r="C300" s="18" t="s">
        <v>9</v>
      </c>
      <c r="D300" s="2" t="s">
        <v>1232</v>
      </c>
      <c r="E300" s="18" t="s">
        <v>1018</v>
      </c>
      <c r="F300" s="7" t="n">
        <v>5</v>
      </c>
      <c r="G300" s="7" t="n">
        <v>6</v>
      </c>
    </row>
    <row r="301" customFormat="false" ht="15" hidden="false" customHeight="false" outlineLevel="0" collapsed="false">
      <c r="A301" s="5" t="s">
        <v>335</v>
      </c>
      <c r="B301" s="18" t="s">
        <v>281</v>
      </c>
      <c r="C301" s="18" t="s">
        <v>9</v>
      </c>
      <c r="D301" s="2" t="s">
        <v>1233</v>
      </c>
      <c r="E301" s="18" t="s">
        <v>70</v>
      </c>
      <c r="F301" s="7" t="n">
        <v>2</v>
      </c>
      <c r="G301" s="7" t="n">
        <v>2</v>
      </c>
    </row>
    <row r="302" customFormat="false" ht="15" hidden="false" customHeight="false" outlineLevel="0" collapsed="false">
      <c r="A302" s="5" t="s">
        <v>335</v>
      </c>
      <c r="B302" s="18" t="s">
        <v>281</v>
      </c>
      <c r="C302" s="18" t="s">
        <v>9</v>
      </c>
      <c r="D302" s="2" t="s">
        <v>1234</v>
      </c>
      <c r="E302" s="18" t="s">
        <v>1018</v>
      </c>
      <c r="F302" s="7" t="n">
        <v>2</v>
      </c>
      <c r="G302" s="7" t="n">
        <v>2</v>
      </c>
    </row>
    <row r="303" customFormat="false" ht="15" hidden="false" customHeight="false" outlineLevel="0" collapsed="false">
      <c r="A303" s="5" t="s">
        <v>335</v>
      </c>
      <c r="B303" s="18" t="s">
        <v>281</v>
      </c>
      <c r="C303" s="18" t="s">
        <v>9</v>
      </c>
      <c r="D303" s="2" t="s">
        <v>1124</v>
      </c>
      <c r="E303" s="18" t="s">
        <v>1018</v>
      </c>
      <c r="F303" s="7" t="n">
        <v>0</v>
      </c>
      <c r="G303" s="7" t="n">
        <v>4</v>
      </c>
    </row>
    <row r="304" customFormat="false" ht="15" hidden="false" customHeight="false" outlineLevel="0" collapsed="false">
      <c r="A304" s="5" t="s">
        <v>340</v>
      </c>
      <c r="B304" s="18" t="s">
        <v>281</v>
      </c>
      <c r="C304" s="18" t="s">
        <v>9</v>
      </c>
      <c r="D304" s="2" t="s">
        <v>1235</v>
      </c>
      <c r="E304" s="18" t="s">
        <v>70</v>
      </c>
      <c r="F304" s="7" t="n">
        <v>2</v>
      </c>
      <c r="G304" s="7" t="n">
        <v>2</v>
      </c>
    </row>
    <row r="305" customFormat="false" ht="15" hidden="false" customHeight="false" outlineLevel="0" collapsed="false">
      <c r="A305" s="5" t="s">
        <v>340</v>
      </c>
      <c r="B305" s="18" t="s">
        <v>281</v>
      </c>
      <c r="C305" s="18" t="s">
        <v>9</v>
      </c>
      <c r="D305" s="2" t="s">
        <v>1215</v>
      </c>
      <c r="E305" s="18" t="s">
        <v>1018</v>
      </c>
      <c r="F305" s="7" t="n">
        <v>2</v>
      </c>
      <c r="G305" s="7" t="n">
        <v>3</v>
      </c>
    </row>
    <row r="306" customFormat="false" ht="15" hidden="false" customHeight="false" outlineLevel="0" collapsed="false">
      <c r="A306" s="5" t="s">
        <v>340</v>
      </c>
      <c r="B306" s="18" t="s">
        <v>281</v>
      </c>
      <c r="C306" s="18" t="s">
        <v>9</v>
      </c>
      <c r="D306" s="2" t="s">
        <v>1236</v>
      </c>
      <c r="E306" s="18" t="s">
        <v>1018</v>
      </c>
      <c r="F306" s="7" t="n">
        <v>4</v>
      </c>
      <c r="G306" s="7" t="n">
        <v>5</v>
      </c>
    </row>
    <row r="307" customFormat="false" ht="15" hidden="false" customHeight="false" outlineLevel="0" collapsed="false">
      <c r="A307" s="5" t="s">
        <v>340</v>
      </c>
      <c r="B307" s="18" t="s">
        <v>281</v>
      </c>
      <c r="C307" s="18" t="s">
        <v>9</v>
      </c>
      <c r="D307" s="2" t="s">
        <v>1124</v>
      </c>
      <c r="E307" s="18" t="s">
        <v>1018</v>
      </c>
      <c r="F307" s="7" t="n">
        <v>0</v>
      </c>
      <c r="G307" s="7" t="n">
        <v>2</v>
      </c>
    </row>
    <row r="308" customFormat="false" ht="15" hidden="false" customHeight="false" outlineLevel="0" collapsed="false">
      <c r="A308" s="5" t="s">
        <v>343</v>
      </c>
      <c r="B308" s="18" t="s">
        <v>281</v>
      </c>
      <c r="C308" s="18" t="s">
        <v>9</v>
      </c>
      <c r="D308" s="2" t="s">
        <v>1237</v>
      </c>
      <c r="E308" s="18" t="s">
        <v>1018</v>
      </c>
      <c r="F308" s="7" t="n">
        <v>3</v>
      </c>
      <c r="G308" s="7" t="n">
        <v>4</v>
      </c>
    </row>
    <row r="309" customFormat="false" ht="15" hidden="false" customHeight="false" outlineLevel="0" collapsed="false">
      <c r="A309" s="5" t="s">
        <v>343</v>
      </c>
      <c r="B309" s="18" t="s">
        <v>281</v>
      </c>
      <c r="C309" s="18" t="s">
        <v>9</v>
      </c>
      <c r="D309" s="2" t="s">
        <v>1238</v>
      </c>
      <c r="E309" s="18" t="s">
        <v>1018</v>
      </c>
      <c r="F309" s="7" t="n">
        <v>3</v>
      </c>
      <c r="G309" s="7" t="n">
        <v>3</v>
      </c>
    </row>
    <row r="310" customFormat="false" ht="15" hidden="false" customHeight="false" outlineLevel="0" collapsed="false">
      <c r="A310" s="5" t="s">
        <v>343</v>
      </c>
      <c r="B310" s="18" t="s">
        <v>281</v>
      </c>
      <c r="C310" s="18" t="s">
        <v>9</v>
      </c>
      <c r="D310" s="2" t="s">
        <v>1239</v>
      </c>
      <c r="E310" s="18" t="s">
        <v>70</v>
      </c>
      <c r="F310" s="7" t="n">
        <v>2</v>
      </c>
      <c r="G310" s="7" t="n">
        <v>2</v>
      </c>
    </row>
    <row r="311" customFormat="false" ht="15" hidden="false" customHeight="false" outlineLevel="0" collapsed="false">
      <c r="A311" s="5" t="s">
        <v>343</v>
      </c>
      <c r="B311" s="18" t="s">
        <v>281</v>
      </c>
      <c r="C311" s="18" t="s">
        <v>9</v>
      </c>
      <c r="D311" s="2" t="s">
        <v>1223</v>
      </c>
      <c r="E311" s="18" t="s">
        <v>1018</v>
      </c>
      <c r="F311" s="7" t="n">
        <v>2</v>
      </c>
      <c r="G311" s="7" t="n">
        <v>2</v>
      </c>
    </row>
    <row r="312" customFormat="false" ht="15" hidden="false" customHeight="false" outlineLevel="0" collapsed="false">
      <c r="A312" s="5" t="s">
        <v>343</v>
      </c>
      <c r="B312" s="18" t="s">
        <v>281</v>
      </c>
      <c r="C312" s="18" t="s">
        <v>9</v>
      </c>
      <c r="D312" s="2" t="s">
        <v>1240</v>
      </c>
      <c r="E312" s="18" t="s">
        <v>1018</v>
      </c>
      <c r="F312" s="7" t="n">
        <v>5</v>
      </c>
      <c r="G312" s="7" t="n">
        <v>5</v>
      </c>
    </row>
    <row r="313" customFormat="false" ht="15" hidden="false" customHeight="false" outlineLevel="0" collapsed="false">
      <c r="A313" s="5" t="s">
        <v>343</v>
      </c>
      <c r="B313" s="18" t="s">
        <v>281</v>
      </c>
      <c r="C313" s="18" t="s">
        <v>9</v>
      </c>
      <c r="D313" s="2" t="s">
        <v>1124</v>
      </c>
      <c r="E313" s="18" t="s">
        <v>1018</v>
      </c>
      <c r="F313" s="7" t="n">
        <v>0</v>
      </c>
      <c r="G313" s="7" t="n">
        <v>4</v>
      </c>
    </row>
    <row r="314" customFormat="false" ht="15" hidden="false" customHeight="false" outlineLevel="0" collapsed="false">
      <c r="A314" s="5" t="s">
        <v>348</v>
      </c>
      <c r="B314" s="18" t="s">
        <v>281</v>
      </c>
      <c r="C314" s="18" t="s">
        <v>9</v>
      </c>
      <c r="D314" s="2" t="s">
        <v>1241</v>
      </c>
      <c r="E314" s="18" t="s">
        <v>1018</v>
      </c>
      <c r="F314" s="7" t="n">
        <v>5</v>
      </c>
      <c r="G314" s="7" t="n">
        <v>5</v>
      </c>
    </row>
    <row r="315" customFormat="false" ht="15" hidden="false" customHeight="false" outlineLevel="0" collapsed="false">
      <c r="A315" s="5" t="s">
        <v>348</v>
      </c>
      <c r="B315" s="18" t="s">
        <v>281</v>
      </c>
      <c r="C315" s="18" t="s">
        <v>9</v>
      </c>
      <c r="D315" s="2" t="s">
        <v>1242</v>
      </c>
      <c r="E315" s="18" t="s">
        <v>1018</v>
      </c>
      <c r="F315" s="7" t="n">
        <v>6</v>
      </c>
      <c r="G315" s="7" t="n">
        <v>7</v>
      </c>
    </row>
    <row r="316" customFormat="false" ht="15" hidden="false" customHeight="false" outlineLevel="0" collapsed="false">
      <c r="A316" s="5" t="s">
        <v>348</v>
      </c>
      <c r="B316" s="18" t="s">
        <v>281</v>
      </c>
      <c r="C316" s="18" t="s">
        <v>9</v>
      </c>
      <c r="D316" s="2" t="s">
        <v>1243</v>
      </c>
      <c r="E316" s="18" t="s">
        <v>70</v>
      </c>
      <c r="F316" s="7" t="n">
        <v>2</v>
      </c>
      <c r="G316" s="7" t="n">
        <v>2</v>
      </c>
    </row>
    <row r="317" customFormat="false" ht="15" hidden="false" customHeight="false" outlineLevel="0" collapsed="false">
      <c r="A317" s="5" t="s">
        <v>348</v>
      </c>
      <c r="B317" s="18" t="s">
        <v>281</v>
      </c>
      <c r="C317" s="18" t="s">
        <v>9</v>
      </c>
      <c r="D317" s="2" t="s">
        <v>1244</v>
      </c>
      <c r="E317" s="18" t="s">
        <v>1018</v>
      </c>
      <c r="F317" s="7" t="n">
        <v>5</v>
      </c>
      <c r="G317" s="7" t="n">
        <v>5</v>
      </c>
    </row>
    <row r="318" customFormat="false" ht="15" hidden="false" customHeight="false" outlineLevel="0" collapsed="false">
      <c r="A318" s="5" t="s">
        <v>348</v>
      </c>
      <c r="B318" s="18" t="s">
        <v>281</v>
      </c>
      <c r="C318" s="18" t="s">
        <v>9</v>
      </c>
      <c r="D318" s="2" t="s">
        <v>1245</v>
      </c>
      <c r="E318" s="18" t="s">
        <v>70</v>
      </c>
      <c r="F318" s="7" t="n">
        <v>2</v>
      </c>
      <c r="G318" s="7" t="n">
        <v>2</v>
      </c>
    </row>
    <row r="319" customFormat="false" ht="15" hidden="false" customHeight="false" outlineLevel="0" collapsed="false">
      <c r="A319" s="5" t="s">
        <v>348</v>
      </c>
      <c r="B319" s="18" t="s">
        <v>281</v>
      </c>
      <c r="C319" s="18" t="s">
        <v>9</v>
      </c>
      <c r="D319" s="2" t="s">
        <v>1234</v>
      </c>
      <c r="E319" s="18" t="s">
        <v>1018</v>
      </c>
      <c r="F319" s="7" t="n">
        <v>2</v>
      </c>
      <c r="G319" s="7" t="n">
        <v>2</v>
      </c>
    </row>
    <row r="320" customFormat="false" ht="15" hidden="false" customHeight="false" outlineLevel="0" collapsed="false">
      <c r="A320" s="5" t="s">
        <v>348</v>
      </c>
      <c r="B320" s="18" t="s">
        <v>281</v>
      </c>
      <c r="C320" s="18" t="s">
        <v>9</v>
      </c>
      <c r="D320" s="2" t="s">
        <v>1124</v>
      </c>
      <c r="E320" s="18" t="s">
        <v>1018</v>
      </c>
      <c r="F320" s="7" t="n">
        <v>0</v>
      </c>
      <c r="G320" s="7" t="n">
        <v>3</v>
      </c>
    </row>
    <row r="321" customFormat="false" ht="15" hidden="false" customHeight="false" outlineLevel="0" collapsed="false">
      <c r="A321" s="5" t="s">
        <v>352</v>
      </c>
      <c r="B321" s="18" t="s">
        <v>281</v>
      </c>
      <c r="C321" s="18" t="s">
        <v>9</v>
      </c>
      <c r="D321" s="2" t="s">
        <v>1246</v>
      </c>
      <c r="E321" s="18" t="s">
        <v>1018</v>
      </c>
      <c r="F321" s="7" t="n">
        <v>4</v>
      </c>
      <c r="G321" s="7" t="n">
        <v>5</v>
      </c>
    </row>
    <row r="322" customFormat="false" ht="15" hidden="false" customHeight="false" outlineLevel="0" collapsed="false">
      <c r="A322" s="5" t="s">
        <v>356</v>
      </c>
      <c r="B322" s="18" t="s">
        <v>281</v>
      </c>
      <c r="C322" s="18" t="s">
        <v>9</v>
      </c>
      <c r="D322" s="2" t="s">
        <v>1247</v>
      </c>
      <c r="E322" s="18" t="s">
        <v>1018</v>
      </c>
      <c r="F322" s="7" t="n">
        <v>3</v>
      </c>
      <c r="G322" s="7" t="n">
        <v>4</v>
      </c>
    </row>
    <row r="323" customFormat="false" ht="15" hidden="false" customHeight="false" outlineLevel="0" collapsed="false">
      <c r="A323" s="5" t="s">
        <v>356</v>
      </c>
      <c r="B323" s="18" t="s">
        <v>281</v>
      </c>
      <c r="C323" s="18" t="s">
        <v>9</v>
      </c>
      <c r="D323" s="2" t="s">
        <v>1248</v>
      </c>
      <c r="E323" s="18" t="s">
        <v>1018</v>
      </c>
      <c r="F323" s="7" t="n">
        <v>2</v>
      </c>
      <c r="G323" s="7" t="n">
        <v>3</v>
      </c>
    </row>
    <row r="324" customFormat="false" ht="15" hidden="false" customHeight="false" outlineLevel="0" collapsed="false">
      <c r="A324" s="5" t="s">
        <v>356</v>
      </c>
      <c r="B324" s="18" t="s">
        <v>281</v>
      </c>
      <c r="C324" s="18" t="s">
        <v>9</v>
      </c>
      <c r="D324" s="2" t="s">
        <v>1223</v>
      </c>
      <c r="E324" s="18" t="s">
        <v>1018</v>
      </c>
      <c r="F324" s="7" t="n">
        <v>2</v>
      </c>
      <c r="G324" s="7" t="n">
        <v>2</v>
      </c>
    </row>
    <row r="325" customFormat="false" ht="15" hidden="false" customHeight="false" outlineLevel="0" collapsed="false">
      <c r="A325" s="5" t="s">
        <v>356</v>
      </c>
      <c r="B325" s="18" t="s">
        <v>281</v>
      </c>
      <c r="C325" s="18" t="s">
        <v>9</v>
      </c>
      <c r="D325" s="2" t="s">
        <v>1240</v>
      </c>
      <c r="E325" s="18" t="s">
        <v>1018</v>
      </c>
      <c r="F325" s="7" t="n">
        <v>5</v>
      </c>
      <c r="G325" s="7" t="n">
        <v>5</v>
      </c>
    </row>
    <row r="326" customFormat="false" ht="15" hidden="false" customHeight="false" outlineLevel="0" collapsed="false">
      <c r="A326" s="5" t="s">
        <v>356</v>
      </c>
      <c r="B326" s="18" t="s">
        <v>281</v>
      </c>
      <c r="C326" s="18" t="s">
        <v>9</v>
      </c>
      <c r="D326" s="2" t="s">
        <v>1249</v>
      </c>
      <c r="E326" s="18" t="s">
        <v>70</v>
      </c>
      <c r="F326" s="7" t="n">
        <v>2</v>
      </c>
      <c r="G326" s="7" t="n">
        <v>2</v>
      </c>
    </row>
    <row r="327" customFormat="false" ht="15" hidden="false" customHeight="false" outlineLevel="0" collapsed="false">
      <c r="A327" s="5" t="s">
        <v>356</v>
      </c>
      <c r="B327" s="18" t="s">
        <v>281</v>
      </c>
      <c r="C327" s="18" t="s">
        <v>9</v>
      </c>
      <c r="D327" s="2" t="s">
        <v>1124</v>
      </c>
      <c r="E327" s="18" t="s">
        <v>1018</v>
      </c>
      <c r="F327" s="7" t="n">
        <v>0</v>
      </c>
      <c r="G327" s="7" t="n">
        <v>4</v>
      </c>
    </row>
    <row r="328" customFormat="false" ht="15" hidden="false" customHeight="false" outlineLevel="0" collapsed="false">
      <c r="A328" s="5" t="s">
        <v>361</v>
      </c>
      <c r="B328" s="18" t="s">
        <v>281</v>
      </c>
      <c r="C328" s="18" t="s">
        <v>9</v>
      </c>
      <c r="D328" s="2" t="s">
        <v>1250</v>
      </c>
      <c r="E328" s="18" t="s">
        <v>1018</v>
      </c>
      <c r="F328" s="7" t="n">
        <v>4</v>
      </c>
      <c r="G328" s="7" t="n">
        <v>4</v>
      </c>
    </row>
    <row r="329" customFormat="false" ht="15" hidden="false" customHeight="false" outlineLevel="0" collapsed="false">
      <c r="A329" s="5" t="s">
        <v>361</v>
      </c>
      <c r="B329" s="18" t="s">
        <v>281</v>
      </c>
      <c r="C329" s="18" t="s">
        <v>9</v>
      </c>
      <c r="D329" s="2" t="s">
        <v>1251</v>
      </c>
      <c r="E329" s="18" t="s">
        <v>1018</v>
      </c>
      <c r="F329" s="7" t="n">
        <v>6</v>
      </c>
      <c r="G329" s="7" t="n">
        <v>7</v>
      </c>
    </row>
    <row r="330" customFormat="false" ht="15" hidden="false" customHeight="false" outlineLevel="0" collapsed="false">
      <c r="A330" s="5" t="s">
        <v>361</v>
      </c>
      <c r="B330" s="18" t="s">
        <v>281</v>
      </c>
      <c r="C330" s="18" t="s">
        <v>9</v>
      </c>
      <c r="D330" s="2" t="s">
        <v>1252</v>
      </c>
      <c r="E330" s="18" t="s">
        <v>70</v>
      </c>
      <c r="F330" s="7" t="n">
        <v>3</v>
      </c>
      <c r="G330" s="7" t="n">
        <v>3</v>
      </c>
    </row>
    <row r="331" customFormat="false" ht="15" hidden="false" customHeight="false" outlineLevel="0" collapsed="false">
      <c r="A331" s="5" t="s">
        <v>361</v>
      </c>
      <c r="B331" s="18" t="s">
        <v>281</v>
      </c>
      <c r="C331" s="18" t="s">
        <v>9</v>
      </c>
      <c r="D331" s="2" t="s">
        <v>1253</v>
      </c>
      <c r="E331" s="18" t="s">
        <v>1018</v>
      </c>
      <c r="F331" s="7" t="n">
        <v>4</v>
      </c>
      <c r="G331" s="7" t="n">
        <v>4</v>
      </c>
    </row>
    <row r="332" customFormat="false" ht="15" hidden="false" customHeight="false" outlineLevel="0" collapsed="false">
      <c r="A332" s="5" t="s">
        <v>361</v>
      </c>
      <c r="B332" s="18" t="s">
        <v>281</v>
      </c>
      <c r="C332" s="18" t="s">
        <v>9</v>
      </c>
      <c r="D332" s="2" t="s">
        <v>1234</v>
      </c>
      <c r="E332" s="18" t="s">
        <v>1018</v>
      </c>
      <c r="F332" s="7" t="n">
        <v>2</v>
      </c>
      <c r="G332" s="7" t="n">
        <v>2</v>
      </c>
    </row>
    <row r="333" customFormat="false" ht="15" hidden="false" customHeight="false" outlineLevel="0" collapsed="false">
      <c r="A333" s="5" t="s">
        <v>361</v>
      </c>
      <c r="B333" s="18" t="s">
        <v>281</v>
      </c>
      <c r="C333" s="18" t="s">
        <v>9</v>
      </c>
      <c r="D333" s="2" t="s">
        <v>1124</v>
      </c>
      <c r="E333" s="18" t="s">
        <v>1018</v>
      </c>
      <c r="F333" s="7" t="n">
        <v>0</v>
      </c>
      <c r="G333" s="7" t="n">
        <v>3</v>
      </c>
    </row>
    <row r="334" customFormat="false" ht="15" hidden="false" customHeight="false" outlineLevel="0" collapsed="false">
      <c r="A334" s="5" t="s">
        <v>365</v>
      </c>
      <c r="B334" s="18" t="s">
        <v>281</v>
      </c>
      <c r="C334" s="18" t="s">
        <v>9</v>
      </c>
      <c r="D334" s="2" t="s">
        <v>1246</v>
      </c>
      <c r="E334" s="18" t="s">
        <v>1018</v>
      </c>
      <c r="F334" s="7" t="n">
        <v>4</v>
      </c>
      <c r="G334" s="7" t="n">
        <v>5</v>
      </c>
    </row>
    <row r="335" customFormat="false" ht="15" hidden="false" customHeight="false" outlineLevel="0" collapsed="false">
      <c r="A335" s="5" t="s">
        <v>368</v>
      </c>
      <c r="B335" s="18" t="s">
        <v>281</v>
      </c>
      <c r="C335" s="18" t="s">
        <v>9</v>
      </c>
      <c r="D335" s="2" t="s">
        <v>1254</v>
      </c>
      <c r="E335" s="18" t="s">
        <v>1018</v>
      </c>
      <c r="F335" s="7" t="n">
        <v>4</v>
      </c>
      <c r="G335" s="7" t="n">
        <v>4</v>
      </c>
    </row>
    <row r="336" customFormat="false" ht="15" hidden="false" customHeight="false" outlineLevel="0" collapsed="false">
      <c r="A336" s="5" t="s">
        <v>368</v>
      </c>
      <c r="B336" s="18" t="s">
        <v>281</v>
      </c>
      <c r="C336" s="18" t="s">
        <v>9</v>
      </c>
      <c r="D336" s="2" t="s">
        <v>1255</v>
      </c>
      <c r="E336" s="18" t="s">
        <v>70</v>
      </c>
      <c r="F336" s="7" t="n">
        <v>3</v>
      </c>
      <c r="G336" s="7" t="n">
        <v>3</v>
      </c>
    </row>
    <row r="337" customFormat="false" ht="15" hidden="false" customHeight="false" outlineLevel="0" collapsed="false">
      <c r="A337" s="5" t="s">
        <v>368</v>
      </c>
      <c r="B337" s="18" t="s">
        <v>281</v>
      </c>
      <c r="C337" s="18" t="s">
        <v>9</v>
      </c>
      <c r="D337" s="2" t="s">
        <v>1124</v>
      </c>
      <c r="E337" s="18" t="s">
        <v>1018</v>
      </c>
      <c r="F337" s="7" t="n">
        <v>0</v>
      </c>
      <c r="G337" s="7" t="n">
        <v>2</v>
      </c>
    </row>
    <row r="338" customFormat="false" ht="15" hidden="false" customHeight="false" outlineLevel="0" collapsed="false">
      <c r="A338" s="5" t="s">
        <v>372</v>
      </c>
      <c r="B338" s="18" t="s">
        <v>281</v>
      </c>
      <c r="C338" s="18" t="s">
        <v>11</v>
      </c>
      <c r="D338" s="2" t="s">
        <v>1160</v>
      </c>
      <c r="E338" s="18" t="s">
        <v>70</v>
      </c>
      <c r="F338" s="7" t="n">
        <v>4</v>
      </c>
      <c r="G338" s="7" t="n">
        <v>3</v>
      </c>
    </row>
    <row r="339" customFormat="false" ht="15" hidden="false" customHeight="false" outlineLevel="0" collapsed="false">
      <c r="A339" s="5" t="s">
        <v>372</v>
      </c>
      <c r="B339" s="18" t="s">
        <v>281</v>
      </c>
      <c r="C339" s="18" t="s">
        <v>11</v>
      </c>
      <c r="D339" s="2" t="s">
        <v>1161</v>
      </c>
      <c r="E339" s="18" t="s">
        <v>70</v>
      </c>
      <c r="F339" s="7" t="n">
        <v>3</v>
      </c>
      <c r="G339" s="7" t="n">
        <v>3</v>
      </c>
    </row>
    <row r="340" customFormat="false" ht="15" hidden="false" customHeight="false" outlineLevel="0" collapsed="false">
      <c r="A340" s="5" t="s">
        <v>372</v>
      </c>
      <c r="B340" s="18" t="s">
        <v>281</v>
      </c>
      <c r="C340" s="18" t="s">
        <v>11</v>
      </c>
      <c r="D340" s="2" t="s">
        <v>1162</v>
      </c>
      <c r="E340" s="18" t="s">
        <v>1018</v>
      </c>
      <c r="F340" s="7" t="n">
        <v>3</v>
      </c>
      <c r="G340" s="7" t="n">
        <v>3</v>
      </c>
    </row>
    <row r="341" customFormat="false" ht="15" hidden="false" customHeight="false" outlineLevel="0" collapsed="false">
      <c r="A341" s="5" t="s">
        <v>372</v>
      </c>
      <c r="B341" s="18" t="s">
        <v>281</v>
      </c>
      <c r="C341" s="18" t="s">
        <v>11</v>
      </c>
      <c r="D341" s="3" t="s">
        <v>1163</v>
      </c>
      <c r="E341" s="18" t="s">
        <v>1018</v>
      </c>
      <c r="F341" s="7" t="n">
        <v>3</v>
      </c>
      <c r="G341" s="7" t="n">
        <v>3</v>
      </c>
    </row>
    <row r="342" customFormat="false" ht="15" hidden="false" customHeight="false" outlineLevel="0" collapsed="false">
      <c r="A342" s="5" t="s">
        <v>372</v>
      </c>
      <c r="B342" s="18" t="s">
        <v>281</v>
      </c>
      <c r="C342" s="18" t="s">
        <v>11</v>
      </c>
      <c r="D342" s="2" t="s">
        <v>1164</v>
      </c>
      <c r="E342" s="18" t="s">
        <v>1018</v>
      </c>
      <c r="F342" s="7" t="n">
        <v>5</v>
      </c>
      <c r="G342" s="7" t="n">
        <v>4</v>
      </c>
    </row>
    <row r="343" customFormat="false" ht="15" hidden="false" customHeight="false" outlineLevel="0" collapsed="false">
      <c r="A343" s="5" t="s">
        <v>372</v>
      </c>
      <c r="B343" s="18" t="s">
        <v>281</v>
      </c>
      <c r="C343" s="18" t="s">
        <v>11</v>
      </c>
      <c r="D343" s="2" t="s">
        <v>1169</v>
      </c>
      <c r="E343" s="18" t="s">
        <v>1018</v>
      </c>
      <c r="F343" s="7" t="n">
        <v>4</v>
      </c>
      <c r="G343" s="7" t="n">
        <v>3</v>
      </c>
    </row>
    <row r="344" customFormat="false" ht="15" hidden="false" customHeight="false" outlineLevel="0" collapsed="false">
      <c r="A344" s="5" t="s">
        <v>372</v>
      </c>
      <c r="B344" s="18" t="s">
        <v>281</v>
      </c>
      <c r="C344" s="18" t="s">
        <v>11</v>
      </c>
      <c r="D344" s="2" t="s">
        <v>1256</v>
      </c>
      <c r="E344" s="18" t="s">
        <v>1018</v>
      </c>
      <c r="F344" s="7" t="n">
        <v>5</v>
      </c>
      <c r="G344" s="7" t="n">
        <v>5</v>
      </c>
    </row>
    <row r="345" customFormat="false" ht="15" hidden="false" customHeight="false" outlineLevel="0" collapsed="false">
      <c r="A345" s="5" t="s">
        <v>372</v>
      </c>
      <c r="B345" s="18" t="s">
        <v>281</v>
      </c>
      <c r="C345" s="18" t="s">
        <v>11</v>
      </c>
      <c r="D345" s="2" t="s">
        <v>1166</v>
      </c>
      <c r="E345" s="18" t="s">
        <v>1018</v>
      </c>
      <c r="F345" s="7" t="n">
        <v>6</v>
      </c>
      <c r="G345" s="7" t="n">
        <v>12</v>
      </c>
    </row>
    <row r="346" customFormat="false" ht="15" hidden="false" customHeight="false" outlineLevel="0" collapsed="false">
      <c r="A346" s="5" t="s">
        <v>372</v>
      </c>
      <c r="B346" s="18" t="s">
        <v>281</v>
      </c>
      <c r="C346" s="18" t="s">
        <v>11</v>
      </c>
      <c r="D346" s="2" t="s">
        <v>1167</v>
      </c>
      <c r="E346" s="18" t="s">
        <v>1018</v>
      </c>
      <c r="F346" s="7" t="n">
        <v>5</v>
      </c>
      <c r="G346" s="7" t="n">
        <v>8</v>
      </c>
    </row>
    <row r="347" customFormat="false" ht="15" hidden="false" customHeight="false" outlineLevel="0" collapsed="false">
      <c r="A347" s="5" t="s">
        <v>377</v>
      </c>
      <c r="B347" s="18" t="s">
        <v>281</v>
      </c>
      <c r="C347" s="18" t="s">
        <v>11</v>
      </c>
      <c r="D347" s="2" t="s">
        <v>1160</v>
      </c>
      <c r="E347" s="18" t="s">
        <v>70</v>
      </c>
      <c r="F347" s="7" t="n">
        <v>4</v>
      </c>
      <c r="G347" s="7" t="n">
        <v>3</v>
      </c>
    </row>
    <row r="348" customFormat="false" ht="15" hidden="false" customHeight="false" outlineLevel="0" collapsed="false">
      <c r="A348" s="5" t="s">
        <v>377</v>
      </c>
      <c r="B348" s="18" t="s">
        <v>281</v>
      </c>
      <c r="C348" s="18" t="s">
        <v>11</v>
      </c>
      <c r="D348" s="2" t="s">
        <v>1161</v>
      </c>
      <c r="E348" s="18" t="s">
        <v>70</v>
      </c>
      <c r="F348" s="7" t="n">
        <v>3</v>
      </c>
      <c r="G348" s="7" t="n">
        <v>3</v>
      </c>
    </row>
    <row r="349" customFormat="false" ht="15" hidden="false" customHeight="false" outlineLevel="0" collapsed="false">
      <c r="A349" s="5" t="s">
        <v>377</v>
      </c>
      <c r="B349" s="18" t="s">
        <v>281</v>
      </c>
      <c r="C349" s="18" t="s">
        <v>11</v>
      </c>
      <c r="D349" s="2" t="s">
        <v>1162</v>
      </c>
      <c r="E349" s="18" t="s">
        <v>1018</v>
      </c>
      <c r="F349" s="7" t="n">
        <v>3</v>
      </c>
      <c r="G349" s="7" t="n">
        <v>3</v>
      </c>
    </row>
    <row r="350" customFormat="false" ht="15" hidden="false" customHeight="false" outlineLevel="0" collapsed="false">
      <c r="A350" s="5" t="s">
        <v>377</v>
      </c>
      <c r="B350" s="18" t="s">
        <v>281</v>
      </c>
      <c r="C350" s="18" t="s">
        <v>11</v>
      </c>
      <c r="D350" s="3" t="s">
        <v>1163</v>
      </c>
      <c r="E350" s="18" t="s">
        <v>1018</v>
      </c>
      <c r="F350" s="7" t="n">
        <v>3</v>
      </c>
      <c r="G350" s="7" t="n">
        <v>3</v>
      </c>
    </row>
    <row r="351" customFormat="false" ht="15" hidden="false" customHeight="false" outlineLevel="0" collapsed="false">
      <c r="A351" s="5" t="s">
        <v>377</v>
      </c>
      <c r="B351" s="18" t="s">
        <v>281</v>
      </c>
      <c r="C351" s="18" t="s">
        <v>11</v>
      </c>
      <c r="D351" s="2" t="s">
        <v>1164</v>
      </c>
      <c r="E351" s="18" t="s">
        <v>1018</v>
      </c>
      <c r="F351" s="7" t="n">
        <v>5</v>
      </c>
      <c r="G351" s="7" t="n">
        <v>4</v>
      </c>
    </row>
    <row r="352" customFormat="false" ht="15" hidden="false" customHeight="false" outlineLevel="0" collapsed="false">
      <c r="A352" s="5" t="s">
        <v>377</v>
      </c>
      <c r="B352" s="18" t="s">
        <v>281</v>
      </c>
      <c r="C352" s="18" t="s">
        <v>11</v>
      </c>
      <c r="D352" s="2" t="s">
        <v>1257</v>
      </c>
      <c r="E352" s="18" t="s">
        <v>1018</v>
      </c>
      <c r="F352" s="7" t="n">
        <v>4</v>
      </c>
      <c r="G352" s="7" t="n">
        <v>3</v>
      </c>
    </row>
    <row r="353" customFormat="false" ht="15" hidden="false" customHeight="false" outlineLevel="0" collapsed="false">
      <c r="A353" s="5" t="s">
        <v>377</v>
      </c>
      <c r="B353" s="18" t="s">
        <v>281</v>
      </c>
      <c r="C353" s="18" t="s">
        <v>11</v>
      </c>
      <c r="D353" s="2" t="s">
        <v>1166</v>
      </c>
      <c r="E353" s="18" t="s">
        <v>1018</v>
      </c>
      <c r="F353" s="7" t="n">
        <v>6</v>
      </c>
      <c r="G353" s="7" t="n">
        <v>12</v>
      </c>
    </row>
    <row r="354" customFormat="false" ht="15" hidden="false" customHeight="false" outlineLevel="0" collapsed="false">
      <c r="A354" s="5" t="s">
        <v>377</v>
      </c>
      <c r="B354" s="18" t="s">
        <v>281</v>
      </c>
      <c r="C354" s="18" t="s">
        <v>11</v>
      </c>
      <c r="D354" s="2" t="s">
        <v>1167</v>
      </c>
      <c r="E354" s="18" t="s">
        <v>1018</v>
      </c>
      <c r="F354" s="7" t="n">
        <v>5</v>
      </c>
      <c r="G354" s="7" t="n">
        <v>8</v>
      </c>
    </row>
    <row r="355" customFormat="false" ht="15" hidden="false" customHeight="false" outlineLevel="0" collapsed="false">
      <c r="A355" s="5" t="s">
        <v>382</v>
      </c>
      <c r="B355" s="18" t="s">
        <v>281</v>
      </c>
      <c r="C355" s="18" t="s">
        <v>11</v>
      </c>
      <c r="D355" s="2" t="s">
        <v>1160</v>
      </c>
      <c r="E355" s="18" t="s">
        <v>70</v>
      </c>
      <c r="F355" s="7" t="n">
        <v>4</v>
      </c>
      <c r="G355" s="7" t="n">
        <v>3</v>
      </c>
    </row>
    <row r="356" customFormat="false" ht="15" hidden="false" customHeight="false" outlineLevel="0" collapsed="false">
      <c r="A356" s="5" t="s">
        <v>382</v>
      </c>
      <c r="B356" s="18" t="s">
        <v>281</v>
      </c>
      <c r="C356" s="18" t="s">
        <v>11</v>
      </c>
      <c r="D356" s="2" t="s">
        <v>1161</v>
      </c>
      <c r="E356" s="18" t="s">
        <v>70</v>
      </c>
      <c r="F356" s="7" t="n">
        <v>3</v>
      </c>
      <c r="G356" s="7" t="n">
        <v>3</v>
      </c>
    </row>
    <row r="357" customFormat="false" ht="15" hidden="false" customHeight="false" outlineLevel="0" collapsed="false">
      <c r="A357" s="5" t="s">
        <v>382</v>
      </c>
      <c r="B357" s="18" t="s">
        <v>281</v>
      </c>
      <c r="C357" s="18" t="s">
        <v>11</v>
      </c>
      <c r="D357" s="2" t="s">
        <v>1258</v>
      </c>
      <c r="E357" s="18" t="s">
        <v>1018</v>
      </c>
      <c r="F357" s="7" t="n">
        <v>5</v>
      </c>
      <c r="G357" s="7" t="n">
        <v>5</v>
      </c>
    </row>
    <row r="358" customFormat="false" ht="15" hidden="false" customHeight="false" outlineLevel="0" collapsed="false">
      <c r="A358" s="5" t="s">
        <v>382</v>
      </c>
      <c r="B358" s="18" t="s">
        <v>281</v>
      </c>
      <c r="C358" s="18" t="s">
        <v>11</v>
      </c>
      <c r="D358" s="2" t="s">
        <v>1162</v>
      </c>
      <c r="E358" s="18" t="s">
        <v>1018</v>
      </c>
      <c r="F358" s="7" t="n">
        <v>3</v>
      </c>
      <c r="G358" s="7" t="n">
        <v>3</v>
      </c>
    </row>
    <row r="359" customFormat="false" ht="15" hidden="false" customHeight="false" outlineLevel="0" collapsed="false">
      <c r="A359" s="5" t="s">
        <v>382</v>
      </c>
      <c r="B359" s="18" t="s">
        <v>281</v>
      </c>
      <c r="C359" s="18" t="s">
        <v>11</v>
      </c>
      <c r="D359" s="3" t="s">
        <v>1163</v>
      </c>
      <c r="E359" s="18" t="s">
        <v>1018</v>
      </c>
      <c r="F359" s="7" t="n">
        <v>3</v>
      </c>
      <c r="G359" s="7" t="n">
        <v>3</v>
      </c>
    </row>
    <row r="360" customFormat="false" ht="15" hidden="false" customHeight="false" outlineLevel="0" collapsed="false">
      <c r="A360" s="5" t="s">
        <v>382</v>
      </c>
      <c r="B360" s="18" t="s">
        <v>281</v>
      </c>
      <c r="C360" s="18" t="s">
        <v>11</v>
      </c>
      <c r="D360" s="2" t="s">
        <v>1164</v>
      </c>
      <c r="E360" s="18" t="s">
        <v>1018</v>
      </c>
      <c r="F360" s="7" t="n">
        <v>5</v>
      </c>
      <c r="G360" s="7" t="n">
        <v>4</v>
      </c>
    </row>
    <row r="361" customFormat="false" ht="15" hidden="false" customHeight="false" outlineLevel="0" collapsed="false">
      <c r="A361" s="5" t="s">
        <v>382</v>
      </c>
      <c r="B361" s="18" t="s">
        <v>281</v>
      </c>
      <c r="C361" s="18" t="s">
        <v>11</v>
      </c>
      <c r="D361" s="2" t="s">
        <v>1169</v>
      </c>
      <c r="E361" s="18" t="s">
        <v>1018</v>
      </c>
      <c r="F361" s="7" t="n">
        <v>4</v>
      </c>
      <c r="G361" s="7" t="n">
        <v>3</v>
      </c>
    </row>
    <row r="362" customFormat="false" ht="15" hidden="false" customHeight="false" outlineLevel="0" collapsed="false">
      <c r="A362" s="5" t="s">
        <v>382</v>
      </c>
      <c r="B362" s="18" t="s">
        <v>281</v>
      </c>
      <c r="C362" s="18" t="s">
        <v>11</v>
      </c>
      <c r="D362" s="2" t="s">
        <v>1166</v>
      </c>
      <c r="E362" s="18" t="s">
        <v>1018</v>
      </c>
      <c r="F362" s="7" t="n">
        <v>6</v>
      </c>
      <c r="G362" s="7" t="n">
        <v>12</v>
      </c>
    </row>
    <row r="363" customFormat="false" ht="15" hidden="false" customHeight="false" outlineLevel="0" collapsed="false">
      <c r="A363" s="5" t="s">
        <v>382</v>
      </c>
      <c r="B363" s="18" t="s">
        <v>281</v>
      </c>
      <c r="C363" s="18" t="s">
        <v>11</v>
      </c>
      <c r="D363" s="2" t="s">
        <v>1167</v>
      </c>
      <c r="E363" s="18" t="s">
        <v>1018</v>
      </c>
      <c r="F363" s="7" t="n">
        <v>5</v>
      </c>
      <c r="G363" s="7" t="n">
        <v>8</v>
      </c>
    </row>
    <row r="364" customFormat="false" ht="15" hidden="false" customHeight="false" outlineLevel="0" collapsed="false">
      <c r="A364" s="5" t="s">
        <v>387</v>
      </c>
      <c r="B364" s="18" t="s">
        <v>281</v>
      </c>
      <c r="C364" s="18" t="s">
        <v>11</v>
      </c>
      <c r="D364" s="2" t="s">
        <v>1160</v>
      </c>
      <c r="E364" s="18" t="s">
        <v>70</v>
      </c>
      <c r="F364" s="7" t="n">
        <v>4</v>
      </c>
      <c r="G364" s="7" t="n">
        <v>3</v>
      </c>
    </row>
    <row r="365" customFormat="false" ht="15" hidden="false" customHeight="false" outlineLevel="0" collapsed="false">
      <c r="A365" s="5" t="s">
        <v>387</v>
      </c>
      <c r="B365" s="18" t="s">
        <v>281</v>
      </c>
      <c r="C365" s="18" t="s">
        <v>11</v>
      </c>
      <c r="D365" s="2" t="s">
        <v>1161</v>
      </c>
      <c r="E365" s="18" t="s">
        <v>70</v>
      </c>
      <c r="F365" s="7" t="n">
        <v>3</v>
      </c>
      <c r="G365" s="7" t="n">
        <v>3</v>
      </c>
    </row>
    <row r="366" customFormat="false" ht="15" hidden="false" customHeight="false" outlineLevel="0" collapsed="false">
      <c r="A366" s="5" t="s">
        <v>387</v>
      </c>
      <c r="B366" s="18" t="s">
        <v>281</v>
      </c>
      <c r="C366" s="18" t="s">
        <v>11</v>
      </c>
      <c r="D366" s="2" t="s">
        <v>1162</v>
      </c>
      <c r="E366" s="18" t="s">
        <v>1018</v>
      </c>
      <c r="F366" s="7" t="n">
        <v>3</v>
      </c>
      <c r="G366" s="7" t="n">
        <v>3</v>
      </c>
    </row>
    <row r="367" customFormat="false" ht="15" hidden="false" customHeight="false" outlineLevel="0" collapsed="false">
      <c r="A367" s="5" t="s">
        <v>387</v>
      </c>
      <c r="B367" s="18" t="s">
        <v>281</v>
      </c>
      <c r="C367" s="18" t="s">
        <v>11</v>
      </c>
      <c r="D367" s="3" t="s">
        <v>1259</v>
      </c>
      <c r="E367" s="18" t="s">
        <v>1018</v>
      </c>
      <c r="F367" s="7" t="n">
        <v>6</v>
      </c>
      <c r="G367" s="7" t="n">
        <v>6</v>
      </c>
    </row>
    <row r="368" customFormat="false" ht="15" hidden="false" customHeight="false" outlineLevel="0" collapsed="false">
      <c r="A368" s="5" t="s">
        <v>387</v>
      </c>
      <c r="B368" s="18" t="s">
        <v>281</v>
      </c>
      <c r="C368" s="18" t="s">
        <v>11</v>
      </c>
      <c r="D368" s="2" t="s">
        <v>1164</v>
      </c>
      <c r="E368" s="18" t="s">
        <v>1018</v>
      </c>
      <c r="F368" s="7" t="n">
        <v>5</v>
      </c>
      <c r="G368" s="7" t="n">
        <v>4</v>
      </c>
    </row>
    <row r="369" customFormat="false" ht="15" hidden="false" customHeight="false" outlineLevel="0" collapsed="false">
      <c r="A369" s="5" t="s">
        <v>387</v>
      </c>
      <c r="B369" s="18" t="s">
        <v>281</v>
      </c>
      <c r="C369" s="18" t="s">
        <v>11</v>
      </c>
      <c r="D369" s="2" t="s">
        <v>1169</v>
      </c>
      <c r="E369" s="18" t="s">
        <v>1018</v>
      </c>
      <c r="F369" s="7" t="n">
        <v>4</v>
      </c>
      <c r="G369" s="7" t="n">
        <v>3</v>
      </c>
    </row>
    <row r="370" customFormat="false" ht="15" hidden="false" customHeight="false" outlineLevel="0" collapsed="false">
      <c r="A370" s="5" t="s">
        <v>387</v>
      </c>
      <c r="B370" s="18" t="s">
        <v>281</v>
      </c>
      <c r="C370" s="18" t="s">
        <v>11</v>
      </c>
      <c r="D370" s="2" t="s">
        <v>1260</v>
      </c>
      <c r="E370" s="18" t="s">
        <v>1018</v>
      </c>
      <c r="F370" s="7" t="n">
        <v>5</v>
      </c>
      <c r="G370" s="7" t="n">
        <v>5</v>
      </c>
    </row>
    <row r="371" customFormat="false" ht="15" hidden="false" customHeight="false" outlineLevel="0" collapsed="false">
      <c r="A371" s="5" t="s">
        <v>387</v>
      </c>
      <c r="B371" s="18" t="s">
        <v>281</v>
      </c>
      <c r="C371" s="18" t="s">
        <v>11</v>
      </c>
      <c r="D371" s="2" t="s">
        <v>1166</v>
      </c>
      <c r="E371" s="18" t="s">
        <v>1018</v>
      </c>
      <c r="F371" s="7" t="n">
        <v>6</v>
      </c>
      <c r="G371" s="7" t="n">
        <v>12</v>
      </c>
    </row>
    <row r="372" customFormat="false" ht="15" hidden="false" customHeight="false" outlineLevel="0" collapsed="false">
      <c r="A372" s="5" t="s">
        <v>387</v>
      </c>
      <c r="B372" s="18" t="s">
        <v>281</v>
      </c>
      <c r="C372" s="18" t="s">
        <v>11</v>
      </c>
      <c r="D372" s="2" t="s">
        <v>1167</v>
      </c>
      <c r="E372" s="18" t="s">
        <v>1018</v>
      </c>
      <c r="F372" s="7" t="n">
        <v>5</v>
      </c>
      <c r="G372" s="7" t="n">
        <v>8</v>
      </c>
    </row>
    <row r="373" customFormat="false" ht="15" hidden="false" customHeight="false" outlineLevel="0" collapsed="false">
      <c r="A373" s="5" t="s">
        <v>392</v>
      </c>
      <c r="B373" s="18" t="s">
        <v>281</v>
      </c>
      <c r="C373" s="18" t="s">
        <v>11</v>
      </c>
      <c r="D373" s="2" t="s">
        <v>1160</v>
      </c>
      <c r="E373" s="18" t="s">
        <v>70</v>
      </c>
      <c r="F373" s="7" t="n">
        <v>4</v>
      </c>
      <c r="G373" s="7" t="n">
        <v>3</v>
      </c>
    </row>
    <row r="374" customFormat="false" ht="15" hidden="false" customHeight="false" outlineLevel="0" collapsed="false">
      <c r="A374" s="5" t="s">
        <v>392</v>
      </c>
      <c r="B374" s="18" t="s">
        <v>281</v>
      </c>
      <c r="C374" s="18" t="s">
        <v>11</v>
      </c>
      <c r="D374" s="2" t="s">
        <v>1161</v>
      </c>
      <c r="E374" s="18" t="s">
        <v>70</v>
      </c>
      <c r="F374" s="7" t="n">
        <v>3</v>
      </c>
      <c r="G374" s="7" t="n">
        <v>3</v>
      </c>
    </row>
    <row r="375" customFormat="false" ht="15" hidden="false" customHeight="false" outlineLevel="0" collapsed="false">
      <c r="A375" s="5" t="s">
        <v>392</v>
      </c>
      <c r="B375" s="18" t="s">
        <v>281</v>
      </c>
      <c r="C375" s="18" t="s">
        <v>11</v>
      </c>
      <c r="D375" s="2" t="s">
        <v>1162</v>
      </c>
      <c r="E375" s="18" t="s">
        <v>1018</v>
      </c>
      <c r="F375" s="7" t="n">
        <v>3</v>
      </c>
      <c r="G375" s="7" t="n">
        <v>3</v>
      </c>
    </row>
    <row r="376" customFormat="false" ht="15" hidden="false" customHeight="false" outlineLevel="0" collapsed="false">
      <c r="A376" s="5" t="s">
        <v>392</v>
      </c>
      <c r="B376" s="18" t="s">
        <v>281</v>
      </c>
      <c r="C376" s="18" t="s">
        <v>11</v>
      </c>
      <c r="D376" s="3" t="s">
        <v>1163</v>
      </c>
      <c r="E376" s="18" t="s">
        <v>1018</v>
      </c>
      <c r="F376" s="7" t="n">
        <v>3</v>
      </c>
      <c r="G376" s="7" t="n">
        <v>3</v>
      </c>
    </row>
    <row r="377" customFormat="false" ht="15" hidden="false" customHeight="false" outlineLevel="0" collapsed="false">
      <c r="A377" s="5" t="s">
        <v>392</v>
      </c>
      <c r="B377" s="18" t="s">
        <v>281</v>
      </c>
      <c r="C377" s="18" t="s">
        <v>11</v>
      </c>
      <c r="D377" s="2" t="s">
        <v>1261</v>
      </c>
      <c r="E377" s="18" t="s">
        <v>1018</v>
      </c>
      <c r="F377" s="7" t="n">
        <v>3</v>
      </c>
      <c r="G377" s="7" t="n">
        <v>3</v>
      </c>
    </row>
    <row r="378" customFormat="false" ht="15" hidden="false" customHeight="false" outlineLevel="0" collapsed="false">
      <c r="A378" s="5" t="s">
        <v>392</v>
      </c>
      <c r="B378" s="18" t="s">
        <v>281</v>
      </c>
      <c r="C378" s="18" t="s">
        <v>11</v>
      </c>
      <c r="D378" s="2" t="s">
        <v>1262</v>
      </c>
      <c r="E378" s="18" t="s">
        <v>1018</v>
      </c>
      <c r="F378" s="7" t="n">
        <v>6</v>
      </c>
      <c r="G378" s="7" t="n">
        <v>5</v>
      </c>
    </row>
    <row r="379" customFormat="false" ht="15" hidden="false" customHeight="false" outlineLevel="0" collapsed="false">
      <c r="A379" s="5" t="s">
        <v>392</v>
      </c>
      <c r="B379" s="18" t="s">
        <v>281</v>
      </c>
      <c r="C379" s="18" t="s">
        <v>11</v>
      </c>
      <c r="D379" s="2" t="s">
        <v>1166</v>
      </c>
      <c r="E379" s="18" t="s">
        <v>1018</v>
      </c>
      <c r="F379" s="7" t="n">
        <v>6</v>
      </c>
      <c r="G379" s="7" t="n">
        <v>12</v>
      </c>
    </row>
    <row r="380" customFormat="false" ht="15" hidden="false" customHeight="false" outlineLevel="0" collapsed="false">
      <c r="A380" s="5" t="s">
        <v>392</v>
      </c>
      <c r="B380" s="18" t="s">
        <v>281</v>
      </c>
      <c r="C380" s="18" t="s">
        <v>11</v>
      </c>
      <c r="D380" s="2" t="s">
        <v>1167</v>
      </c>
      <c r="E380" s="18" t="s">
        <v>1018</v>
      </c>
      <c r="F380" s="7" t="n">
        <v>5</v>
      </c>
      <c r="G380" s="7" t="n">
        <v>8</v>
      </c>
    </row>
    <row r="381" customFormat="false" ht="15" hidden="false" customHeight="false" outlineLevel="0" collapsed="false">
      <c r="A381" s="5" t="s">
        <v>397</v>
      </c>
      <c r="B381" s="18" t="s">
        <v>281</v>
      </c>
      <c r="C381" s="18" t="s">
        <v>11</v>
      </c>
      <c r="D381" s="2" t="s">
        <v>1160</v>
      </c>
      <c r="E381" s="18" t="s">
        <v>70</v>
      </c>
      <c r="F381" s="7" t="n">
        <v>4</v>
      </c>
      <c r="G381" s="7" t="n">
        <v>3</v>
      </c>
    </row>
    <row r="382" customFormat="false" ht="15" hidden="false" customHeight="false" outlineLevel="0" collapsed="false">
      <c r="A382" s="5" t="s">
        <v>397</v>
      </c>
      <c r="B382" s="18" t="s">
        <v>281</v>
      </c>
      <c r="C382" s="18" t="s">
        <v>11</v>
      </c>
      <c r="D382" s="2" t="s">
        <v>1161</v>
      </c>
      <c r="E382" s="18" t="s">
        <v>70</v>
      </c>
      <c r="F382" s="7" t="n">
        <v>4</v>
      </c>
      <c r="G382" s="7" t="n">
        <v>4</v>
      </c>
    </row>
    <row r="383" customFormat="false" ht="15" hidden="false" customHeight="false" outlineLevel="0" collapsed="false">
      <c r="A383" s="5" t="s">
        <v>397</v>
      </c>
      <c r="B383" s="18" t="s">
        <v>281</v>
      </c>
      <c r="C383" s="18" t="s">
        <v>11</v>
      </c>
      <c r="D383" s="2" t="s">
        <v>1162</v>
      </c>
      <c r="E383" s="18" t="s">
        <v>1018</v>
      </c>
      <c r="F383" s="7" t="n">
        <v>3</v>
      </c>
      <c r="G383" s="7" t="n">
        <v>3</v>
      </c>
    </row>
    <row r="384" customFormat="false" ht="15" hidden="false" customHeight="false" outlineLevel="0" collapsed="false">
      <c r="A384" s="5" t="s">
        <v>397</v>
      </c>
      <c r="B384" s="18" t="s">
        <v>281</v>
      </c>
      <c r="C384" s="18" t="s">
        <v>11</v>
      </c>
      <c r="D384" s="3" t="s">
        <v>1163</v>
      </c>
      <c r="E384" s="18" t="s">
        <v>1018</v>
      </c>
      <c r="F384" s="7" t="n">
        <v>3</v>
      </c>
      <c r="G384" s="7" t="n">
        <v>3</v>
      </c>
    </row>
    <row r="385" customFormat="false" ht="15" hidden="false" customHeight="false" outlineLevel="0" collapsed="false">
      <c r="A385" s="5" t="s">
        <v>397</v>
      </c>
      <c r="B385" s="18" t="s">
        <v>281</v>
      </c>
      <c r="C385" s="18" t="s">
        <v>11</v>
      </c>
      <c r="D385" s="2" t="s">
        <v>1164</v>
      </c>
      <c r="E385" s="18" t="s">
        <v>1018</v>
      </c>
      <c r="F385" s="7" t="n">
        <v>5</v>
      </c>
      <c r="G385" s="7" t="n">
        <v>4</v>
      </c>
    </row>
    <row r="386" customFormat="false" ht="15" hidden="false" customHeight="false" outlineLevel="0" collapsed="false">
      <c r="A386" s="5" t="s">
        <v>397</v>
      </c>
      <c r="B386" s="18" t="s">
        <v>281</v>
      </c>
      <c r="C386" s="18" t="s">
        <v>11</v>
      </c>
      <c r="D386" s="2" t="s">
        <v>1263</v>
      </c>
      <c r="E386" s="18" t="s">
        <v>1018</v>
      </c>
      <c r="F386" s="7" t="n">
        <v>5</v>
      </c>
      <c r="G386" s="7" t="n">
        <v>4</v>
      </c>
    </row>
    <row r="387" customFormat="false" ht="15" hidden="false" customHeight="false" outlineLevel="0" collapsed="false">
      <c r="A387" s="5" t="s">
        <v>397</v>
      </c>
      <c r="B387" s="18" t="s">
        <v>281</v>
      </c>
      <c r="C387" s="18" t="s">
        <v>11</v>
      </c>
      <c r="D387" s="2" t="s">
        <v>1166</v>
      </c>
      <c r="E387" s="18" t="s">
        <v>1018</v>
      </c>
      <c r="F387" s="7" t="n">
        <v>6</v>
      </c>
      <c r="G387" s="7" t="n">
        <v>12</v>
      </c>
    </row>
    <row r="388" customFormat="false" ht="15" hidden="false" customHeight="false" outlineLevel="0" collapsed="false">
      <c r="A388" s="5" t="s">
        <v>397</v>
      </c>
      <c r="B388" s="18" t="s">
        <v>281</v>
      </c>
      <c r="C388" s="18" t="s">
        <v>11</v>
      </c>
      <c r="D388" s="2" t="s">
        <v>1167</v>
      </c>
      <c r="E388" s="18" t="s">
        <v>1018</v>
      </c>
      <c r="F388" s="7" t="n">
        <v>5</v>
      </c>
      <c r="G388" s="7" t="n">
        <v>8</v>
      </c>
    </row>
    <row r="389" customFormat="false" ht="15" hidden="false" customHeight="false" outlineLevel="0" collapsed="false">
      <c r="A389" s="5" t="s">
        <v>402</v>
      </c>
      <c r="B389" s="18" t="s">
        <v>281</v>
      </c>
      <c r="C389" s="18" t="s">
        <v>11</v>
      </c>
      <c r="D389" s="2" t="s">
        <v>1160</v>
      </c>
      <c r="E389" s="18" t="s">
        <v>70</v>
      </c>
      <c r="F389" s="7" t="n">
        <v>4</v>
      </c>
      <c r="G389" s="7" t="n">
        <v>3</v>
      </c>
    </row>
    <row r="390" customFormat="false" ht="15" hidden="false" customHeight="false" outlineLevel="0" collapsed="false">
      <c r="A390" s="5" t="s">
        <v>402</v>
      </c>
      <c r="B390" s="18" t="s">
        <v>281</v>
      </c>
      <c r="C390" s="18" t="s">
        <v>11</v>
      </c>
      <c r="D390" s="2" t="s">
        <v>1161</v>
      </c>
      <c r="E390" s="18" t="s">
        <v>70</v>
      </c>
      <c r="F390" s="7" t="n">
        <v>3</v>
      </c>
      <c r="G390" s="7" t="n">
        <v>3</v>
      </c>
    </row>
    <row r="391" customFormat="false" ht="15" hidden="false" customHeight="false" outlineLevel="0" collapsed="false">
      <c r="A391" s="5" t="s">
        <v>402</v>
      </c>
      <c r="B391" s="18" t="s">
        <v>281</v>
      </c>
      <c r="C391" s="18" t="s">
        <v>11</v>
      </c>
      <c r="D391" s="2" t="s">
        <v>1162</v>
      </c>
      <c r="E391" s="18" t="s">
        <v>1018</v>
      </c>
      <c r="F391" s="7" t="n">
        <v>3</v>
      </c>
      <c r="G391" s="7" t="n">
        <v>3</v>
      </c>
    </row>
    <row r="392" customFormat="false" ht="15" hidden="false" customHeight="false" outlineLevel="0" collapsed="false">
      <c r="A392" s="5" t="s">
        <v>402</v>
      </c>
      <c r="B392" s="18" t="s">
        <v>281</v>
      </c>
      <c r="C392" s="18" t="s">
        <v>11</v>
      </c>
      <c r="D392" s="3" t="s">
        <v>1163</v>
      </c>
      <c r="E392" s="18" t="s">
        <v>1018</v>
      </c>
      <c r="F392" s="7" t="n">
        <v>3</v>
      </c>
      <c r="G392" s="7" t="n">
        <v>3</v>
      </c>
    </row>
    <row r="393" customFormat="false" ht="15" hidden="false" customHeight="false" outlineLevel="0" collapsed="false">
      <c r="A393" s="5" t="s">
        <v>402</v>
      </c>
      <c r="B393" s="18" t="s">
        <v>281</v>
      </c>
      <c r="C393" s="18" t="s">
        <v>11</v>
      </c>
      <c r="D393" s="2" t="s">
        <v>1164</v>
      </c>
      <c r="E393" s="18" t="s">
        <v>1018</v>
      </c>
      <c r="F393" s="7" t="n">
        <v>5</v>
      </c>
      <c r="G393" s="7" t="n">
        <v>4</v>
      </c>
    </row>
    <row r="394" customFormat="false" ht="15" hidden="false" customHeight="false" outlineLevel="0" collapsed="false">
      <c r="A394" s="5" t="s">
        <v>402</v>
      </c>
      <c r="B394" s="18" t="s">
        <v>281</v>
      </c>
      <c r="C394" s="18" t="s">
        <v>11</v>
      </c>
      <c r="D394" s="2" t="s">
        <v>1264</v>
      </c>
      <c r="E394" s="18" t="s">
        <v>1018</v>
      </c>
      <c r="F394" s="7" t="n">
        <v>4</v>
      </c>
      <c r="G394" s="7" t="n">
        <v>3</v>
      </c>
    </row>
    <row r="395" customFormat="false" ht="15" hidden="false" customHeight="false" outlineLevel="0" collapsed="false">
      <c r="A395" s="5" t="s">
        <v>402</v>
      </c>
      <c r="B395" s="18" t="s">
        <v>281</v>
      </c>
      <c r="C395" s="18" t="s">
        <v>11</v>
      </c>
      <c r="D395" s="2" t="s">
        <v>1166</v>
      </c>
      <c r="E395" s="18" t="s">
        <v>1018</v>
      </c>
      <c r="F395" s="7" t="n">
        <v>6</v>
      </c>
      <c r="G395" s="7" t="n">
        <v>12</v>
      </c>
    </row>
    <row r="396" customFormat="false" ht="15" hidden="false" customHeight="false" outlineLevel="0" collapsed="false">
      <c r="A396" s="5" t="s">
        <v>402</v>
      </c>
      <c r="B396" s="18" t="s">
        <v>281</v>
      </c>
      <c r="C396" s="18" t="s">
        <v>11</v>
      </c>
      <c r="D396" s="2" t="s">
        <v>1167</v>
      </c>
      <c r="E396" s="18" t="s">
        <v>1018</v>
      </c>
      <c r="F396" s="7" t="n">
        <v>5</v>
      </c>
      <c r="G396" s="7" t="n">
        <v>8</v>
      </c>
    </row>
    <row r="397" customFormat="false" ht="15" hidden="false" customHeight="false" outlineLevel="0" collapsed="false">
      <c r="A397" s="5" t="s">
        <v>407</v>
      </c>
      <c r="B397" s="18" t="s">
        <v>281</v>
      </c>
      <c r="C397" s="18" t="s">
        <v>11</v>
      </c>
      <c r="D397" s="2" t="s">
        <v>1160</v>
      </c>
      <c r="E397" s="18" t="s">
        <v>70</v>
      </c>
      <c r="F397" s="7" t="n">
        <v>4</v>
      </c>
      <c r="G397" s="7" t="n">
        <v>3</v>
      </c>
    </row>
    <row r="398" customFormat="false" ht="15" hidden="false" customHeight="false" outlineLevel="0" collapsed="false">
      <c r="A398" s="5" t="s">
        <v>407</v>
      </c>
      <c r="B398" s="18" t="s">
        <v>281</v>
      </c>
      <c r="C398" s="18" t="s">
        <v>11</v>
      </c>
      <c r="D398" s="2" t="s">
        <v>1161</v>
      </c>
      <c r="E398" s="18" t="s">
        <v>70</v>
      </c>
      <c r="F398" s="7" t="n">
        <v>3</v>
      </c>
      <c r="G398" s="7" t="n">
        <v>3</v>
      </c>
    </row>
    <row r="399" customFormat="false" ht="15" hidden="false" customHeight="false" outlineLevel="0" collapsed="false">
      <c r="A399" s="5" t="s">
        <v>407</v>
      </c>
      <c r="B399" s="18" t="s">
        <v>281</v>
      </c>
      <c r="C399" s="18" t="s">
        <v>11</v>
      </c>
      <c r="D399" s="2" t="s">
        <v>1162</v>
      </c>
      <c r="E399" s="18" t="s">
        <v>1018</v>
      </c>
      <c r="F399" s="7" t="n">
        <v>3</v>
      </c>
      <c r="G399" s="7" t="n">
        <v>3</v>
      </c>
    </row>
    <row r="400" customFormat="false" ht="15" hidden="false" customHeight="false" outlineLevel="0" collapsed="false">
      <c r="A400" s="5" t="s">
        <v>407</v>
      </c>
      <c r="B400" s="18" t="s">
        <v>281</v>
      </c>
      <c r="C400" s="18" t="s">
        <v>11</v>
      </c>
      <c r="D400" s="3" t="s">
        <v>1163</v>
      </c>
      <c r="E400" s="18" t="s">
        <v>1018</v>
      </c>
      <c r="F400" s="7" t="n">
        <v>3</v>
      </c>
      <c r="G400" s="7" t="n">
        <v>3</v>
      </c>
    </row>
    <row r="401" customFormat="false" ht="15" hidden="false" customHeight="false" outlineLevel="0" collapsed="false">
      <c r="A401" s="5" t="s">
        <v>407</v>
      </c>
      <c r="B401" s="18" t="s">
        <v>281</v>
      </c>
      <c r="C401" s="18" t="s">
        <v>11</v>
      </c>
      <c r="D401" s="2" t="s">
        <v>1265</v>
      </c>
      <c r="E401" s="18" t="s">
        <v>1018</v>
      </c>
      <c r="F401" s="7" t="n">
        <v>4</v>
      </c>
      <c r="G401" s="7" t="n">
        <v>4</v>
      </c>
    </row>
    <row r="402" customFormat="false" ht="15" hidden="false" customHeight="false" outlineLevel="0" collapsed="false">
      <c r="A402" s="5" t="s">
        <v>407</v>
      </c>
      <c r="B402" s="18" t="s">
        <v>281</v>
      </c>
      <c r="C402" s="18" t="s">
        <v>11</v>
      </c>
      <c r="D402" s="2" t="s">
        <v>1164</v>
      </c>
      <c r="E402" s="18" t="s">
        <v>1018</v>
      </c>
      <c r="F402" s="7" t="n">
        <v>5</v>
      </c>
      <c r="G402" s="7" t="n">
        <v>4</v>
      </c>
    </row>
    <row r="403" customFormat="false" ht="15" hidden="false" customHeight="false" outlineLevel="0" collapsed="false">
      <c r="A403" s="5" t="s">
        <v>407</v>
      </c>
      <c r="B403" s="18" t="s">
        <v>281</v>
      </c>
      <c r="C403" s="18" t="s">
        <v>11</v>
      </c>
      <c r="D403" s="2" t="s">
        <v>1169</v>
      </c>
      <c r="E403" s="18" t="s">
        <v>1018</v>
      </c>
      <c r="F403" s="7" t="n">
        <v>4</v>
      </c>
      <c r="G403" s="7" t="n">
        <v>3</v>
      </c>
    </row>
    <row r="404" customFormat="false" ht="15" hidden="false" customHeight="false" outlineLevel="0" collapsed="false">
      <c r="A404" s="5" t="s">
        <v>407</v>
      </c>
      <c r="B404" s="18" t="s">
        <v>281</v>
      </c>
      <c r="C404" s="18" t="s">
        <v>11</v>
      </c>
      <c r="D404" s="2" t="s">
        <v>1166</v>
      </c>
      <c r="E404" s="18" t="s">
        <v>1018</v>
      </c>
      <c r="F404" s="7" t="n">
        <v>6</v>
      </c>
      <c r="G404" s="7" t="n">
        <v>12</v>
      </c>
    </row>
    <row r="405" customFormat="false" ht="15" hidden="false" customHeight="false" outlineLevel="0" collapsed="false">
      <c r="A405" s="5" t="s">
        <v>407</v>
      </c>
      <c r="B405" s="18" t="s">
        <v>281</v>
      </c>
      <c r="C405" s="18" t="s">
        <v>11</v>
      </c>
      <c r="D405" s="2" t="s">
        <v>1167</v>
      </c>
      <c r="E405" s="18" t="s">
        <v>1018</v>
      </c>
      <c r="F405" s="7" t="n">
        <v>5</v>
      </c>
      <c r="G405" s="7" t="n">
        <v>8</v>
      </c>
    </row>
    <row r="406" customFormat="false" ht="15" hidden="false" customHeight="false" outlineLevel="0" collapsed="false">
      <c r="A406" s="5" t="s">
        <v>412</v>
      </c>
      <c r="B406" s="18" t="s">
        <v>281</v>
      </c>
      <c r="C406" s="18" t="s">
        <v>11</v>
      </c>
      <c r="D406" s="2" t="s">
        <v>1176</v>
      </c>
      <c r="E406" s="18" t="s">
        <v>70</v>
      </c>
      <c r="F406" s="7" t="n">
        <v>5</v>
      </c>
      <c r="G406" s="7" t="n">
        <v>5</v>
      </c>
    </row>
    <row r="407" customFormat="false" ht="15" hidden="false" customHeight="false" outlineLevel="0" collapsed="false">
      <c r="A407" s="5" t="s">
        <v>412</v>
      </c>
      <c r="B407" s="18" t="s">
        <v>281</v>
      </c>
      <c r="C407" s="18" t="s">
        <v>11</v>
      </c>
      <c r="D407" s="2" t="s">
        <v>1177</v>
      </c>
      <c r="E407" s="18" t="s">
        <v>1018</v>
      </c>
      <c r="F407" s="7" t="n">
        <v>3</v>
      </c>
      <c r="G407" s="7" t="n">
        <v>5</v>
      </c>
    </row>
    <row r="408" customFormat="false" ht="15" hidden="false" customHeight="false" outlineLevel="0" collapsed="false">
      <c r="A408" s="5" t="s">
        <v>416</v>
      </c>
      <c r="B408" s="5" t="s">
        <v>415</v>
      </c>
      <c r="C408" s="18" t="s">
        <v>7</v>
      </c>
      <c r="D408" s="2" t="s">
        <v>1042</v>
      </c>
      <c r="E408" s="18" t="s">
        <v>70</v>
      </c>
      <c r="F408" s="7" t="n">
        <v>5</v>
      </c>
      <c r="G408" s="7" t="n">
        <v>4</v>
      </c>
    </row>
    <row r="409" customFormat="false" ht="15" hidden="false" customHeight="false" outlineLevel="0" collapsed="false">
      <c r="A409" s="5" t="s">
        <v>416</v>
      </c>
      <c r="B409" s="5" t="s">
        <v>415</v>
      </c>
      <c r="C409" s="18" t="s">
        <v>7</v>
      </c>
      <c r="D409" s="2" t="s">
        <v>1266</v>
      </c>
      <c r="E409" s="18" t="s">
        <v>70</v>
      </c>
      <c r="F409" s="7" t="n">
        <v>4</v>
      </c>
      <c r="G409" s="7" t="n">
        <v>4</v>
      </c>
    </row>
    <row r="410" customFormat="false" ht="15" hidden="false" customHeight="false" outlineLevel="0" collapsed="false">
      <c r="A410" s="5" t="s">
        <v>416</v>
      </c>
      <c r="B410" s="5" t="s">
        <v>415</v>
      </c>
      <c r="C410" s="18" t="s">
        <v>7</v>
      </c>
      <c r="D410" s="2" t="s">
        <v>1267</v>
      </c>
      <c r="E410" s="18" t="s">
        <v>70</v>
      </c>
      <c r="F410" s="7" t="n">
        <v>5</v>
      </c>
      <c r="G410" s="7" t="n">
        <v>6</v>
      </c>
    </row>
    <row r="411" customFormat="false" ht="15" hidden="false" customHeight="false" outlineLevel="0" collapsed="false">
      <c r="A411" s="5" t="s">
        <v>416</v>
      </c>
      <c r="B411" s="5" t="s">
        <v>415</v>
      </c>
      <c r="C411" s="18" t="s">
        <v>7</v>
      </c>
      <c r="D411" s="2" t="s">
        <v>1268</v>
      </c>
      <c r="E411" s="18" t="s">
        <v>70</v>
      </c>
      <c r="F411" s="7" t="n">
        <v>5</v>
      </c>
      <c r="G411" s="7" t="n">
        <v>6</v>
      </c>
    </row>
    <row r="412" customFormat="false" ht="15" hidden="false" customHeight="false" outlineLevel="0" collapsed="false">
      <c r="A412" s="5" t="s">
        <v>416</v>
      </c>
      <c r="B412" s="5" t="s">
        <v>415</v>
      </c>
      <c r="C412" s="18" t="s">
        <v>7</v>
      </c>
      <c r="D412" s="2" t="s">
        <v>1047</v>
      </c>
      <c r="E412" s="18" t="s">
        <v>70</v>
      </c>
      <c r="F412" s="7" t="n">
        <v>0</v>
      </c>
      <c r="G412" s="7" t="n">
        <v>3</v>
      </c>
    </row>
    <row r="413" customFormat="false" ht="15" hidden="false" customHeight="false" outlineLevel="0" collapsed="false">
      <c r="A413" s="5" t="s">
        <v>420</v>
      </c>
      <c r="B413" s="5" t="s">
        <v>415</v>
      </c>
      <c r="C413" s="18" t="s">
        <v>7</v>
      </c>
      <c r="D413" s="3" t="s">
        <v>1269</v>
      </c>
      <c r="E413" s="18" t="s">
        <v>1018</v>
      </c>
      <c r="F413" s="7" t="n">
        <v>9</v>
      </c>
      <c r="G413" s="7" t="n">
        <v>20</v>
      </c>
    </row>
    <row r="414" customFormat="false" ht="15" hidden="false" customHeight="false" outlineLevel="0" collapsed="false">
      <c r="A414" s="5" t="s">
        <v>420</v>
      </c>
      <c r="B414" s="5" t="s">
        <v>415</v>
      </c>
      <c r="C414" s="18" t="s">
        <v>7</v>
      </c>
      <c r="D414" s="2" t="s">
        <v>1270</v>
      </c>
      <c r="E414" s="18" t="s">
        <v>1018</v>
      </c>
      <c r="F414" s="7" t="n">
        <v>0</v>
      </c>
      <c r="G414" s="7" t="n">
        <v>5</v>
      </c>
    </row>
    <row r="415" customFormat="false" ht="15" hidden="false" customHeight="false" outlineLevel="0" collapsed="false">
      <c r="A415" s="5" t="s">
        <v>425</v>
      </c>
      <c r="B415" s="5" t="s">
        <v>415</v>
      </c>
      <c r="C415" s="18" t="s">
        <v>7</v>
      </c>
      <c r="D415" s="2" t="s">
        <v>1271</v>
      </c>
      <c r="E415" s="18" t="s">
        <v>70</v>
      </c>
      <c r="F415" s="7" t="n">
        <v>6</v>
      </c>
      <c r="G415" s="7" t="n">
        <v>6</v>
      </c>
    </row>
    <row r="416" customFormat="false" ht="15" hidden="false" customHeight="false" outlineLevel="0" collapsed="false">
      <c r="A416" s="5" t="s">
        <v>425</v>
      </c>
      <c r="B416" s="5" t="s">
        <v>415</v>
      </c>
      <c r="C416" s="18" t="s">
        <v>7</v>
      </c>
      <c r="D416" s="2" t="s">
        <v>1272</v>
      </c>
      <c r="E416" s="18" t="s">
        <v>1018</v>
      </c>
      <c r="F416" s="7" t="n">
        <v>12</v>
      </c>
      <c r="G416" s="7" t="n">
        <v>20</v>
      </c>
    </row>
    <row r="417" customFormat="false" ht="15" hidden="false" customHeight="false" outlineLevel="0" collapsed="false">
      <c r="A417" s="5" t="s">
        <v>425</v>
      </c>
      <c r="B417" s="5" t="s">
        <v>415</v>
      </c>
      <c r="C417" s="18" t="s">
        <v>7</v>
      </c>
      <c r="D417" s="2" t="s">
        <v>1273</v>
      </c>
      <c r="E417" s="18" t="s">
        <v>70</v>
      </c>
      <c r="F417" s="7" t="n">
        <v>7</v>
      </c>
      <c r="G417" s="7" t="n">
        <v>6</v>
      </c>
    </row>
    <row r="418" customFormat="false" ht="15" hidden="false" customHeight="false" outlineLevel="0" collapsed="false">
      <c r="A418" s="5" t="s">
        <v>425</v>
      </c>
      <c r="B418" s="5" t="s">
        <v>415</v>
      </c>
      <c r="C418" s="18" t="s">
        <v>7</v>
      </c>
      <c r="D418" s="2" t="s">
        <v>1274</v>
      </c>
      <c r="E418" s="18" t="s">
        <v>70</v>
      </c>
      <c r="F418" s="7" t="n">
        <v>4</v>
      </c>
      <c r="G418" s="7" t="n">
        <v>4</v>
      </c>
    </row>
    <row r="419" customFormat="false" ht="15" hidden="false" customHeight="false" outlineLevel="0" collapsed="false">
      <c r="A419" s="5" t="s">
        <v>425</v>
      </c>
      <c r="B419" s="5" t="s">
        <v>415</v>
      </c>
      <c r="C419" s="18" t="s">
        <v>7</v>
      </c>
      <c r="D419" s="2" t="s">
        <v>1275</v>
      </c>
      <c r="E419" s="18" t="s">
        <v>1018</v>
      </c>
      <c r="F419" s="7" t="n">
        <v>0</v>
      </c>
      <c r="G419" s="7" t="n">
        <v>8</v>
      </c>
    </row>
    <row r="420" customFormat="false" ht="15" hidden="false" customHeight="false" outlineLevel="0" collapsed="false">
      <c r="A420" s="5" t="s">
        <v>430</v>
      </c>
      <c r="B420" s="5" t="s">
        <v>415</v>
      </c>
      <c r="C420" s="18" t="s">
        <v>7</v>
      </c>
      <c r="D420" s="2" t="s">
        <v>1276</v>
      </c>
      <c r="E420" s="18" t="s">
        <v>70</v>
      </c>
      <c r="F420" s="7" t="n">
        <v>7</v>
      </c>
      <c r="G420" s="7" t="n">
        <v>6</v>
      </c>
    </row>
    <row r="421" customFormat="false" ht="15" hidden="false" customHeight="false" outlineLevel="0" collapsed="false">
      <c r="A421" s="5" t="s">
        <v>430</v>
      </c>
      <c r="B421" s="5" t="s">
        <v>415</v>
      </c>
      <c r="C421" s="18" t="s">
        <v>7</v>
      </c>
      <c r="D421" s="2" t="s">
        <v>1047</v>
      </c>
      <c r="E421" s="18" t="s">
        <v>70</v>
      </c>
      <c r="F421" s="7" t="n">
        <v>0</v>
      </c>
      <c r="G421" s="7" t="n">
        <v>2</v>
      </c>
    </row>
    <row r="422" customFormat="false" ht="15" hidden="false" customHeight="false" outlineLevel="0" collapsed="false">
      <c r="A422" s="5" t="s">
        <v>434</v>
      </c>
      <c r="B422" s="5" t="s">
        <v>415</v>
      </c>
      <c r="C422" s="18" t="s">
        <v>7</v>
      </c>
      <c r="D422" s="2" t="s">
        <v>1277</v>
      </c>
      <c r="E422" s="18" t="s">
        <v>70</v>
      </c>
      <c r="F422" s="7" t="n">
        <v>5</v>
      </c>
      <c r="G422" s="7" t="n">
        <v>4</v>
      </c>
    </row>
    <row r="423" customFormat="false" ht="15" hidden="false" customHeight="false" outlineLevel="0" collapsed="false">
      <c r="A423" s="5" t="s">
        <v>434</v>
      </c>
      <c r="B423" s="5" t="s">
        <v>415</v>
      </c>
      <c r="C423" s="18" t="s">
        <v>7</v>
      </c>
      <c r="D423" s="2" t="s">
        <v>1278</v>
      </c>
      <c r="E423" s="18" t="s">
        <v>70</v>
      </c>
      <c r="F423" s="7" t="n">
        <v>7</v>
      </c>
      <c r="G423" s="7" t="n">
        <v>6</v>
      </c>
    </row>
    <row r="424" customFormat="false" ht="15" hidden="false" customHeight="false" outlineLevel="0" collapsed="false">
      <c r="A424" s="5" t="s">
        <v>434</v>
      </c>
      <c r="B424" s="5" t="s">
        <v>415</v>
      </c>
      <c r="C424" s="18" t="s">
        <v>7</v>
      </c>
      <c r="D424" s="2" t="s">
        <v>1279</v>
      </c>
      <c r="E424" s="18" t="s">
        <v>70</v>
      </c>
      <c r="F424" s="7" t="n">
        <v>5</v>
      </c>
      <c r="G424" s="7" t="n">
        <v>4</v>
      </c>
    </row>
    <row r="425" customFormat="false" ht="15" hidden="false" customHeight="false" outlineLevel="0" collapsed="false">
      <c r="A425" s="5" t="s">
        <v>434</v>
      </c>
      <c r="B425" s="5" t="s">
        <v>415</v>
      </c>
      <c r="C425" s="18" t="s">
        <v>7</v>
      </c>
      <c r="D425" s="2" t="s">
        <v>1280</v>
      </c>
      <c r="E425" s="18" t="s">
        <v>1018</v>
      </c>
      <c r="F425" s="7" t="n">
        <v>4</v>
      </c>
      <c r="G425" s="7" t="n">
        <v>3</v>
      </c>
    </row>
    <row r="426" customFormat="false" ht="15" hidden="false" customHeight="false" outlineLevel="0" collapsed="false">
      <c r="A426" s="5" t="s">
        <v>434</v>
      </c>
      <c r="B426" s="5" t="s">
        <v>415</v>
      </c>
      <c r="C426" s="18" t="s">
        <v>7</v>
      </c>
      <c r="D426" s="2" t="s">
        <v>1281</v>
      </c>
      <c r="E426" s="18" t="s">
        <v>1018</v>
      </c>
      <c r="F426" s="7" t="n">
        <v>5</v>
      </c>
      <c r="G426" s="7" t="n">
        <v>15</v>
      </c>
    </row>
    <row r="427" customFormat="false" ht="15" hidden="false" customHeight="false" outlineLevel="0" collapsed="false">
      <c r="A427" s="5" t="s">
        <v>438</v>
      </c>
      <c r="B427" s="5" t="s">
        <v>415</v>
      </c>
      <c r="C427" s="18" t="s">
        <v>7</v>
      </c>
      <c r="D427" s="2" t="s">
        <v>1282</v>
      </c>
      <c r="E427" s="18" t="s">
        <v>70</v>
      </c>
      <c r="F427" s="7" t="n">
        <v>6</v>
      </c>
      <c r="G427" s="7" t="n">
        <v>5</v>
      </c>
    </row>
    <row r="428" customFormat="false" ht="15" hidden="false" customHeight="false" outlineLevel="0" collapsed="false">
      <c r="A428" s="5" t="s">
        <v>438</v>
      </c>
      <c r="B428" s="5" t="s">
        <v>415</v>
      </c>
      <c r="C428" s="18" t="s">
        <v>7</v>
      </c>
      <c r="D428" s="2" t="s">
        <v>1283</v>
      </c>
      <c r="E428" s="18" t="s">
        <v>70</v>
      </c>
      <c r="F428" s="7" t="n">
        <v>5</v>
      </c>
      <c r="G428" s="7" t="n">
        <v>4</v>
      </c>
    </row>
    <row r="429" customFormat="false" ht="15" hidden="false" customHeight="false" outlineLevel="0" collapsed="false">
      <c r="A429" s="5" t="s">
        <v>438</v>
      </c>
      <c r="B429" s="5" t="s">
        <v>415</v>
      </c>
      <c r="C429" s="18" t="s">
        <v>7</v>
      </c>
      <c r="D429" s="2" t="s">
        <v>1284</v>
      </c>
      <c r="E429" s="18" t="s">
        <v>70</v>
      </c>
      <c r="F429" s="7" t="n">
        <v>3</v>
      </c>
      <c r="G429" s="7" t="n">
        <v>3</v>
      </c>
    </row>
    <row r="430" customFormat="false" ht="15" hidden="false" customHeight="false" outlineLevel="0" collapsed="false">
      <c r="A430" s="5" t="s">
        <v>438</v>
      </c>
      <c r="B430" s="5" t="s">
        <v>415</v>
      </c>
      <c r="C430" s="18" t="s">
        <v>7</v>
      </c>
      <c r="D430" s="3" t="s">
        <v>1285</v>
      </c>
      <c r="E430" s="18" t="s">
        <v>1018</v>
      </c>
      <c r="F430" s="7" t="n">
        <v>6</v>
      </c>
      <c r="G430" s="7" t="n">
        <v>14</v>
      </c>
    </row>
    <row r="431" customFormat="false" ht="15" hidden="false" customHeight="false" outlineLevel="0" collapsed="false">
      <c r="A431" s="5" t="s">
        <v>438</v>
      </c>
      <c r="B431" s="5" t="s">
        <v>415</v>
      </c>
      <c r="C431" s="18" t="s">
        <v>7</v>
      </c>
      <c r="D431" s="2" t="s">
        <v>1124</v>
      </c>
      <c r="E431" s="18" t="s">
        <v>1018</v>
      </c>
      <c r="F431" s="7" t="n">
        <v>0</v>
      </c>
      <c r="G431" s="7" t="n">
        <v>2</v>
      </c>
    </row>
    <row r="432" customFormat="false" ht="15" hidden="false" customHeight="false" outlineLevel="0" collapsed="false">
      <c r="A432" s="5" t="s">
        <v>443</v>
      </c>
      <c r="B432" s="5" t="s">
        <v>415</v>
      </c>
      <c r="C432" s="18" t="s">
        <v>7</v>
      </c>
      <c r="D432" s="2" t="s">
        <v>1286</v>
      </c>
      <c r="E432" s="18" t="s">
        <v>70</v>
      </c>
      <c r="F432" s="7" t="n">
        <v>6</v>
      </c>
      <c r="G432" s="7" t="n">
        <v>5</v>
      </c>
    </row>
    <row r="433" customFormat="false" ht="15" hidden="false" customHeight="false" outlineLevel="0" collapsed="false">
      <c r="A433" s="5" t="s">
        <v>443</v>
      </c>
      <c r="B433" s="5" t="s">
        <v>415</v>
      </c>
      <c r="C433" s="18" t="s">
        <v>7</v>
      </c>
      <c r="D433" s="2" t="s">
        <v>1287</v>
      </c>
      <c r="E433" s="18" t="s">
        <v>70</v>
      </c>
      <c r="F433" s="7" t="n">
        <v>6</v>
      </c>
      <c r="G433" s="7" t="n">
        <v>5</v>
      </c>
    </row>
    <row r="434" customFormat="false" ht="15" hidden="false" customHeight="false" outlineLevel="0" collapsed="false">
      <c r="A434" s="5" t="s">
        <v>443</v>
      </c>
      <c r="B434" s="5" t="s">
        <v>415</v>
      </c>
      <c r="C434" s="18" t="s">
        <v>7</v>
      </c>
      <c r="D434" s="2" t="s">
        <v>1288</v>
      </c>
      <c r="E434" s="18" t="s">
        <v>70</v>
      </c>
      <c r="F434" s="7" t="n">
        <v>5</v>
      </c>
      <c r="G434" s="7" t="n">
        <v>4</v>
      </c>
    </row>
    <row r="435" customFormat="false" ht="15" hidden="false" customHeight="false" outlineLevel="0" collapsed="false">
      <c r="A435" s="5" t="s">
        <v>443</v>
      </c>
      <c r="B435" s="5" t="s">
        <v>415</v>
      </c>
      <c r="C435" s="18" t="s">
        <v>7</v>
      </c>
      <c r="D435" s="2" t="s">
        <v>1047</v>
      </c>
      <c r="E435" s="18" t="s">
        <v>70</v>
      </c>
      <c r="F435" s="7" t="n">
        <v>0</v>
      </c>
      <c r="G435" s="7" t="n">
        <v>2</v>
      </c>
    </row>
    <row r="436" customFormat="false" ht="15" hidden="false" customHeight="false" outlineLevel="0" collapsed="false">
      <c r="A436" s="5" t="s">
        <v>447</v>
      </c>
      <c r="B436" s="5" t="s">
        <v>415</v>
      </c>
      <c r="C436" s="18" t="s">
        <v>7</v>
      </c>
      <c r="D436" s="2" t="s">
        <v>1289</v>
      </c>
      <c r="E436" s="18" t="s">
        <v>70</v>
      </c>
      <c r="F436" s="7" t="n">
        <v>6</v>
      </c>
      <c r="G436" s="7" t="n">
        <v>5</v>
      </c>
    </row>
    <row r="437" customFormat="false" ht="15" hidden="false" customHeight="false" outlineLevel="0" collapsed="false">
      <c r="A437" s="5" t="s">
        <v>447</v>
      </c>
      <c r="B437" s="5" t="s">
        <v>415</v>
      </c>
      <c r="C437" s="18" t="s">
        <v>7</v>
      </c>
      <c r="D437" s="2" t="s">
        <v>1290</v>
      </c>
      <c r="E437" s="18" t="s">
        <v>70</v>
      </c>
      <c r="F437" s="7" t="n">
        <v>6</v>
      </c>
      <c r="G437" s="7" t="n">
        <v>5</v>
      </c>
    </row>
    <row r="438" customFormat="false" ht="15" hidden="false" customHeight="false" outlineLevel="0" collapsed="false">
      <c r="A438" s="5" t="s">
        <v>447</v>
      </c>
      <c r="B438" s="5" t="s">
        <v>415</v>
      </c>
      <c r="C438" s="18" t="s">
        <v>7</v>
      </c>
      <c r="D438" s="2" t="s">
        <v>1047</v>
      </c>
      <c r="E438" s="18" t="s">
        <v>70</v>
      </c>
      <c r="F438" s="7" t="n">
        <v>0</v>
      </c>
      <c r="G438" s="7" t="n">
        <v>2</v>
      </c>
    </row>
    <row r="439" customFormat="false" ht="15" hidden="false" customHeight="false" outlineLevel="0" collapsed="false">
      <c r="A439" s="5" t="s">
        <v>451</v>
      </c>
      <c r="B439" s="5" t="s">
        <v>415</v>
      </c>
      <c r="C439" s="18" t="s">
        <v>7</v>
      </c>
      <c r="D439" s="2" t="s">
        <v>1291</v>
      </c>
      <c r="E439" s="18" t="s">
        <v>70</v>
      </c>
      <c r="F439" s="7" t="n">
        <v>8</v>
      </c>
      <c r="G439" s="7" t="n">
        <v>7</v>
      </c>
    </row>
    <row r="440" customFormat="false" ht="15" hidden="false" customHeight="false" outlineLevel="0" collapsed="false">
      <c r="A440" s="5" t="s">
        <v>451</v>
      </c>
      <c r="B440" s="5" t="s">
        <v>415</v>
      </c>
      <c r="C440" s="18" t="s">
        <v>7</v>
      </c>
      <c r="D440" s="2" t="s">
        <v>1292</v>
      </c>
      <c r="E440" s="18" t="s">
        <v>1018</v>
      </c>
      <c r="F440" s="7" t="n">
        <v>7</v>
      </c>
      <c r="G440" s="7" t="n">
        <v>15</v>
      </c>
    </row>
    <row r="441" customFormat="false" ht="15" hidden="false" customHeight="false" outlineLevel="0" collapsed="false">
      <c r="A441" s="5" t="s">
        <v>455</v>
      </c>
      <c r="B441" s="5" t="s">
        <v>415</v>
      </c>
      <c r="C441" s="18" t="s">
        <v>7</v>
      </c>
      <c r="D441" s="2" t="s">
        <v>1293</v>
      </c>
      <c r="E441" s="18" t="s">
        <v>70</v>
      </c>
      <c r="F441" s="7" t="n">
        <v>3</v>
      </c>
      <c r="G441" s="7" t="n">
        <v>3</v>
      </c>
    </row>
    <row r="442" customFormat="false" ht="15" hidden="false" customHeight="false" outlineLevel="0" collapsed="false">
      <c r="A442" s="5" t="s">
        <v>455</v>
      </c>
      <c r="B442" s="5" t="s">
        <v>415</v>
      </c>
      <c r="C442" s="18" t="s">
        <v>7</v>
      </c>
      <c r="D442" s="2" t="s">
        <v>1294</v>
      </c>
      <c r="E442" s="18" t="s">
        <v>1018</v>
      </c>
      <c r="F442" s="7" t="n">
        <v>5</v>
      </c>
      <c r="G442" s="7" t="n">
        <v>9</v>
      </c>
    </row>
    <row r="443" customFormat="false" ht="15" hidden="false" customHeight="false" outlineLevel="0" collapsed="false">
      <c r="A443" s="5" t="s">
        <v>459</v>
      </c>
      <c r="B443" s="5" t="s">
        <v>415</v>
      </c>
      <c r="C443" s="18" t="s">
        <v>9</v>
      </c>
      <c r="D443" s="2" t="s">
        <v>159</v>
      </c>
      <c r="E443" s="18" t="s">
        <v>70</v>
      </c>
      <c r="F443" s="7" t="n">
        <v>10</v>
      </c>
      <c r="G443" s="7" t="n">
        <v>10</v>
      </c>
    </row>
    <row r="444" customFormat="false" ht="15" hidden="false" customHeight="false" outlineLevel="0" collapsed="false">
      <c r="A444" s="5" t="s">
        <v>461</v>
      </c>
      <c r="B444" s="5" t="s">
        <v>415</v>
      </c>
      <c r="C444" s="18" t="s">
        <v>9</v>
      </c>
      <c r="D444" s="2" t="s">
        <v>1295</v>
      </c>
      <c r="E444" s="18" t="s">
        <v>1018</v>
      </c>
      <c r="F444" s="7" t="n">
        <v>3</v>
      </c>
      <c r="G444" s="7" t="n">
        <v>3</v>
      </c>
    </row>
    <row r="445" customFormat="false" ht="15" hidden="false" customHeight="false" outlineLevel="0" collapsed="false">
      <c r="A445" s="5" t="s">
        <v>461</v>
      </c>
      <c r="B445" s="5" t="s">
        <v>415</v>
      </c>
      <c r="C445" s="18" t="s">
        <v>9</v>
      </c>
      <c r="D445" s="3" t="s">
        <v>1296</v>
      </c>
      <c r="E445" s="18" t="s">
        <v>1018</v>
      </c>
      <c r="F445" s="7" t="n">
        <v>8</v>
      </c>
      <c r="G445" s="7" t="n">
        <v>14</v>
      </c>
    </row>
    <row r="446" customFormat="false" ht="15" hidden="false" customHeight="false" outlineLevel="0" collapsed="false">
      <c r="A446" s="5" t="s">
        <v>461</v>
      </c>
      <c r="B446" s="5" t="s">
        <v>415</v>
      </c>
      <c r="C446" s="18" t="s">
        <v>9</v>
      </c>
      <c r="D446" s="2" t="s">
        <v>1297</v>
      </c>
      <c r="E446" s="18" t="s">
        <v>70</v>
      </c>
      <c r="F446" s="7" t="n">
        <v>2</v>
      </c>
      <c r="G446" s="7" t="n">
        <v>2</v>
      </c>
    </row>
    <row r="447" customFormat="false" ht="15" hidden="false" customHeight="false" outlineLevel="0" collapsed="false">
      <c r="A447" s="5" t="s">
        <v>461</v>
      </c>
      <c r="B447" s="5" t="s">
        <v>415</v>
      </c>
      <c r="C447" s="18" t="s">
        <v>9</v>
      </c>
      <c r="D447" s="2" t="s">
        <v>1298</v>
      </c>
      <c r="E447" s="18" t="s">
        <v>1018</v>
      </c>
      <c r="F447" s="7" t="n">
        <v>2</v>
      </c>
      <c r="G447" s="7" t="n">
        <v>3</v>
      </c>
    </row>
    <row r="448" customFormat="false" ht="15" hidden="false" customHeight="false" outlineLevel="0" collapsed="false">
      <c r="A448" s="5" t="s">
        <v>461</v>
      </c>
      <c r="B448" s="5" t="s">
        <v>415</v>
      </c>
      <c r="C448" s="18" t="s">
        <v>9</v>
      </c>
      <c r="D448" s="2" t="s">
        <v>1299</v>
      </c>
      <c r="E448" s="18" t="s">
        <v>1018</v>
      </c>
      <c r="F448" s="7" t="n">
        <v>4</v>
      </c>
      <c r="G448" s="7" t="n">
        <v>5</v>
      </c>
    </row>
    <row r="449" customFormat="false" ht="15" hidden="false" customHeight="false" outlineLevel="0" collapsed="false">
      <c r="A449" s="5" t="s">
        <v>461</v>
      </c>
      <c r="B449" s="5" t="s">
        <v>415</v>
      </c>
      <c r="C449" s="18" t="s">
        <v>9</v>
      </c>
      <c r="D449" s="2" t="s">
        <v>1300</v>
      </c>
      <c r="E449" s="18" t="s">
        <v>70</v>
      </c>
      <c r="F449" s="7" t="n">
        <v>2</v>
      </c>
      <c r="G449" s="7" t="n">
        <v>2</v>
      </c>
    </row>
    <row r="450" customFormat="false" ht="15" hidden="false" customHeight="false" outlineLevel="0" collapsed="false">
      <c r="A450" s="5" t="s">
        <v>461</v>
      </c>
      <c r="B450" s="5" t="s">
        <v>415</v>
      </c>
      <c r="C450" s="18" t="s">
        <v>9</v>
      </c>
      <c r="D450" s="2" t="s">
        <v>1301</v>
      </c>
      <c r="E450" s="18" t="s">
        <v>1018</v>
      </c>
      <c r="F450" s="7" t="n">
        <v>3</v>
      </c>
      <c r="G450" s="7" t="n">
        <v>4</v>
      </c>
    </row>
    <row r="451" customFormat="false" ht="15" hidden="false" customHeight="false" outlineLevel="0" collapsed="false">
      <c r="A451" s="5" t="s">
        <v>461</v>
      </c>
      <c r="B451" s="5" t="s">
        <v>415</v>
      </c>
      <c r="C451" s="18" t="s">
        <v>9</v>
      </c>
      <c r="D451" s="2" t="s">
        <v>1302</v>
      </c>
      <c r="E451" s="18" t="s">
        <v>70</v>
      </c>
      <c r="F451" s="7" t="n">
        <v>1</v>
      </c>
      <c r="G451" s="7" t="n">
        <v>1</v>
      </c>
    </row>
    <row r="452" customFormat="false" ht="15" hidden="false" customHeight="false" outlineLevel="0" collapsed="false">
      <c r="A452" s="5" t="s">
        <v>461</v>
      </c>
      <c r="B452" s="5" t="s">
        <v>415</v>
      </c>
      <c r="C452" s="18" t="s">
        <v>9</v>
      </c>
      <c r="D452" s="2" t="s">
        <v>1303</v>
      </c>
      <c r="E452" s="18" t="s">
        <v>1018</v>
      </c>
      <c r="F452" s="7" t="n">
        <v>1</v>
      </c>
      <c r="G452" s="7" t="n">
        <v>1</v>
      </c>
    </row>
    <row r="453" customFormat="false" ht="15" hidden="false" customHeight="false" outlineLevel="0" collapsed="false">
      <c r="A453" s="5" t="s">
        <v>461</v>
      </c>
      <c r="B453" s="5" t="s">
        <v>415</v>
      </c>
      <c r="C453" s="18" t="s">
        <v>9</v>
      </c>
      <c r="D453" s="2" t="s">
        <v>1304</v>
      </c>
      <c r="E453" s="18" t="s">
        <v>1018</v>
      </c>
      <c r="F453" s="7" t="n">
        <v>0</v>
      </c>
      <c r="G453" s="7" t="n">
        <v>5</v>
      </c>
    </row>
    <row r="454" customFormat="false" ht="15" hidden="false" customHeight="false" outlineLevel="0" collapsed="false">
      <c r="A454" s="5" t="s">
        <v>465</v>
      </c>
      <c r="B454" s="5" t="s">
        <v>415</v>
      </c>
      <c r="C454" s="18" t="s">
        <v>9</v>
      </c>
      <c r="D454" s="2" t="s">
        <v>1305</v>
      </c>
      <c r="E454" s="18" t="s">
        <v>1018</v>
      </c>
      <c r="F454" s="7" t="n">
        <v>2</v>
      </c>
      <c r="G454" s="7" t="n">
        <v>2</v>
      </c>
    </row>
    <row r="455" customFormat="false" ht="15" hidden="false" customHeight="false" outlineLevel="0" collapsed="false">
      <c r="A455" s="5" t="s">
        <v>465</v>
      </c>
      <c r="B455" s="5" t="s">
        <v>415</v>
      </c>
      <c r="C455" s="18" t="s">
        <v>9</v>
      </c>
      <c r="D455" s="3" t="s">
        <v>1306</v>
      </c>
      <c r="E455" s="18" t="s">
        <v>1018</v>
      </c>
      <c r="F455" s="7" t="n">
        <v>4</v>
      </c>
      <c r="G455" s="7" t="n">
        <v>4</v>
      </c>
    </row>
    <row r="456" customFormat="false" ht="15" hidden="false" customHeight="false" outlineLevel="0" collapsed="false">
      <c r="A456" s="5" t="s">
        <v>465</v>
      </c>
      <c r="B456" s="5" t="s">
        <v>415</v>
      </c>
      <c r="C456" s="18" t="s">
        <v>9</v>
      </c>
      <c r="D456" s="2" t="s">
        <v>1307</v>
      </c>
      <c r="E456" s="18" t="s">
        <v>70</v>
      </c>
      <c r="F456" s="7" t="n">
        <v>2</v>
      </c>
      <c r="G456" s="7" t="n">
        <v>2</v>
      </c>
    </row>
    <row r="457" customFormat="false" ht="15" hidden="false" customHeight="false" outlineLevel="0" collapsed="false">
      <c r="A457" s="5" t="s">
        <v>465</v>
      </c>
      <c r="B457" s="5" t="s">
        <v>415</v>
      </c>
      <c r="C457" s="18" t="s">
        <v>9</v>
      </c>
      <c r="D457" s="2" t="s">
        <v>1308</v>
      </c>
      <c r="E457" s="18" t="s">
        <v>1018</v>
      </c>
      <c r="F457" s="7" t="n">
        <v>2</v>
      </c>
      <c r="G457" s="7" t="n">
        <v>3</v>
      </c>
    </row>
    <row r="458" customFormat="false" ht="15" hidden="false" customHeight="false" outlineLevel="0" collapsed="false">
      <c r="A458" s="5" t="s">
        <v>465</v>
      </c>
      <c r="B458" s="5" t="s">
        <v>415</v>
      </c>
      <c r="C458" s="18" t="s">
        <v>9</v>
      </c>
      <c r="D458" s="2" t="s">
        <v>1309</v>
      </c>
      <c r="E458" s="18" t="s">
        <v>1018</v>
      </c>
      <c r="F458" s="7" t="n">
        <v>2</v>
      </c>
      <c r="G458" s="7" t="n">
        <v>2</v>
      </c>
    </row>
    <row r="459" customFormat="false" ht="15" hidden="false" customHeight="false" outlineLevel="0" collapsed="false">
      <c r="A459" s="5" t="s">
        <v>465</v>
      </c>
      <c r="B459" s="5" t="s">
        <v>415</v>
      </c>
      <c r="C459" s="18" t="s">
        <v>9</v>
      </c>
      <c r="D459" s="2" t="s">
        <v>1310</v>
      </c>
      <c r="E459" s="18" t="s">
        <v>1018</v>
      </c>
      <c r="F459" s="7" t="n">
        <v>2</v>
      </c>
      <c r="G459" s="7" t="n">
        <v>2</v>
      </c>
    </row>
    <row r="460" customFormat="false" ht="15" hidden="false" customHeight="false" outlineLevel="0" collapsed="false">
      <c r="A460" s="5" t="s">
        <v>465</v>
      </c>
      <c r="B460" s="5" t="s">
        <v>415</v>
      </c>
      <c r="C460" s="18" t="s">
        <v>9</v>
      </c>
      <c r="D460" s="2" t="s">
        <v>1311</v>
      </c>
      <c r="E460" s="18" t="s">
        <v>70</v>
      </c>
      <c r="F460" s="7" t="n">
        <v>2</v>
      </c>
      <c r="G460" s="7" t="n">
        <v>2</v>
      </c>
    </row>
    <row r="461" customFormat="false" ht="15" hidden="false" customHeight="false" outlineLevel="0" collapsed="false">
      <c r="A461" s="5" t="s">
        <v>465</v>
      </c>
      <c r="B461" s="5" t="s">
        <v>415</v>
      </c>
      <c r="C461" s="18" t="s">
        <v>9</v>
      </c>
      <c r="D461" s="2" t="s">
        <v>1312</v>
      </c>
      <c r="E461" s="18" t="s">
        <v>1018</v>
      </c>
      <c r="F461" s="7" t="n">
        <v>5</v>
      </c>
      <c r="G461" s="7" t="n">
        <v>5</v>
      </c>
    </row>
    <row r="462" customFormat="false" ht="15" hidden="false" customHeight="false" outlineLevel="0" collapsed="false">
      <c r="A462" s="5" t="s">
        <v>465</v>
      </c>
      <c r="B462" s="5" t="s">
        <v>415</v>
      </c>
      <c r="C462" s="18" t="s">
        <v>9</v>
      </c>
      <c r="D462" s="2" t="s">
        <v>1313</v>
      </c>
      <c r="E462" s="18" t="s">
        <v>70</v>
      </c>
      <c r="F462" s="7" t="n">
        <v>2</v>
      </c>
      <c r="G462" s="7" t="n">
        <v>2</v>
      </c>
    </row>
    <row r="463" customFormat="false" ht="15" hidden="false" customHeight="false" outlineLevel="0" collapsed="false">
      <c r="A463" s="5" t="s">
        <v>465</v>
      </c>
      <c r="B463" s="5" t="s">
        <v>415</v>
      </c>
      <c r="C463" s="18" t="s">
        <v>9</v>
      </c>
      <c r="D463" s="2" t="s">
        <v>1314</v>
      </c>
      <c r="E463" s="18" t="s">
        <v>1018</v>
      </c>
      <c r="F463" s="7" t="n">
        <v>7</v>
      </c>
      <c r="G463" s="7" t="n">
        <v>8</v>
      </c>
    </row>
    <row r="464" customFormat="false" ht="15" hidden="false" customHeight="false" outlineLevel="0" collapsed="false">
      <c r="A464" s="5" t="s">
        <v>465</v>
      </c>
      <c r="B464" s="5" t="s">
        <v>415</v>
      </c>
      <c r="C464" s="18" t="s">
        <v>9</v>
      </c>
      <c r="D464" s="2" t="s">
        <v>1234</v>
      </c>
      <c r="E464" s="18" t="s">
        <v>1018</v>
      </c>
      <c r="F464" s="7" t="n">
        <v>2</v>
      </c>
      <c r="G464" s="7" t="n">
        <v>2</v>
      </c>
    </row>
    <row r="465" customFormat="false" ht="15" hidden="false" customHeight="false" outlineLevel="0" collapsed="false">
      <c r="A465" s="5" t="s">
        <v>465</v>
      </c>
      <c r="B465" s="5" t="s">
        <v>415</v>
      </c>
      <c r="C465" s="18" t="s">
        <v>9</v>
      </c>
      <c r="D465" s="2" t="s">
        <v>1315</v>
      </c>
      <c r="E465" s="18" t="s">
        <v>1018</v>
      </c>
      <c r="F465" s="7" t="n">
        <v>1</v>
      </c>
      <c r="G465" s="7" t="n">
        <v>2</v>
      </c>
    </row>
    <row r="466" customFormat="false" ht="15" hidden="false" customHeight="false" outlineLevel="0" collapsed="false">
      <c r="A466" s="5" t="s">
        <v>465</v>
      </c>
      <c r="B466" s="5" t="s">
        <v>415</v>
      </c>
      <c r="C466" s="18" t="s">
        <v>9</v>
      </c>
      <c r="D466" s="2" t="s">
        <v>1124</v>
      </c>
      <c r="E466" s="18" t="s">
        <v>1018</v>
      </c>
      <c r="F466" s="7" t="n">
        <v>0</v>
      </c>
      <c r="G466" s="7" t="n">
        <v>3</v>
      </c>
    </row>
    <row r="467" customFormat="false" ht="15" hidden="false" customHeight="false" outlineLevel="0" collapsed="false">
      <c r="A467" s="5" t="s">
        <v>470</v>
      </c>
      <c r="B467" s="5" t="s">
        <v>415</v>
      </c>
      <c r="C467" s="18" t="s">
        <v>9</v>
      </c>
      <c r="D467" s="3" t="s">
        <v>1316</v>
      </c>
      <c r="E467" s="18" t="s">
        <v>1018</v>
      </c>
      <c r="F467" s="7" t="n">
        <v>5</v>
      </c>
      <c r="G467" s="7" t="n">
        <v>8</v>
      </c>
    </row>
    <row r="468" customFormat="false" ht="15" hidden="false" customHeight="false" outlineLevel="0" collapsed="false">
      <c r="A468" s="5" t="s">
        <v>470</v>
      </c>
      <c r="B468" s="5" t="s">
        <v>415</v>
      </c>
      <c r="C468" s="18" t="s">
        <v>9</v>
      </c>
      <c r="D468" s="2" t="s">
        <v>1317</v>
      </c>
      <c r="E468" s="18" t="s">
        <v>70</v>
      </c>
      <c r="F468" s="7" t="n">
        <v>2</v>
      </c>
      <c r="G468" s="7" t="n">
        <v>2</v>
      </c>
    </row>
    <row r="469" customFormat="false" ht="15" hidden="false" customHeight="false" outlineLevel="0" collapsed="false">
      <c r="A469" s="5" t="s">
        <v>470</v>
      </c>
      <c r="B469" s="5" t="s">
        <v>415</v>
      </c>
      <c r="C469" s="18" t="s">
        <v>9</v>
      </c>
      <c r="D469" s="2" t="s">
        <v>1318</v>
      </c>
      <c r="E469" s="18" t="s">
        <v>1018</v>
      </c>
      <c r="F469" s="7" t="n">
        <v>4</v>
      </c>
      <c r="G469" s="7" t="n">
        <v>5</v>
      </c>
    </row>
    <row r="470" customFormat="false" ht="15" hidden="false" customHeight="false" outlineLevel="0" collapsed="false">
      <c r="A470" s="5" t="s">
        <v>470</v>
      </c>
      <c r="B470" s="5" t="s">
        <v>415</v>
      </c>
      <c r="C470" s="18" t="s">
        <v>9</v>
      </c>
      <c r="D470" s="2" t="s">
        <v>1124</v>
      </c>
      <c r="E470" s="18" t="s">
        <v>1018</v>
      </c>
      <c r="F470" s="7" t="n">
        <v>0</v>
      </c>
      <c r="G470" s="7" t="n">
        <v>3</v>
      </c>
    </row>
    <row r="471" customFormat="false" ht="15" hidden="false" customHeight="false" outlineLevel="0" collapsed="false">
      <c r="A471" s="5" t="s">
        <v>474</v>
      </c>
      <c r="B471" s="5" t="s">
        <v>415</v>
      </c>
      <c r="C471" s="18" t="s">
        <v>9</v>
      </c>
      <c r="D471" s="2" t="s">
        <v>1319</v>
      </c>
      <c r="E471" s="18" t="s">
        <v>1018</v>
      </c>
      <c r="F471" s="7" t="n">
        <v>2</v>
      </c>
      <c r="G471" s="7" t="n">
        <v>2</v>
      </c>
    </row>
    <row r="472" customFormat="false" ht="15" hidden="false" customHeight="false" outlineLevel="0" collapsed="false">
      <c r="A472" s="5" t="s">
        <v>474</v>
      </c>
      <c r="B472" s="5" t="s">
        <v>415</v>
      </c>
      <c r="C472" s="18" t="s">
        <v>9</v>
      </c>
      <c r="D472" s="2" t="s">
        <v>1320</v>
      </c>
      <c r="E472" s="18" t="s">
        <v>1018</v>
      </c>
      <c r="F472" s="7" t="n">
        <v>4</v>
      </c>
      <c r="G472" s="7" t="n">
        <v>4</v>
      </c>
    </row>
    <row r="473" customFormat="false" ht="15" hidden="false" customHeight="false" outlineLevel="0" collapsed="false">
      <c r="A473" s="5" t="s">
        <v>474</v>
      </c>
      <c r="B473" s="5" t="s">
        <v>415</v>
      </c>
      <c r="C473" s="18" t="s">
        <v>9</v>
      </c>
      <c r="D473" s="2" t="s">
        <v>1321</v>
      </c>
      <c r="E473" s="18" t="s">
        <v>1018</v>
      </c>
      <c r="F473" s="7" t="n">
        <v>1</v>
      </c>
      <c r="G473" s="7" t="n">
        <v>2</v>
      </c>
    </row>
    <row r="474" customFormat="false" ht="15" hidden="false" customHeight="false" outlineLevel="0" collapsed="false">
      <c r="A474" s="5" t="s">
        <v>474</v>
      </c>
      <c r="B474" s="5" t="s">
        <v>415</v>
      </c>
      <c r="C474" s="18" t="s">
        <v>9</v>
      </c>
      <c r="D474" s="2" t="s">
        <v>1322</v>
      </c>
      <c r="E474" s="18" t="s">
        <v>1018</v>
      </c>
      <c r="F474" s="7" t="n">
        <v>2</v>
      </c>
      <c r="G474" s="7" t="n">
        <v>2</v>
      </c>
    </row>
    <row r="475" customFormat="false" ht="15" hidden="false" customHeight="false" outlineLevel="0" collapsed="false">
      <c r="A475" s="5" t="s">
        <v>474</v>
      </c>
      <c r="B475" s="5" t="s">
        <v>415</v>
      </c>
      <c r="C475" s="18" t="s">
        <v>9</v>
      </c>
      <c r="D475" s="2" t="s">
        <v>1323</v>
      </c>
      <c r="E475" s="18" t="s">
        <v>1018</v>
      </c>
      <c r="F475" s="7" t="n">
        <v>3</v>
      </c>
      <c r="G475" s="7" t="n">
        <v>3</v>
      </c>
    </row>
    <row r="476" customFormat="false" ht="15" hidden="false" customHeight="false" outlineLevel="0" collapsed="false">
      <c r="A476" s="5" t="s">
        <v>474</v>
      </c>
      <c r="B476" s="5" t="s">
        <v>415</v>
      </c>
      <c r="C476" s="18" t="s">
        <v>9</v>
      </c>
      <c r="D476" s="2" t="s">
        <v>1324</v>
      </c>
      <c r="E476" s="18" t="s">
        <v>70</v>
      </c>
      <c r="F476" s="7" t="n">
        <v>2</v>
      </c>
      <c r="G476" s="7" t="n">
        <v>2</v>
      </c>
    </row>
    <row r="477" customFormat="false" ht="15" hidden="false" customHeight="false" outlineLevel="0" collapsed="false">
      <c r="A477" s="5" t="s">
        <v>474</v>
      </c>
      <c r="B477" s="5" t="s">
        <v>415</v>
      </c>
      <c r="C477" s="18" t="s">
        <v>9</v>
      </c>
      <c r="D477" s="2" t="s">
        <v>1325</v>
      </c>
      <c r="E477" s="18" t="s">
        <v>1018</v>
      </c>
      <c r="F477" s="7" t="n">
        <v>4</v>
      </c>
      <c r="G477" s="7" t="n">
        <v>4</v>
      </c>
    </row>
    <row r="478" customFormat="false" ht="15" hidden="false" customHeight="false" outlineLevel="0" collapsed="false">
      <c r="A478" s="5" t="s">
        <v>474</v>
      </c>
      <c r="B478" s="5" t="s">
        <v>415</v>
      </c>
      <c r="C478" s="18" t="s">
        <v>9</v>
      </c>
      <c r="D478" s="2" t="s">
        <v>1326</v>
      </c>
      <c r="E478" s="18" t="s">
        <v>1018</v>
      </c>
      <c r="F478" s="7" t="n">
        <v>6</v>
      </c>
      <c r="G478" s="7" t="n">
        <v>7</v>
      </c>
    </row>
    <row r="479" customFormat="false" ht="15" hidden="false" customHeight="false" outlineLevel="0" collapsed="false">
      <c r="A479" s="5" t="s">
        <v>474</v>
      </c>
      <c r="B479" s="5" t="s">
        <v>415</v>
      </c>
      <c r="C479" s="18" t="s">
        <v>9</v>
      </c>
      <c r="D479" s="2" t="s">
        <v>1234</v>
      </c>
      <c r="E479" s="18" t="s">
        <v>1018</v>
      </c>
      <c r="F479" s="7" t="n">
        <v>1</v>
      </c>
      <c r="G479" s="7" t="n">
        <v>1</v>
      </c>
    </row>
    <row r="480" customFormat="false" ht="15" hidden="false" customHeight="false" outlineLevel="0" collapsed="false">
      <c r="A480" s="5" t="s">
        <v>474</v>
      </c>
      <c r="B480" s="5" t="s">
        <v>415</v>
      </c>
      <c r="C480" s="18" t="s">
        <v>9</v>
      </c>
      <c r="D480" s="2" t="s">
        <v>1124</v>
      </c>
      <c r="E480" s="18" t="s">
        <v>1018</v>
      </c>
      <c r="F480" s="7" t="n">
        <v>0</v>
      </c>
      <c r="G480" s="7" t="n">
        <v>3</v>
      </c>
    </row>
    <row r="481" customFormat="false" ht="15" hidden="false" customHeight="false" outlineLevel="0" collapsed="false">
      <c r="A481" s="5" t="s">
        <v>479</v>
      </c>
      <c r="B481" s="5" t="s">
        <v>415</v>
      </c>
      <c r="C481" s="18" t="s">
        <v>9</v>
      </c>
      <c r="D481" s="2" t="s">
        <v>1327</v>
      </c>
      <c r="E481" s="18" t="s">
        <v>1018</v>
      </c>
      <c r="F481" s="7" t="n">
        <v>4</v>
      </c>
      <c r="G481" s="7" t="n">
        <v>7</v>
      </c>
    </row>
    <row r="482" customFormat="false" ht="15" hidden="false" customHeight="false" outlineLevel="0" collapsed="false">
      <c r="A482" s="5" t="s">
        <v>479</v>
      </c>
      <c r="B482" s="5" t="s">
        <v>415</v>
      </c>
      <c r="C482" s="18" t="s">
        <v>9</v>
      </c>
      <c r="D482" s="2" t="s">
        <v>1318</v>
      </c>
      <c r="E482" s="18" t="s">
        <v>1018</v>
      </c>
      <c r="F482" s="7" t="n">
        <v>4</v>
      </c>
      <c r="G482" s="7" t="n">
        <v>5</v>
      </c>
    </row>
    <row r="483" customFormat="false" ht="15" hidden="false" customHeight="false" outlineLevel="0" collapsed="false">
      <c r="A483" s="5" t="s">
        <v>479</v>
      </c>
      <c r="B483" s="5" t="s">
        <v>415</v>
      </c>
      <c r="C483" s="18" t="s">
        <v>9</v>
      </c>
      <c r="D483" s="2" t="s">
        <v>1328</v>
      </c>
      <c r="E483" s="18" t="s">
        <v>70</v>
      </c>
      <c r="F483" s="7" t="n">
        <v>2</v>
      </c>
      <c r="G483" s="7" t="n">
        <v>2</v>
      </c>
    </row>
    <row r="484" customFormat="false" ht="15" hidden="false" customHeight="false" outlineLevel="0" collapsed="false">
      <c r="A484" s="5" t="s">
        <v>479</v>
      </c>
      <c r="B484" s="5" t="s">
        <v>415</v>
      </c>
      <c r="C484" s="18" t="s">
        <v>9</v>
      </c>
      <c r="D484" s="2" t="s">
        <v>1124</v>
      </c>
      <c r="E484" s="18" t="s">
        <v>1018</v>
      </c>
      <c r="F484" s="7" t="n">
        <v>0</v>
      </c>
      <c r="G484" s="7" t="n">
        <v>3</v>
      </c>
    </row>
    <row r="485" customFormat="false" ht="15" hidden="false" customHeight="false" outlineLevel="0" collapsed="false">
      <c r="A485" s="5" t="s">
        <v>483</v>
      </c>
      <c r="B485" s="5" t="s">
        <v>415</v>
      </c>
      <c r="C485" s="18" t="s">
        <v>9</v>
      </c>
      <c r="D485" s="2" t="s">
        <v>1329</v>
      </c>
      <c r="E485" s="18" t="s">
        <v>1018</v>
      </c>
      <c r="F485" s="7" t="n">
        <v>2</v>
      </c>
      <c r="G485" s="7" t="n">
        <v>2</v>
      </c>
    </row>
    <row r="486" customFormat="false" ht="15" hidden="false" customHeight="false" outlineLevel="0" collapsed="false">
      <c r="A486" s="5" t="s">
        <v>483</v>
      </c>
      <c r="B486" s="5" t="s">
        <v>415</v>
      </c>
      <c r="C486" s="18" t="s">
        <v>9</v>
      </c>
      <c r="D486" s="2" t="s">
        <v>1330</v>
      </c>
      <c r="E486" s="18" t="s">
        <v>1018</v>
      </c>
      <c r="F486" s="7" t="n">
        <v>4</v>
      </c>
      <c r="G486" s="7" t="n">
        <v>4</v>
      </c>
    </row>
    <row r="487" customFormat="false" ht="15" hidden="false" customHeight="false" outlineLevel="0" collapsed="false">
      <c r="A487" s="5" t="s">
        <v>483</v>
      </c>
      <c r="B487" s="5" t="s">
        <v>415</v>
      </c>
      <c r="C487" s="18" t="s">
        <v>9</v>
      </c>
      <c r="D487" s="2" t="s">
        <v>1331</v>
      </c>
      <c r="E487" s="18" t="s">
        <v>1018</v>
      </c>
      <c r="F487" s="7" t="n">
        <v>1</v>
      </c>
      <c r="G487" s="7" t="n">
        <v>2</v>
      </c>
    </row>
    <row r="488" customFormat="false" ht="15" hidden="false" customHeight="false" outlineLevel="0" collapsed="false">
      <c r="A488" s="5" t="s">
        <v>483</v>
      </c>
      <c r="B488" s="5" t="s">
        <v>415</v>
      </c>
      <c r="C488" s="18" t="s">
        <v>9</v>
      </c>
      <c r="D488" s="2" t="s">
        <v>1332</v>
      </c>
      <c r="E488" s="18" t="s">
        <v>1018</v>
      </c>
      <c r="F488" s="7" t="n">
        <v>2</v>
      </c>
      <c r="G488" s="7" t="n">
        <v>2</v>
      </c>
    </row>
    <row r="489" customFormat="false" ht="15" hidden="false" customHeight="false" outlineLevel="0" collapsed="false">
      <c r="A489" s="5" t="s">
        <v>483</v>
      </c>
      <c r="B489" s="5" t="s">
        <v>415</v>
      </c>
      <c r="C489" s="18" t="s">
        <v>9</v>
      </c>
      <c r="D489" s="2" t="s">
        <v>1333</v>
      </c>
      <c r="E489" s="18" t="s">
        <v>1018</v>
      </c>
      <c r="F489" s="7" t="n">
        <v>3</v>
      </c>
      <c r="G489" s="7" t="n">
        <v>3</v>
      </c>
    </row>
    <row r="490" customFormat="false" ht="15" hidden="false" customHeight="false" outlineLevel="0" collapsed="false">
      <c r="A490" s="5" t="s">
        <v>483</v>
      </c>
      <c r="B490" s="5" t="s">
        <v>415</v>
      </c>
      <c r="C490" s="18" t="s">
        <v>9</v>
      </c>
      <c r="D490" s="2" t="s">
        <v>1334</v>
      </c>
      <c r="E490" s="18" t="s">
        <v>1018</v>
      </c>
      <c r="F490" s="7" t="n">
        <v>2</v>
      </c>
      <c r="G490" s="7" t="n">
        <v>2</v>
      </c>
    </row>
    <row r="491" customFormat="false" ht="15" hidden="false" customHeight="false" outlineLevel="0" collapsed="false">
      <c r="A491" s="5" t="s">
        <v>483</v>
      </c>
      <c r="B491" s="5" t="s">
        <v>415</v>
      </c>
      <c r="C491" s="18" t="s">
        <v>9</v>
      </c>
      <c r="D491" s="2" t="s">
        <v>1335</v>
      </c>
      <c r="E491" s="18" t="s">
        <v>1018</v>
      </c>
      <c r="F491" s="7" t="n">
        <v>5</v>
      </c>
      <c r="G491" s="7" t="n">
        <v>6</v>
      </c>
    </row>
    <row r="492" customFormat="false" ht="15" hidden="false" customHeight="false" outlineLevel="0" collapsed="false">
      <c r="A492" s="5" t="s">
        <v>483</v>
      </c>
      <c r="B492" s="5" t="s">
        <v>415</v>
      </c>
      <c r="C492" s="18" t="s">
        <v>9</v>
      </c>
      <c r="D492" s="2" t="s">
        <v>1336</v>
      </c>
      <c r="E492" s="18" t="s">
        <v>70</v>
      </c>
      <c r="F492" s="7" t="n">
        <v>2</v>
      </c>
      <c r="G492" s="7" t="n">
        <v>2</v>
      </c>
    </row>
    <row r="493" customFormat="false" ht="15" hidden="false" customHeight="false" outlineLevel="0" collapsed="false">
      <c r="A493" s="5" t="s">
        <v>483</v>
      </c>
      <c r="B493" s="5" t="s">
        <v>415</v>
      </c>
      <c r="C493" s="18" t="s">
        <v>9</v>
      </c>
      <c r="D493" s="2" t="s">
        <v>1234</v>
      </c>
      <c r="E493" s="18" t="s">
        <v>1018</v>
      </c>
      <c r="F493" s="7" t="n">
        <v>1</v>
      </c>
      <c r="G493" s="7" t="n">
        <v>1</v>
      </c>
    </row>
    <row r="494" customFormat="false" ht="15" hidden="false" customHeight="false" outlineLevel="0" collapsed="false">
      <c r="A494" s="5" t="s">
        <v>483</v>
      </c>
      <c r="B494" s="5" t="s">
        <v>415</v>
      </c>
      <c r="C494" s="18" t="s">
        <v>9</v>
      </c>
      <c r="D494" s="2" t="s">
        <v>1124</v>
      </c>
      <c r="E494" s="18" t="s">
        <v>1018</v>
      </c>
      <c r="F494" s="7" t="n">
        <v>0</v>
      </c>
      <c r="G494" s="7" t="n">
        <v>3</v>
      </c>
    </row>
    <row r="495" customFormat="false" ht="15" hidden="false" customHeight="false" outlineLevel="0" collapsed="false">
      <c r="A495" s="5" t="s">
        <v>488</v>
      </c>
      <c r="B495" s="5" t="s">
        <v>415</v>
      </c>
      <c r="C495" s="18" t="s">
        <v>9</v>
      </c>
      <c r="D495" s="2" t="s">
        <v>1337</v>
      </c>
      <c r="E495" s="18" t="s">
        <v>1018</v>
      </c>
      <c r="F495" s="7" t="n">
        <v>2</v>
      </c>
      <c r="G495" s="7" t="n">
        <v>3</v>
      </c>
    </row>
    <row r="496" customFormat="false" ht="15" hidden="false" customHeight="false" outlineLevel="0" collapsed="false">
      <c r="A496" s="5" t="s">
        <v>488</v>
      </c>
      <c r="B496" s="5" t="s">
        <v>415</v>
      </c>
      <c r="C496" s="18" t="s">
        <v>9</v>
      </c>
      <c r="D496" s="2" t="s">
        <v>1338</v>
      </c>
      <c r="E496" s="18" t="s">
        <v>70</v>
      </c>
      <c r="F496" s="7" t="n">
        <v>2</v>
      </c>
      <c r="G496" s="7" t="n">
        <v>2</v>
      </c>
    </row>
    <row r="497" customFormat="false" ht="15" hidden="false" customHeight="false" outlineLevel="0" collapsed="false">
      <c r="A497" s="5" t="s">
        <v>492</v>
      </c>
      <c r="B497" s="5" t="s">
        <v>415</v>
      </c>
      <c r="C497" s="18" t="s">
        <v>11</v>
      </c>
      <c r="D497" s="2" t="s">
        <v>1160</v>
      </c>
      <c r="E497" s="18" t="s">
        <v>70</v>
      </c>
      <c r="F497" s="7" t="n">
        <v>4</v>
      </c>
      <c r="G497" s="7" t="n">
        <v>3</v>
      </c>
    </row>
    <row r="498" customFormat="false" ht="15" hidden="false" customHeight="false" outlineLevel="0" collapsed="false">
      <c r="A498" s="5" t="s">
        <v>492</v>
      </c>
      <c r="B498" s="5" t="s">
        <v>415</v>
      </c>
      <c r="C498" s="18" t="s">
        <v>11</v>
      </c>
      <c r="D498" s="2" t="s">
        <v>1161</v>
      </c>
      <c r="E498" s="18" t="s">
        <v>70</v>
      </c>
      <c r="F498" s="7" t="n">
        <v>3</v>
      </c>
      <c r="G498" s="7" t="n">
        <v>3</v>
      </c>
    </row>
    <row r="499" customFormat="false" ht="15" hidden="false" customHeight="false" outlineLevel="0" collapsed="false">
      <c r="A499" s="5" t="s">
        <v>492</v>
      </c>
      <c r="B499" s="5" t="s">
        <v>415</v>
      </c>
      <c r="C499" s="18" t="s">
        <v>11</v>
      </c>
      <c r="D499" s="2" t="s">
        <v>1162</v>
      </c>
      <c r="E499" s="18" t="s">
        <v>1018</v>
      </c>
      <c r="F499" s="7" t="n">
        <v>3</v>
      </c>
      <c r="G499" s="7" t="n">
        <v>3</v>
      </c>
    </row>
    <row r="500" customFormat="false" ht="15" hidden="false" customHeight="false" outlineLevel="0" collapsed="false">
      <c r="A500" s="5" t="s">
        <v>492</v>
      </c>
      <c r="B500" s="5" t="s">
        <v>415</v>
      </c>
      <c r="C500" s="18" t="s">
        <v>11</v>
      </c>
      <c r="D500" s="3" t="s">
        <v>1163</v>
      </c>
      <c r="E500" s="18" t="s">
        <v>1018</v>
      </c>
      <c r="F500" s="7" t="n">
        <v>3</v>
      </c>
      <c r="G500" s="7" t="n">
        <v>3</v>
      </c>
    </row>
    <row r="501" customFormat="false" ht="15" hidden="false" customHeight="false" outlineLevel="0" collapsed="false">
      <c r="A501" s="5" t="s">
        <v>492</v>
      </c>
      <c r="B501" s="5" t="s">
        <v>415</v>
      </c>
      <c r="C501" s="18" t="s">
        <v>11</v>
      </c>
      <c r="D501" s="2" t="s">
        <v>1164</v>
      </c>
      <c r="E501" s="18" t="s">
        <v>1018</v>
      </c>
      <c r="F501" s="7" t="n">
        <v>5</v>
      </c>
      <c r="G501" s="7" t="n">
        <v>4</v>
      </c>
    </row>
    <row r="502" customFormat="false" ht="15" hidden="false" customHeight="false" outlineLevel="0" collapsed="false">
      <c r="A502" s="5" t="s">
        <v>492</v>
      </c>
      <c r="B502" s="5" t="s">
        <v>415</v>
      </c>
      <c r="C502" s="18" t="s">
        <v>11</v>
      </c>
      <c r="D502" s="2" t="s">
        <v>1339</v>
      </c>
      <c r="E502" s="18" t="s">
        <v>1018</v>
      </c>
      <c r="F502" s="7" t="n">
        <v>5</v>
      </c>
      <c r="G502" s="7" t="n">
        <v>4</v>
      </c>
    </row>
    <row r="503" customFormat="false" ht="15" hidden="false" customHeight="false" outlineLevel="0" collapsed="false">
      <c r="A503" s="5" t="s">
        <v>492</v>
      </c>
      <c r="B503" s="5" t="s">
        <v>415</v>
      </c>
      <c r="C503" s="18" t="s">
        <v>11</v>
      </c>
      <c r="D503" s="3" t="s">
        <v>1340</v>
      </c>
      <c r="E503" s="18" t="s">
        <v>1018</v>
      </c>
      <c r="F503" s="7" t="n">
        <v>5</v>
      </c>
      <c r="G503" s="7" t="n">
        <v>5</v>
      </c>
    </row>
    <row r="504" customFormat="false" ht="15" hidden="false" customHeight="false" outlineLevel="0" collapsed="false">
      <c r="A504" s="5" t="s">
        <v>492</v>
      </c>
      <c r="B504" s="5" t="s">
        <v>415</v>
      </c>
      <c r="C504" s="18" t="s">
        <v>11</v>
      </c>
      <c r="D504" s="2" t="s">
        <v>1166</v>
      </c>
      <c r="E504" s="18" t="s">
        <v>1018</v>
      </c>
      <c r="F504" s="7" t="n">
        <v>6</v>
      </c>
      <c r="G504" s="7" t="n">
        <v>12</v>
      </c>
    </row>
    <row r="505" customFormat="false" ht="15" hidden="false" customHeight="false" outlineLevel="0" collapsed="false">
      <c r="A505" s="5" t="s">
        <v>492</v>
      </c>
      <c r="B505" s="5" t="s">
        <v>415</v>
      </c>
      <c r="C505" s="18" t="s">
        <v>11</v>
      </c>
      <c r="D505" s="2" t="s">
        <v>1167</v>
      </c>
      <c r="E505" s="18" t="s">
        <v>1018</v>
      </c>
      <c r="F505" s="7" t="n">
        <v>5</v>
      </c>
      <c r="G505" s="7" t="n">
        <v>8</v>
      </c>
    </row>
    <row r="506" customFormat="false" ht="15" hidden="false" customHeight="false" outlineLevel="0" collapsed="false">
      <c r="A506" s="5" t="s">
        <v>497</v>
      </c>
      <c r="B506" s="5" t="s">
        <v>415</v>
      </c>
      <c r="C506" s="18" t="s">
        <v>11</v>
      </c>
      <c r="D506" s="2" t="s">
        <v>1160</v>
      </c>
      <c r="E506" s="18" t="s">
        <v>70</v>
      </c>
      <c r="F506" s="7" t="n">
        <v>4</v>
      </c>
      <c r="G506" s="7" t="n">
        <v>3</v>
      </c>
    </row>
    <row r="507" customFormat="false" ht="15" hidden="false" customHeight="false" outlineLevel="0" collapsed="false">
      <c r="A507" s="5" t="s">
        <v>497</v>
      </c>
      <c r="B507" s="5" t="s">
        <v>415</v>
      </c>
      <c r="C507" s="18" t="s">
        <v>11</v>
      </c>
      <c r="D507" s="2" t="s">
        <v>1161</v>
      </c>
      <c r="E507" s="18" t="s">
        <v>70</v>
      </c>
      <c r="F507" s="7" t="n">
        <v>3</v>
      </c>
      <c r="G507" s="7" t="n">
        <v>3</v>
      </c>
    </row>
    <row r="508" customFormat="false" ht="15" hidden="false" customHeight="false" outlineLevel="0" collapsed="false">
      <c r="A508" s="5" t="s">
        <v>497</v>
      </c>
      <c r="B508" s="5" t="s">
        <v>415</v>
      </c>
      <c r="C508" s="18" t="s">
        <v>11</v>
      </c>
      <c r="D508" s="2" t="s">
        <v>1341</v>
      </c>
      <c r="E508" s="18" t="s">
        <v>1018</v>
      </c>
      <c r="F508" s="7" t="n">
        <v>5</v>
      </c>
      <c r="G508" s="7" t="n">
        <v>5</v>
      </c>
    </row>
    <row r="509" customFormat="false" ht="15" hidden="false" customHeight="false" outlineLevel="0" collapsed="false">
      <c r="A509" s="5" t="s">
        <v>497</v>
      </c>
      <c r="B509" s="5" t="s">
        <v>415</v>
      </c>
      <c r="C509" s="18" t="s">
        <v>11</v>
      </c>
      <c r="D509" s="2" t="s">
        <v>1162</v>
      </c>
      <c r="E509" s="18" t="s">
        <v>1018</v>
      </c>
      <c r="F509" s="7" t="n">
        <v>3</v>
      </c>
      <c r="G509" s="7" t="n">
        <v>3</v>
      </c>
    </row>
    <row r="510" customFormat="false" ht="15" hidden="false" customHeight="false" outlineLevel="0" collapsed="false">
      <c r="A510" s="5" t="s">
        <v>497</v>
      </c>
      <c r="B510" s="5" t="s">
        <v>415</v>
      </c>
      <c r="C510" s="18" t="s">
        <v>11</v>
      </c>
      <c r="D510" s="3" t="s">
        <v>1163</v>
      </c>
      <c r="E510" s="18" t="s">
        <v>1018</v>
      </c>
      <c r="F510" s="7" t="n">
        <v>3</v>
      </c>
      <c r="G510" s="7" t="n">
        <v>3</v>
      </c>
    </row>
    <row r="511" customFormat="false" ht="15" hidden="false" customHeight="false" outlineLevel="0" collapsed="false">
      <c r="A511" s="5" t="s">
        <v>497</v>
      </c>
      <c r="B511" s="5" t="s">
        <v>415</v>
      </c>
      <c r="C511" s="18" t="s">
        <v>11</v>
      </c>
      <c r="D511" s="2" t="s">
        <v>1164</v>
      </c>
      <c r="E511" s="18" t="s">
        <v>1018</v>
      </c>
      <c r="F511" s="7" t="n">
        <v>5</v>
      </c>
      <c r="G511" s="7" t="n">
        <v>4</v>
      </c>
    </row>
    <row r="512" customFormat="false" ht="15" hidden="false" customHeight="false" outlineLevel="0" collapsed="false">
      <c r="A512" s="5" t="s">
        <v>497</v>
      </c>
      <c r="B512" s="5" t="s">
        <v>415</v>
      </c>
      <c r="C512" s="18" t="s">
        <v>11</v>
      </c>
      <c r="D512" s="2" t="s">
        <v>1342</v>
      </c>
      <c r="E512" s="18" t="s">
        <v>1018</v>
      </c>
      <c r="F512" s="7" t="n">
        <v>5</v>
      </c>
      <c r="G512" s="7" t="n">
        <v>4</v>
      </c>
    </row>
    <row r="513" customFormat="false" ht="15" hidden="false" customHeight="false" outlineLevel="0" collapsed="false">
      <c r="A513" s="5" t="s">
        <v>497</v>
      </c>
      <c r="B513" s="5" t="s">
        <v>415</v>
      </c>
      <c r="C513" s="18" t="s">
        <v>11</v>
      </c>
      <c r="D513" s="2" t="s">
        <v>1166</v>
      </c>
      <c r="E513" s="18" t="s">
        <v>1018</v>
      </c>
      <c r="F513" s="7" t="n">
        <v>6</v>
      </c>
      <c r="G513" s="7" t="n">
        <v>12</v>
      </c>
    </row>
    <row r="514" customFormat="false" ht="15" hidden="false" customHeight="false" outlineLevel="0" collapsed="false">
      <c r="A514" s="5" t="s">
        <v>497</v>
      </c>
      <c r="B514" s="5" t="s">
        <v>415</v>
      </c>
      <c r="C514" s="18" t="s">
        <v>11</v>
      </c>
      <c r="D514" s="2" t="s">
        <v>1167</v>
      </c>
      <c r="E514" s="18" t="s">
        <v>1018</v>
      </c>
      <c r="F514" s="7" t="n">
        <v>5</v>
      </c>
      <c r="G514" s="7" t="n">
        <v>8</v>
      </c>
    </row>
    <row r="515" customFormat="false" ht="15" hidden="false" customHeight="false" outlineLevel="0" collapsed="false">
      <c r="A515" s="5" t="s">
        <v>502</v>
      </c>
      <c r="B515" s="5" t="s">
        <v>415</v>
      </c>
      <c r="C515" s="18" t="s">
        <v>11</v>
      </c>
      <c r="D515" s="2" t="s">
        <v>1160</v>
      </c>
      <c r="E515" s="18" t="s">
        <v>70</v>
      </c>
      <c r="F515" s="7" t="n">
        <v>4</v>
      </c>
      <c r="G515" s="7" t="n">
        <v>3</v>
      </c>
    </row>
    <row r="516" customFormat="false" ht="15" hidden="false" customHeight="false" outlineLevel="0" collapsed="false">
      <c r="A516" s="5" t="s">
        <v>502</v>
      </c>
      <c r="B516" s="5" t="s">
        <v>415</v>
      </c>
      <c r="C516" s="18" t="s">
        <v>11</v>
      </c>
      <c r="D516" s="2" t="s">
        <v>1161</v>
      </c>
      <c r="E516" s="18" t="s">
        <v>70</v>
      </c>
      <c r="F516" s="7" t="n">
        <v>3</v>
      </c>
      <c r="G516" s="7" t="n">
        <v>3</v>
      </c>
    </row>
    <row r="517" customFormat="false" ht="15" hidden="false" customHeight="false" outlineLevel="0" collapsed="false">
      <c r="A517" s="5" t="s">
        <v>502</v>
      </c>
      <c r="B517" s="5" t="s">
        <v>415</v>
      </c>
      <c r="C517" s="18" t="s">
        <v>11</v>
      </c>
      <c r="D517" s="2" t="s">
        <v>1162</v>
      </c>
      <c r="E517" s="18" t="s">
        <v>1018</v>
      </c>
      <c r="F517" s="7" t="n">
        <v>3</v>
      </c>
      <c r="G517" s="7" t="n">
        <v>3</v>
      </c>
    </row>
    <row r="518" customFormat="false" ht="15" hidden="false" customHeight="false" outlineLevel="0" collapsed="false">
      <c r="A518" s="5" t="s">
        <v>502</v>
      </c>
      <c r="B518" s="5" t="s">
        <v>415</v>
      </c>
      <c r="C518" s="18" t="s">
        <v>11</v>
      </c>
      <c r="D518" s="3" t="s">
        <v>1163</v>
      </c>
      <c r="E518" s="18" t="s">
        <v>1018</v>
      </c>
      <c r="F518" s="7" t="n">
        <v>3</v>
      </c>
      <c r="G518" s="7" t="n">
        <v>3</v>
      </c>
    </row>
    <row r="519" customFormat="false" ht="15" hidden="false" customHeight="false" outlineLevel="0" collapsed="false">
      <c r="A519" s="5" t="s">
        <v>502</v>
      </c>
      <c r="B519" s="5" t="s">
        <v>415</v>
      </c>
      <c r="C519" s="18" t="s">
        <v>11</v>
      </c>
      <c r="D519" s="2" t="s">
        <v>1164</v>
      </c>
      <c r="E519" s="18" t="s">
        <v>1018</v>
      </c>
      <c r="F519" s="7" t="n">
        <v>5</v>
      </c>
      <c r="G519" s="7" t="n">
        <v>4</v>
      </c>
    </row>
    <row r="520" customFormat="false" ht="15" hidden="false" customHeight="false" outlineLevel="0" collapsed="false">
      <c r="A520" s="5" t="s">
        <v>502</v>
      </c>
      <c r="B520" s="5" t="s">
        <v>415</v>
      </c>
      <c r="C520" s="18" t="s">
        <v>11</v>
      </c>
      <c r="D520" s="2" t="s">
        <v>1169</v>
      </c>
      <c r="E520" s="18" t="s">
        <v>1018</v>
      </c>
      <c r="F520" s="7" t="n">
        <v>4</v>
      </c>
      <c r="G520" s="7" t="n">
        <v>3</v>
      </c>
    </row>
    <row r="521" customFormat="false" ht="15" hidden="false" customHeight="false" outlineLevel="0" collapsed="false">
      <c r="A521" s="5" t="s">
        <v>502</v>
      </c>
      <c r="B521" s="5" t="s">
        <v>415</v>
      </c>
      <c r="C521" s="18" t="s">
        <v>11</v>
      </c>
      <c r="D521" s="2" t="s">
        <v>1166</v>
      </c>
      <c r="E521" s="18" t="s">
        <v>1018</v>
      </c>
      <c r="F521" s="7" t="n">
        <v>6</v>
      </c>
      <c r="G521" s="7" t="n">
        <v>12</v>
      </c>
    </row>
    <row r="522" customFormat="false" ht="15" hidden="false" customHeight="false" outlineLevel="0" collapsed="false">
      <c r="A522" s="5" t="s">
        <v>502</v>
      </c>
      <c r="B522" s="5" t="s">
        <v>415</v>
      </c>
      <c r="C522" s="18" t="s">
        <v>11</v>
      </c>
      <c r="D522" s="2" t="s">
        <v>1167</v>
      </c>
      <c r="E522" s="18" t="s">
        <v>1018</v>
      </c>
      <c r="F522" s="7" t="n">
        <v>5</v>
      </c>
      <c r="G522" s="7" t="n">
        <v>8</v>
      </c>
    </row>
    <row r="523" customFormat="false" ht="15" hidden="false" customHeight="false" outlineLevel="0" collapsed="false">
      <c r="A523" s="5" t="s">
        <v>507</v>
      </c>
      <c r="B523" s="5" t="s">
        <v>415</v>
      </c>
      <c r="C523" s="18" t="s">
        <v>11</v>
      </c>
      <c r="D523" s="2" t="s">
        <v>774</v>
      </c>
      <c r="E523" s="18" t="s">
        <v>70</v>
      </c>
      <c r="F523" s="7" t="n">
        <v>3</v>
      </c>
      <c r="G523" s="7" t="n">
        <v>3</v>
      </c>
    </row>
    <row r="524" customFormat="false" ht="15" hidden="false" customHeight="false" outlineLevel="0" collapsed="false">
      <c r="A524" s="5" t="s">
        <v>507</v>
      </c>
      <c r="B524" s="5" t="s">
        <v>415</v>
      </c>
      <c r="C524" s="18" t="s">
        <v>11</v>
      </c>
      <c r="D524" s="2" t="s">
        <v>1343</v>
      </c>
      <c r="E524" s="18" t="s">
        <v>1018</v>
      </c>
      <c r="F524" s="7" t="n">
        <v>5</v>
      </c>
      <c r="G524" s="7" t="n">
        <v>5</v>
      </c>
    </row>
    <row r="525" customFormat="false" ht="15" hidden="false" customHeight="false" outlineLevel="0" collapsed="false">
      <c r="A525" s="5" t="s">
        <v>507</v>
      </c>
      <c r="B525" s="5" t="s">
        <v>415</v>
      </c>
      <c r="C525" s="18" t="s">
        <v>11</v>
      </c>
      <c r="D525" s="2" t="s">
        <v>1344</v>
      </c>
      <c r="E525" s="18" t="s">
        <v>1018</v>
      </c>
      <c r="F525" s="7" t="n">
        <v>6</v>
      </c>
      <c r="G525" s="7" t="n">
        <v>6</v>
      </c>
    </row>
    <row r="526" customFormat="false" ht="15" hidden="false" customHeight="false" outlineLevel="0" collapsed="false">
      <c r="A526" s="5" t="s">
        <v>507</v>
      </c>
      <c r="B526" s="5" t="s">
        <v>415</v>
      </c>
      <c r="C526" s="18" t="s">
        <v>11</v>
      </c>
      <c r="D526" s="2" t="s">
        <v>1345</v>
      </c>
      <c r="E526" s="18" t="s">
        <v>1018</v>
      </c>
      <c r="F526" s="7" t="n">
        <v>8</v>
      </c>
      <c r="G526" s="7" t="n">
        <v>12</v>
      </c>
    </row>
    <row r="527" customFormat="false" ht="15" hidden="false" customHeight="false" outlineLevel="0" collapsed="false">
      <c r="A527" s="5" t="s">
        <v>507</v>
      </c>
      <c r="B527" s="5" t="s">
        <v>415</v>
      </c>
      <c r="C527" s="18" t="s">
        <v>11</v>
      </c>
      <c r="D527" s="2" t="s">
        <v>1346</v>
      </c>
      <c r="E527" s="18" t="s">
        <v>1018</v>
      </c>
      <c r="F527" s="7" t="n">
        <v>2</v>
      </c>
      <c r="G527" s="7" t="n">
        <v>5</v>
      </c>
    </row>
    <row r="528" customFormat="false" ht="15" hidden="false" customHeight="false" outlineLevel="0" collapsed="false">
      <c r="A528" s="5" t="s">
        <v>512</v>
      </c>
      <c r="B528" s="5" t="s">
        <v>415</v>
      </c>
      <c r="C528" s="18" t="s">
        <v>11</v>
      </c>
      <c r="D528" s="2" t="s">
        <v>1160</v>
      </c>
      <c r="E528" s="18" t="s">
        <v>70</v>
      </c>
      <c r="F528" s="7" t="n">
        <v>4</v>
      </c>
      <c r="G528" s="7" t="n">
        <v>3</v>
      </c>
    </row>
    <row r="529" customFormat="false" ht="15" hidden="false" customHeight="false" outlineLevel="0" collapsed="false">
      <c r="A529" s="5" t="s">
        <v>512</v>
      </c>
      <c r="B529" s="5" t="s">
        <v>415</v>
      </c>
      <c r="C529" s="18" t="s">
        <v>11</v>
      </c>
      <c r="D529" s="2" t="s">
        <v>1161</v>
      </c>
      <c r="E529" s="18" t="s">
        <v>70</v>
      </c>
      <c r="F529" s="7" t="n">
        <v>3</v>
      </c>
      <c r="G529" s="7" t="n">
        <v>3</v>
      </c>
    </row>
    <row r="530" customFormat="false" ht="15" hidden="false" customHeight="false" outlineLevel="0" collapsed="false">
      <c r="A530" s="5" t="s">
        <v>512</v>
      </c>
      <c r="B530" s="5" t="s">
        <v>415</v>
      </c>
      <c r="C530" s="18" t="s">
        <v>11</v>
      </c>
      <c r="D530" s="2" t="s">
        <v>1162</v>
      </c>
      <c r="E530" s="18" t="s">
        <v>1018</v>
      </c>
      <c r="F530" s="7" t="n">
        <v>3</v>
      </c>
      <c r="G530" s="7" t="n">
        <v>3</v>
      </c>
    </row>
    <row r="531" customFormat="false" ht="15" hidden="false" customHeight="false" outlineLevel="0" collapsed="false">
      <c r="A531" s="5" t="s">
        <v>512</v>
      </c>
      <c r="B531" s="5" t="s">
        <v>415</v>
      </c>
      <c r="C531" s="18" t="s">
        <v>11</v>
      </c>
      <c r="D531" s="3" t="s">
        <v>1163</v>
      </c>
      <c r="E531" s="18" t="s">
        <v>1018</v>
      </c>
      <c r="F531" s="7" t="n">
        <v>3</v>
      </c>
      <c r="G531" s="7" t="n">
        <v>3</v>
      </c>
    </row>
    <row r="532" customFormat="false" ht="15" hidden="false" customHeight="false" outlineLevel="0" collapsed="false">
      <c r="A532" s="5" t="s">
        <v>512</v>
      </c>
      <c r="B532" s="5" t="s">
        <v>415</v>
      </c>
      <c r="C532" s="18" t="s">
        <v>11</v>
      </c>
      <c r="D532" s="2" t="s">
        <v>1347</v>
      </c>
      <c r="E532" s="18" t="s">
        <v>1018</v>
      </c>
      <c r="F532" s="7" t="n">
        <v>4</v>
      </c>
      <c r="G532" s="7" t="n">
        <v>4</v>
      </c>
    </row>
    <row r="533" customFormat="false" ht="15" hidden="false" customHeight="false" outlineLevel="0" collapsed="false">
      <c r="A533" s="5" t="s">
        <v>512</v>
      </c>
      <c r="B533" s="5" t="s">
        <v>415</v>
      </c>
      <c r="C533" s="18" t="s">
        <v>11</v>
      </c>
      <c r="D533" s="2" t="s">
        <v>1164</v>
      </c>
      <c r="E533" s="18" t="s">
        <v>1018</v>
      </c>
      <c r="F533" s="7" t="n">
        <v>5</v>
      </c>
      <c r="G533" s="7" t="n">
        <v>4</v>
      </c>
    </row>
    <row r="534" customFormat="false" ht="15" hidden="false" customHeight="false" outlineLevel="0" collapsed="false">
      <c r="A534" s="5" t="s">
        <v>512</v>
      </c>
      <c r="B534" s="5" t="s">
        <v>415</v>
      </c>
      <c r="C534" s="18" t="s">
        <v>11</v>
      </c>
      <c r="D534" s="2" t="s">
        <v>1348</v>
      </c>
      <c r="E534" s="18" t="s">
        <v>1018</v>
      </c>
      <c r="F534" s="7" t="n">
        <v>4</v>
      </c>
      <c r="G534" s="7" t="n">
        <v>3</v>
      </c>
    </row>
    <row r="535" customFormat="false" ht="15" hidden="false" customHeight="false" outlineLevel="0" collapsed="false">
      <c r="A535" s="5" t="s">
        <v>512</v>
      </c>
      <c r="B535" s="5" t="s">
        <v>415</v>
      </c>
      <c r="C535" s="18" t="s">
        <v>11</v>
      </c>
      <c r="D535" s="2" t="s">
        <v>1166</v>
      </c>
      <c r="E535" s="18" t="s">
        <v>1018</v>
      </c>
      <c r="F535" s="7" t="n">
        <v>6</v>
      </c>
      <c r="G535" s="7" t="n">
        <v>12</v>
      </c>
    </row>
    <row r="536" customFormat="false" ht="15" hidden="false" customHeight="false" outlineLevel="0" collapsed="false">
      <c r="A536" s="5" t="s">
        <v>512</v>
      </c>
      <c r="B536" s="5" t="s">
        <v>415</v>
      </c>
      <c r="C536" s="18" t="s">
        <v>11</v>
      </c>
      <c r="D536" s="2" t="s">
        <v>1167</v>
      </c>
      <c r="E536" s="18" t="s">
        <v>1018</v>
      </c>
      <c r="F536" s="7" t="n">
        <v>5</v>
      </c>
      <c r="G536" s="7" t="n">
        <v>8</v>
      </c>
    </row>
    <row r="537" customFormat="false" ht="15" hidden="false" customHeight="false" outlineLevel="0" collapsed="false">
      <c r="A537" s="5" t="s">
        <v>517</v>
      </c>
      <c r="B537" s="5" t="s">
        <v>415</v>
      </c>
      <c r="C537" s="18" t="s">
        <v>11</v>
      </c>
      <c r="D537" s="2" t="s">
        <v>1160</v>
      </c>
      <c r="E537" s="18" t="s">
        <v>70</v>
      </c>
      <c r="F537" s="7" t="n">
        <v>4</v>
      </c>
      <c r="G537" s="7" t="n">
        <v>3</v>
      </c>
    </row>
    <row r="538" customFormat="false" ht="15" hidden="false" customHeight="false" outlineLevel="0" collapsed="false">
      <c r="A538" s="5" t="s">
        <v>517</v>
      </c>
      <c r="B538" s="5" t="s">
        <v>415</v>
      </c>
      <c r="C538" s="18" t="s">
        <v>11</v>
      </c>
      <c r="D538" s="2" t="s">
        <v>1161</v>
      </c>
      <c r="E538" s="18" t="s">
        <v>70</v>
      </c>
      <c r="F538" s="7" t="n">
        <v>3</v>
      </c>
      <c r="G538" s="7" t="n">
        <v>3</v>
      </c>
    </row>
    <row r="539" customFormat="false" ht="15" hidden="false" customHeight="false" outlineLevel="0" collapsed="false">
      <c r="A539" s="5" t="s">
        <v>517</v>
      </c>
      <c r="B539" s="5" t="s">
        <v>415</v>
      </c>
      <c r="C539" s="18" t="s">
        <v>11</v>
      </c>
      <c r="D539" s="2" t="s">
        <v>1162</v>
      </c>
      <c r="E539" s="18" t="s">
        <v>1018</v>
      </c>
      <c r="F539" s="7" t="n">
        <v>3</v>
      </c>
      <c r="G539" s="7" t="n">
        <v>3</v>
      </c>
    </row>
    <row r="540" customFormat="false" ht="15" hidden="false" customHeight="false" outlineLevel="0" collapsed="false">
      <c r="A540" s="5" t="s">
        <v>517</v>
      </c>
      <c r="B540" s="5" t="s">
        <v>415</v>
      </c>
      <c r="C540" s="18" t="s">
        <v>11</v>
      </c>
      <c r="D540" s="3" t="s">
        <v>1163</v>
      </c>
      <c r="E540" s="18" t="s">
        <v>1018</v>
      </c>
      <c r="F540" s="7" t="n">
        <v>3</v>
      </c>
      <c r="G540" s="7" t="n">
        <v>3</v>
      </c>
    </row>
    <row r="541" customFormat="false" ht="15" hidden="false" customHeight="false" outlineLevel="0" collapsed="false">
      <c r="A541" s="5" t="s">
        <v>517</v>
      </c>
      <c r="B541" s="5" t="s">
        <v>415</v>
      </c>
      <c r="C541" s="18" t="s">
        <v>11</v>
      </c>
      <c r="D541" s="2" t="s">
        <v>1349</v>
      </c>
      <c r="E541" s="18" t="s">
        <v>1018</v>
      </c>
      <c r="F541" s="7" t="n">
        <v>4</v>
      </c>
      <c r="G541" s="7" t="n">
        <v>4</v>
      </c>
    </row>
    <row r="542" customFormat="false" ht="15" hidden="false" customHeight="false" outlineLevel="0" collapsed="false">
      <c r="A542" s="5" t="s">
        <v>517</v>
      </c>
      <c r="B542" s="5" t="s">
        <v>415</v>
      </c>
      <c r="C542" s="18" t="s">
        <v>11</v>
      </c>
      <c r="D542" s="2" t="s">
        <v>1164</v>
      </c>
      <c r="E542" s="18" t="s">
        <v>1018</v>
      </c>
      <c r="F542" s="7" t="n">
        <v>5</v>
      </c>
      <c r="G542" s="7" t="n">
        <v>4</v>
      </c>
    </row>
    <row r="543" customFormat="false" ht="15" hidden="false" customHeight="false" outlineLevel="0" collapsed="false">
      <c r="A543" s="5" t="s">
        <v>517</v>
      </c>
      <c r="B543" s="5" t="s">
        <v>415</v>
      </c>
      <c r="C543" s="18" t="s">
        <v>11</v>
      </c>
      <c r="D543" s="2" t="s">
        <v>1350</v>
      </c>
      <c r="E543" s="18" t="s">
        <v>1018</v>
      </c>
      <c r="F543" s="7" t="n">
        <v>5</v>
      </c>
      <c r="G543" s="7" t="n">
        <v>4</v>
      </c>
    </row>
    <row r="544" customFormat="false" ht="15" hidden="false" customHeight="false" outlineLevel="0" collapsed="false">
      <c r="A544" s="5" t="s">
        <v>517</v>
      </c>
      <c r="B544" s="5" t="s">
        <v>415</v>
      </c>
      <c r="C544" s="18" t="s">
        <v>11</v>
      </c>
      <c r="D544" s="2" t="s">
        <v>1166</v>
      </c>
      <c r="E544" s="18" t="s">
        <v>1018</v>
      </c>
      <c r="F544" s="7" t="n">
        <v>6</v>
      </c>
      <c r="G544" s="7" t="n">
        <v>12</v>
      </c>
    </row>
    <row r="545" customFormat="false" ht="15" hidden="false" customHeight="false" outlineLevel="0" collapsed="false">
      <c r="A545" s="5" t="s">
        <v>517</v>
      </c>
      <c r="B545" s="5" t="s">
        <v>415</v>
      </c>
      <c r="C545" s="18" t="s">
        <v>11</v>
      </c>
      <c r="D545" s="2" t="s">
        <v>1167</v>
      </c>
      <c r="E545" s="18" t="s">
        <v>1018</v>
      </c>
      <c r="F545" s="7" t="n">
        <v>5</v>
      </c>
      <c r="G545" s="7" t="n">
        <v>8</v>
      </c>
    </row>
    <row r="546" customFormat="false" ht="15" hidden="false" customHeight="false" outlineLevel="0" collapsed="false">
      <c r="A546" s="5" t="s">
        <v>522</v>
      </c>
      <c r="B546" s="5" t="s">
        <v>415</v>
      </c>
      <c r="C546" s="18" t="s">
        <v>11</v>
      </c>
      <c r="D546" s="2" t="s">
        <v>1176</v>
      </c>
      <c r="E546" s="18" t="s">
        <v>70</v>
      </c>
      <c r="F546" s="7" t="n">
        <v>5</v>
      </c>
      <c r="G546" s="7" t="n">
        <v>5</v>
      </c>
    </row>
    <row r="547" customFormat="false" ht="15" hidden="false" customHeight="false" outlineLevel="0" collapsed="false">
      <c r="A547" s="5" t="s">
        <v>522</v>
      </c>
      <c r="B547" s="5" t="s">
        <v>415</v>
      </c>
      <c r="C547" s="18" t="s">
        <v>11</v>
      </c>
      <c r="D547" s="2" t="s">
        <v>1177</v>
      </c>
      <c r="E547" s="18" t="s">
        <v>1018</v>
      </c>
      <c r="F547" s="7" t="n">
        <v>3</v>
      </c>
      <c r="G547" s="7" t="n">
        <v>5</v>
      </c>
    </row>
    <row r="548" customFormat="false" ht="15" hidden="false" customHeight="false" outlineLevel="0" collapsed="false">
      <c r="A548" s="5" t="s">
        <v>526</v>
      </c>
      <c r="B548" s="18" t="s">
        <v>525</v>
      </c>
      <c r="C548" s="18" t="s">
        <v>525</v>
      </c>
      <c r="D548" s="3" t="s">
        <v>1351</v>
      </c>
      <c r="E548" s="18" t="s">
        <v>1018</v>
      </c>
      <c r="F548" s="7" t="n">
        <v>5</v>
      </c>
      <c r="G548" s="7" t="n">
        <v>5</v>
      </c>
    </row>
    <row r="549" customFormat="false" ht="15" hidden="false" customHeight="false" outlineLevel="0" collapsed="false">
      <c r="A549" s="5" t="s">
        <v>526</v>
      </c>
      <c r="B549" s="18" t="s">
        <v>525</v>
      </c>
      <c r="C549" s="18" t="s">
        <v>525</v>
      </c>
      <c r="D549" s="2" t="s">
        <v>1352</v>
      </c>
      <c r="E549" s="18" t="s">
        <v>1018</v>
      </c>
      <c r="F549" s="7" t="n">
        <v>15</v>
      </c>
      <c r="G549" s="7" t="n">
        <v>15</v>
      </c>
    </row>
    <row r="550" customFormat="false" ht="15" hidden="false" customHeight="false" outlineLevel="0" collapsed="false">
      <c r="A550" s="5" t="s">
        <v>526</v>
      </c>
      <c r="B550" s="18" t="s">
        <v>525</v>
      </c>
      <c r="C550" s="18" t="s">
        <v>525</v>
      </c>
      <c r="D550" s="2" t="s">
        <v>1353</v>
      </c>
      <c r="E550" s="18" t="s">
        <v>1018</v>
      </c>
      <c r="F550" s="7" t="n">
        <v>12</v>
      </c>
      <c r="G550" s="7" t="n">
        <v>12</v>
      </c>
    </row>
    <row r="551" customFormat="false" ht="15" hidden="false" customHeight="false" outlineLevel="0" collapsed="false">
      <c r="A551" s="5" t="s">
        <v>526</v>
      </c>
      <c r="B551" s="18" t="s">
        <v>525</v>
      </c>
      <c r="C551" s="18" t="s">
        <v>525</v>
      </c>
      <c r="D551" s="2" t="s">
        <v>1354</v>
      </c>
      <c r="E551" s="18" t="s">
        <v>1018</v>
      </c>
      <c r="F551" s="7" t="n">
        <v>8</v>
      </c>
      <c r="G551" s="7" t="n">
        <v>8</v>
      </c>
    </row>
    <row r="552" customFormat="false" ht="15" hidden="false" customHeight="false" outlineLevel="0" collapsed="false">
      <c r="A552" s="5" t="s">
        <v>526</v>
      </c>
      <c r="B552" s="18" t="s">
        <v>525</v>
      </c>
      <c r="C552" s="18" t="s">
        <v>525</v>
      </c>
      <c r="D552" s="2" t="s">
        <v>1047</v>
      </c>
      <c r="E552" s="18" t="s">
        <v>70</v>
      </c>
      <c r="F552" s="7" t="n">
        <v>0</v>
      </c>
      <c r="G552" s="7" t="n">
        <v>5</v>
      </c>
    </row>
    <row r="554" customFormat="false" ht="58.2" hidden="false" customHeight="false" outlineLevel="0" collapsed="false">
      <c r="A554" s="1" t="s">
        <v>1355</v>
      </c>
      <c r="D554" s="20" t="s">
        <v>1356</v>
      </c>
    </row>
  </sheetData>
  <autoFilter ref="A1:G5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9.1"/>
    <col collapsed="false" customWidth="true" hidden="false" outlineLevel="0" max="6" min="3" style="0" width="10.92"/>
  </cols>
  <sheetData>
    <row r="1" customFormat="false" ht="15" hidden="false" customHeight="false" outlineLevel="0" collapsed="false">
      <c r="A1" s="4" t="s">
        <v>1012</v>
      </c>
      <c r="B1" s="4" t="s">
        <v>54</v>
      </c>
      <c r="C1" s="4" t="s">
        <v>1357</v>
      </c>
      <c r="D1" s="4" t="s">
        <v>1358</v>
      </c>
      <c r="E1" s="4" t="s">
        <v>1359</v>
      </c>
      <c r="F1" s="4" t="s">
        <v>1360</v>
      </c>
    </row>
    <row r="2" customFormat="false" ht="15" hidden="false" customHeight="false" outlineLevel="0" collapsed="false">
      <c r="A2" s="2" t="s">
        <v>65</v>
      </c>
      <c r="B2" s="18" t="s">
        <v>65</v>
      </c>
      <c r="C2" s="18" t="n">
        <f aca="false">SUMIFS(01_통합반_영상!$L$2:$L$108,01_통합반_영상!$B$2:$B$108,$A2,01_통합반_영상!$C$2:$C$108,$B2)</f>
        <v>140</v>
      </c>
      <c r="D2" s="18" t="n">
        <f aca="false">SUMIFS(02_통합반_오프라인!$K$2:$K$108,02_통합반_오프라인!$B$2:$B$108,$A2,02_통합반_오프라인!$C$2:$C$108,$B2)</f>
        <v>148</v>
      </c>
      <c r="E2" s="18" t="n">
        <f aca="false">SUMIFS(03_실전반_영상!$L$2:$L$105,03_실전반_영상!$B$2:$B$105,$A2,03_실전반_영상!$C$2:$C$105,$B2)</f>
        <v>107</v>
      </c>
      <c r="F2" s="18" t="n">
        <f aca="false">SUMIFS(04_실전반_오프라인!$K$2:$K$105,04_실전반_오프라인!$B$2:$B$105,$A2,04_실전반_오프라인!$C$2:$C$105,$B2)</f>
        <v>119</v>
      </c>
    </row>
    <row r="3" customFormat="false" ht="15" hidden="false" customHeight="false" outlineLevel="0" collapsed="false">
      <c r="A3" s="1" t="s">
        <v>65</v>
      </c>
      <c r="B3" s="21" t="s">
        <v>1361</v>
      </c>
      <c r="C3" s="21" t="n">
        <f aca="false">SUM(C2)</f>
        <v>140</v>
      </c>
      <c r="D3" s="21" t="n">
        <f aca="false">SUM(D2)</f>
        <v>148</v>
      </c>
      <c r="E3" s="21" t="n">
        <f aca="false">SUM(E2)</f>
        <v>107</v>
      </c>
      <c r="F3" s="21" t="n">
        <f aca="false">SUM(F2)</f>
        <v>119</v>
      </c>
    </row>
    <row r="4" customFormat="false" ht="15" hidden="false" customHeight="false" outlineLevel="0" collapsed="false">
      <c r="A4" s="2" t="s">
        <v>100</v>
      </c>
      <c r="B4" s="18" t="s">
        <v>7</v>
      </c>
      <c r="C4" s="18" t="n">
        <f aca="false">SUMIFS(01_통합반_영상!$L$2:$L$108,01_통합반_영상!$B$2:$B$108,$A4,01_통합반_영상!$C$2:$C$108,$B4)</f>
        <v>276</v>
      </c>
      <c r="D4" s="18" t="n">
        <f aca="false">SUMIFS(02_통합반_오프라인!$K$2:$K$108,02_통합반_오프라인!$B$2:$B$108,$A4,02_통합반_오프라인!$C$2:$C$108,$B4)</f>
        <v>360</v>
      </c>
      <c r="E4" s="18" t="n">
        <f aca="false">SUMIFS(03_실전반_영상!$L$2:$L$105,03_실전반_영상!$B$2:$B$105,$A4,03_실전반_영상!$C$2:$C$105,$B4)</f>
        <v>217</v>
      </c>
      <c r="F4" s="18" t="n">
        <f aca="false">SUMIFS(04_실전반_오프라인!$K$2:$K$105,04_실전반_오프라인!$B$2:$B$105,$A4,04_실전반_오프라인!$C$2:$C$105,$B4)</f>
        <v>286</v>
      </c>
    </row>
    <row r="5" customFormat="false" ht="15" hidden="false" customHeight="false" outlineLevel="0" collapsed="false">
      <c r="A5" s="2" t="s">
        <v>100</v>
      </c>
      <c r="B5" s="18" t="s">
        <v>9</v>
      </c>
      <c r="C5" s="18" t="n">
        <f aca="false">SUMIFS(01_통합반_영상!$L$2:$L$108,01_통합반_영상!$B$2:$B$108,$A5,01_통합반_영상!$C$2:$C$108,$B5)</f>
        <v>180</v>
      </c>
      <c r="D5" s="18" t="n">
        <f aca="false">SUMIFS(02_통합반_오프라인!$K$2:$K$108,02_통합반_오프라인!$B$2:$B$108,$A5,02_통합반_오프라인!$C$2:$C$108,$B5)</f>
        <v>230</v>
      </c>
      <c r="E5" s="18" t="n">
        <f aca="false">SUMIFS(03_실전반_영상!$L$2:$L$105,03_실전반_영상!$B$2:$B$105,$A5,03_실전반_영상!$C$2:$C$105,$B5)</f>
        <v>133</v>
      </c>
      <c r="F5" s="18" t="n">
        <f aca="false">SUMIFS(04_실전반_오프라인!$K$2:$K$105,04_실전반_오프라인!$B$2:$B$105,$A5,04_실전반_오프라인!$C$2:$C$105,$B5)</f>
        <v>189</v>
      </c>
    </row>
    <row r="6" customFormat="false" ht="15" hidden="false" customHeight="false" outlineLevel="0" collapsed="false">
      <c r="A6" s="2" t="s">
        <v>100</v>
      </c>
      <c r="B6" s="18" t="s">
        <v>11</v>
      </c>
      <c r="C6" s="18" t="n">
        <f aca="false">SUMIFS(01_통합반_영상!$L$2:$L$108,01_통합반_영상!$B$2:$B$108,$A6,01_통합반_영상!$C$2:$C$108,$B6)</f>
        <v>377</v>
      </c>
      <c r="D6" s="18" t="n">
        <f aca="false">SUMIFS(02_통합반_오프라인!$K$2:$K$108,02_통합반_오프라인!$B$2:$B$108,$A6,02_통합반_오프라인!$C$2:$C$108,$B6)</f>
        <v>447</v>
      </c>
      <c r="E6" s="18" t="n">
        <f aca="false">SUMIFS(03_실전반_영상!$L$2:$L$105,03_실전반_영상!$B$2:$B$105,$A6,03_실전반_영상!$C$2:$C$105,$B6)</f>
        <v>311</v>
      </c>
      <c r="F6" s="18" t="n">
        <f aca="false">SUMIFS(04_실전반_오프라인!$K$2:$K$105,04_실전반_오프라인!$B$2:$B$105,$A6,04_실전반_오프라인!$C$2:$C$105,$B6)</f>
        <v>384</v>
      </c>
    </row>
    <row r="7" customFormat="false" ht="15" hidden="false" customHeight="false" outlineLevel="0" collapsed="false">
      <c r="A7" s="1" t="s">
        <v>100</v>
      </c>
      <c r="B7" s="21" t="s">
        <v>1361</v>
      </c>
      <c r="C7" s="21" t="n">
        <f aca="false">SUM(C4:C6)</f>
        <v>833</v>
      </c>
      <c r="D7" s="21" t="n">
        <f aca="false">SUM(D4:D6)</f>
        <v>1037</v>
      </c>
      <c r="E7" s="21" t="n">
        <f aca="false">SUM(E4:E6)</f>
        <v>661</v>
      </c>
      <c r="F7" s="21" t="n">
        <f aca="false">SUM(F4:F6)</f>
        <v>859</v>
      </c>
    </row>
    <row r="8" customFormat="false" ht="15" hidden="false" customHeight="false" outlineLevel="0" collapsed="false">
      <c r="A8" s="2" t="s">
        <v>281</v>
      </c>
      <c r="B8" s="18" t="s">
        <v>7</v>
      </c>
      <c r="C8" s="18" t="n">
        <f aca="false">SUMIFS(01_통합반_영상!$L$2:$L$108,01_통합반_영상!$B$2:$B$108,$A8,01_통합반_영상!$C$2:$C$108,$B8)</f>
        <v>212</v>
      </c>
      <c r="D8" s="18" t="n">
        <f aca="false">SUMIFS(02_통합반_오프라인!$K$2:$K$108,02_통합반_오프라인!$B$2:$B$108,$A8,02_통합반_오프라인!$C$2:$C$108,$B8)</f>
        <v>251</v>
      </c>
      <c r="E8" s="18" t="n">
        <f aca="false">SUMIFS(03_실전반_영상!$L$2:$L$105,03_실전반_영상!$B$2:$B$105,$A8,03_실전반_영상!$C$2:$C$105,$B8)</f>
        <v>162</v>
      </c>
      <c r="F8" s="18" t="n">
        <f aca="false">SUMIFS(04_실전반_오프라인!$K$2:$K$105,04_실전반_오프라인!$B$2:$B$105,$A8,04_실전반_오프라인!$C$2:$C$105,$B8)</f>
        <v>202</v>
      </c>
    </row>
    <row r="9" customFormat="false" ht="15" hidden="false" customHeight="false" outlineLevel="0" collapsed="false">
      <c r="A9" s="2" t="s">
        <v>281</v>
      </c>
      <c r="B9" s="18" t="s">
        <v>9</v>
      </c>
      <c r="C9" s="18" t="n">
        <f aca="false">SUMIFS(01_통합반_영상!$L$2:$L$108,01_통합반_영상!$B$2:$B$108,$A9,01_통합반_영상!$C$2:$C$108,$B9)</f>
        <v>159</v>
      </c>
      <c r="D9" s="18" t="n">
        <f aca="false">SUMIFS(02_통합반_오프라인!$K$2:$K$108,02_통합반_오프라인!$B$2:$B$108,$A9,02_통합반_오프라인!$C$2:$C$108,$B9)</f>
        <v>201</v>
      </c>
      <c r="E9" s="18" t="n">
        <f aca="false">SUMIFS(03_실전반_영상!$L$2:$L$105,03_실전반_영상!$B$2:$B$105,$A9,03_실전반_영상!$C$2:$C$105,$B9)</f>
        <v>116</v>
      </c>
      <c r="F9" s="18" t="n">
        <f aca="false">SUMIFS(04_실전반_오프라인!$K$2:$K$105,04_실전반_오프라인!$B$2:$B$105,$A9,04_실전반_오프라인!$C$2:$C$105,$B9)</f>
        <v>164</v>
      </c>
    </row>
    <row r="10" customFormat="false" ht="15" hidden="false" customHeight="false" outlineLevel="0" collapsed="false">
      <c r="A10" s="2" t="s">
        <v>281</v>
      </c>
      <c r="B10" s="18" t="s">
        <v>11</v>
      </c>
      <c r="C10" s="18" t="n">
        <f aca="false">SUMIFS(01_통합반_영상!$L$2:$L$108,01_통합반_영상!$B$2:$B$108,$A10,01_통합반_영상!$C$2:$C$108,$B10)</f>
        <v>296</v>
      </c>
      <c r="D10" s="18" t="n">
        <f aca="false">SUMIFS(02_통합반_오프라인!$K$2:$K$108,02_통합반_오프라인!$B$2:$B$108,$A10,02_통합반_오프라인!$C$2:$C$108,$B10)</f>
        <v>347</v>
      </c>
      <c r="E10" s="18" t="n">
        <f aca="false">SUMIFS(03_실전반_영상!$L$2:$L$105,03_실전반_영상!$B$2:$B$105,$A10,03_실전반_영상!$C$2:$C$105,$B10)</f>
        <v>253</v>
      </c>
      <c r="F10" s="18" t="n">
        <f aca="false">SUMIFS(04_실전반_오프라인!$K$2:$K$105,04_실전반_오프라인!$B$2:$B$105,$A10,04_실전반_오프라인!$C$2:$C$105,$B10)</f>
        <v>305</v>
      </c>
    </row>
    <row r="11" customFormat="false" ht="15" hidden="false" customHeight="false" outlineLevel="0" collapsed="false">
      <c r="A11" s="1" t="s">
        <v>281</v>
      </c>
      <c r="B11" s="21" t="s">
        <v>1361</v>
      </c>
      <c r="C11" s="21" t="n">
        <f aca="false">SUM(C8:C10)</f>
        <v>667</v>
      </c>
      <c r="D11" s="21" t="n">
        <f aca="false">SUM(D8:D10)</f>
        <v>799</v>
      </c>
      <c r="E11" s="21" t="n">
        <f aca="false">SUM(E8:E10)</f>
        <v>531</v>
      </c>
      <c r="F11" s="21" t="n">
        <f aca="false">SUM(F8:F10)</f>
        <v>671</v>
      </c>
    </row>
    <row r="12" customFormat="false" ht="15" hidden="false" customHeight="false" outlineLevel="0" collapsed="false">
      <c r="A12" s="3" t="s">
        <v>415</v>
      </c>
      <c r="B12" s="18" t="s">
        <v>7</v>
      </c>
      <c r="C12" s="18" t="n">
        <f aca="false">SUMIFS(01_통합반_영상!$L$2:$L$108,01_통합반_영상!$B$2:$B$108,$A12,01_통합반_영상!$C$2:$C$108,$B12)</f>
        <v>162</v>
      </c>
      <c r="D12" s="18" t="n">
        <f aca="false">SUMIFS(02_통합반_오프라인!$K$2:$K$108,02_통합반_오프라인!$B$2:$B$108,$A12,02_통합반_오프라인!$C$2:$C$108,$B12)</f>
        <v>222</v>
      </c>
      <c r="E12" s="18" t="n">
        <f aca="false">SUMIFS(03_실전반_영상!$L$2:$L$105,03_실전반_영상!$B$2:$B$105,$A12,03_실전반_영상!$C$2:$C$105,$B12)</f>
        <v>125</v>
      </c>
      <c r="F12" s="18" t="n">
        <f aca="false">SUMIFS(04_실전반_오프라인!$K$2:$K$105,04_실전반_오프라인!$B$2:$B$105,$A12,04_실전반_오프라인!$C$2:$C$105,$B12)</f>
        <v>175</v>
      </c>
    </row>
    <row r="13" customFormat="false" ht="15" hidden="false" customHeight="false" outlineLevel="0" collapsed="false">
      <c r="A13" s="3" t="s">
        <v>415</v>
      </c>
      <c r="B13" s="18" t="s">
        <v>9</v>
      </c>
      <c r="C13" s="18" t="n">
        <f aca="false">SUMIFS(01_통합반_영상!$L$2:$L$108,01_통합반_영상!$B$2:$B$108,$A13,01_통합반_영상!$C$2:$C$108,$B13)</f>
        <v>141</v>
      </c>
      <c r="D13" s="18" t="n">
        <f aca="false">SUMIFS(02_통합반_오프라인!$K$2:$K$108,02_통합반_오프라인!$B$2:$B$108,$A13,02_통합반_오프라인!$C$2:$C$108,$B13)</f>
        <v>186</v>
      </c>
      <c r="E13" s="18" t="n">
        <f aca="false">SUMIFS(03_실전반_영상!$L$2:$L$105,03_실전반_영상!$B$2:$B$105,$A13,03_실전반_영상!$C$2:$C$105,$B13)</f>
        <v>106</v>
      </c>
      <c r="F13" s="18" t="n">
        <f aca="false">SUMIFS(04_실전반_오프라인!$K$2:$K$105,04_실전반_오프라인!$B$2:$B$105,$A13,04_실전반_오프라인!$C$2:$C$105,$B13)</f>
        <v>150</v>
      </c>
    </row>
    <row r="14" customFormat="false" ht="15" hidden="false" customHeight="false" outlineLevel="0" collapsed="false">
      <c r="A14" s="3" t="s">
        <v>415</v>
      </c>
      <c r="B14" s="18" t="s">
        <v>11</v>
      </c>
      <c r="C14" s="18" t="n">
        <f aca="false">SUMIFS(01_통합반_영상!$L$2:$L$108,01_통합반_영상!$B$2:$B$108,$A14,01_통합반_영상!$C$2:$C$108,$B14)</f>
        <v>218</v>
      </c>
      <c r="D14" s="18" t="n">
        <f aca="false">SUMIFS(02_통합반_오프라인!$K$2:$K$108,02_통합반_오프라인!$B$2:$B$108,$A14,02_통합반_오프라인!$C$2:$C$108,$B14)</f>
        <v>257</v>
      </c>
      <c r="E14" s="18" t="n">
        <f aca="false">SUMIFS(03_실전반_영상!$L$2:$L$105,03_실전반_영상!$B$2:$B$105,$A14,03_실전반_영상!$C$2:$C$105,$B14)</f>
        <v>189</v>
      </c>
      <c r="F14" s="18" t="n">
        <f aca="false">SUMIFS(04_실전반_오프라인!$K$2:$K$105,04_실전반_오프라인!$B$2:$B$105,$A14,04_실전반_오프라인!$C$2:$C$105,$B14)</f>
        <v>227</v>
      </c>
    </row>
    <row r="15" customFormat="false" ht="15" hidden="false" customHeight="false" outlineLevel="0" collapsed="false">
      <c r="A15" s="22" t="s">
        <v>415</v>
      </c>
      <c r="B15" s="21" t="s">
        <v>1361</v>
      </c>
      <c r="C15" s="21" t="n">
        <f aca="false">SUM(C12:C14)</f>
        <v>521</v>
      </c>
      <c r="D15" s="21" t="n">
        <f aca="false">SUM(D12:D14)</f>
        <v>665</v>
      </c>
      <c r="E15" s="21" t="n">
        <f aca="false">SUM(E12:E14)</f>
        <v>420</v>
      </c>
      <c r="F15" s="21" t="n">
        <f aca="false">SUM(F12:F14)</f>
        <v>552</v>
      </c>
    </row>
    <row r="16" customFormat="false" ht="15" hidden="false" customHeight="false" outlineLevel="0" collapsed="false">
      <c r="A16" s="2" t="s">
        <v>525</v>
      </c>
      <c r="B16" s="18" t="s">
        <v>525</v>
      </c>
      <c r="C16" s="18" t="n">
        <f aca="false">SUMIFS(01_통합반_영상!$L$2:$L$108,01_통합반_영상!$B$2:$B$108,$A16,01_통합반_영상!$C$2:$C$108,$B16)</f>
        <v>40</v>
      </c>
      <c r="D16" s="18" t="n">
        <f aca="false">SUMIFS(02_통합반_오프라인!$K$2:$K$108,02_통합반_오프라인!$B$2:$B$108,$A16,02_통합반_오프라인!$C$2:$C$108,$B16)</f>
        <v>45</v>
      </c>
      <c r="E16" s="18" t="n">
        <f aca="false">SUMIFS(03_실전반_영상!$L$2:$L$105,03_실전반_영상!$B$2:$B$105,$A16,03_실전반_영상!$C$2:$C$105,$B16)</f>
        <v>32</v>
      </c>
      <c r="F16" s="18" t="n">
        <f aca="false">SUMIFS(04_실전반_오프라인!$K$2:$K$105,04_실전반_오프라인!$B$2:$B$105,$A16,04_실전반_오프라인!$C$2:$C$105,$B16)</f>
        <v>37</v>
      </c>
    </row>
    <row r="17" customFormat="false" ht="15" hidden="false" customHeight="false" outlineLevel="0" collapsed="false">
      <c r="A17" s="1" t="s">
        <v>525</v>
      </c>
      <c r="B17" s="21" t="s">
        <v>1361</v>
      </c>
      <c r="C17" s="21" t="n">
        <f aca="false">SUM(C16)</f>
        <v>40</v>
      </c>
      <c r="D17" s="21" t="n">
        <f aca="false">SUM(D16)</f>
        <v>45</v>
      </c>
      <c r="E17" s="21" t="n">
        <f aca="false">SUM(E16)</f>
        <v>32</v>
      </c>
      <c r="F17" s="21" t="n">
        <f aca="false">SUM(F16)</f>
        <v>37</v>
      </c>
    </row>
    <row r="18" customFormat="false" ht="15" hidden="false" customHeight="false" outlineLevel="0" collapsed="false">
      <c r="A18" s="1" t="s">
        <v>1362</v>
      </c>
      <c r="C18" s="21" t="n">
        <f aca="false">C3+C7+C11+C15+C17</f>
        <v>2201</v>
      </c>
      <c r="D18" s="21" t="n">
        <f aca="false">D3+D7+D11+D15+D17</f>
        <v>2694</v>
      </c>
      <c r="E18" s="21" t="n">
        <f aca="false">E3+E7+E11+E15+E17</f>
        <v>1751</v>
      </c>
      <c r="F18" s="21" t="n">
        <f aca="false">F3+F7+F11+F15+F17</f>
        <v>2238</v>
      </c>
    </row>
    <row r="19" customFormat="false" ht="15" hidden="false" customHeight="false" outlineLevel="0" collapsed="false">
      <c r="A19" s="1" t="s">
        <v>1363</v>
      </c>
      <c r="C19" s="7" t="n">
        <v>2640</v>
      </c>
      <c r="D19" s="7" t="n">
        <v>2520</v>
      </c>
      <c r="E19" s="7" t="n">
        <v>1920</v>
      </c>
      <c r="F19" s="7" t="n">
        <v>2280</v>
      </c>
    </row>
    <row r="20" customFormat="false" ht="29.85" hidden="false" customHeight="false" outlineLevel="0" collapsed="false">
      <c r="A20" s="1" t="s">
        <v>534</v>
      </c>
      <c r="C20" s="21" t="n">
        <f aca="false">C18-C19</f>
        <v>-439</v>
      </c>
      <c r="D20" s="21" t="n">
        <f aca="false">D18-D19</f>
        <v>174</v>
      </c>
      <c r="E20" s="21" t="n">
        <f aca="false">E18-E19</f>
        <v>-169</v>
      </c>
      <c r="F20" s="21" t="n">
        <f aca="false">F18-F19</f>
        <v>-42</v>
      </c>
    </row>
    <row r="21" customFormat="false" ht="15" hidden="false" customHeight="false" outlineLevel="0" collapsed="false">
      <c r="A21" s="1" t="s">
        <v>48</v>
      </c>
      <c r="C21" s="21" t="n">
        <f aca="false">ROUND(C18/60,1)</f>
        <v>36.7</v>
      </c>
      <c r="D21" s="21" t="n">
        <f aca="false">ROUND(D18/60,1)</f>
        <v>44.9</v>
      </c>
      <c r="E21" s="21" t="n">
        <f aca="false">ROUND(E18/60,1)</f>
        <v>29.2</v>
      </c>
      <c r="F21" s="21" t="n">
        <f aca="false">ROUND(F18/60,1)</f>
        <v>37.3</v>
      </c>
    </row>
    <row r="22" customFormat="false" ht="29.85" hidden="false" customHeight="false" outlineLevel="0" collapsed="false">
      <c r="A22" s="1" t="s">
        <v>1364</v>
      </c>
      <c r="C22" s="18" t="str">
        <f aca="false">IF(C18=01_통합반_영상!$L$109,"같음","다름")</f>
        <v>같음</v>
      </c>
      <c r="D22" s="18" t="str">
        <f aca="false">IF(D18=02_통합반_오프라인!$K$109,"같음","다름")</f>
        <v>같음</v>
      </c>
      <c r="E22" s="18" t="str">
        <f aca="false">IF(E18=03_실전반_영상!$L$106,"같음","다름")</f>
        <v>같음</v>
      </c>
      <c r="F22" s="18" t="str">
        <f aca="false">IF(F18=04_실전반_오프라인!$K$106,"같음","다름")</f>
        <v>같음</v>
      </c>
    </row>
    <row r="24" customFormat="false" ht="15" hidden="false" customHeight="true" outlineLevel="0" collapsed="false">
      <c r="A24" s="1" t="s">
        <v>1365</v>
      </c>
      <c r="B24" s="1"/>
      <c r="C24" s="1"/>
      <c r="D24" s="1"/>
      <c r="E24" s="1"/>
      <c r="F24" s="1"/>
    </row>
    <row r="25" customFormat="false" ht="15" hidden="false" customHeight="false" outlineLevel="0" collapsed="false">
      <c r="A25" s="2" t="s">
        <v>100</v>
      </c>
      <c r="C25" s="23" t="n">
        <f aca="false">IFERROR(C7/(C7+C11+C15),0)</f>
        <v>0.412172191984166</v>
      </c>
      <c r="D25" s="23" t="n">
        <f aca="false">IFERROR(D7/(D7+D11+D15),0)</f>
        <v>0.414634146341463</v>
      </c>
      <c r="E25" s="23" t="n">
        <f aca="false">IFERROR(E7/(E7+E11+E15),0)</f>
        <v>0.410049627791563</v>
      </c>
      <c r="F25" s="23" t="n">
        <f aca="false">IFERROR(F7/(F7+F11+F15),0)</f>
        <v>0.412584053794428</v>
      </c>
    </row>
    <row r="26" customFormat="false" ht="15" hidden="false" customHeight="false" outlineLevel="0" collapsed="false">
      <c r="A26" s="2" t="s">
        <v>281</v>
      </c>
      <c r="C26" s="23" t="n">
        <f aca="false">IFERROR(C11/(C7+C11+C15),0)</f>
        <v>0.330034636318654</v>
      </c>
      <c r="D26" s="23" t="n">
        <f aca="false">IFERROR(D11/(D7+D11+D15),0)</f>
        <v>0.319472211115554</v>
      </c>
      <c r="E26" s="23" t="n">
        <f aca="false">IFERROR(E11/(E7+E11+E15),0)</f>
        <v>0.329404466501241</v>
      </c>
      <c r="F26" s="23" t="n">
        <f aca="false">IFERROR(F11/(F7+F11+F15),0)</f>
        <v>0.322286263208453</v>
      </c>
    </row>
    <row r="27" customFormat="false" ht="15" hidden="false" customHeight="false" outlineLevel="0" collapsed="false">
      <c r="A27" s="3" t="s">
        <v>415</v>
      </c>
      <c r="C27" s="23" t="n">
        <f aca="false">IFERROR(C15/(C7+C11+C15),0)</f>
        <v>0.25779317169718</v>
      </c>
      <c r="D27" s="23" t="n">
        <f aca="false">IFERROR(D15/(D7+D11+D15),0)</f>
        <v>0.265893642542983</v>
      </c>
      <c r="E27" s="23" t="n">
        <f aca="false">IFERROR(E15/(E7+E11+E15),0)</f>
        <v>0.260545905707196</v>
      </c>
      <c r="F27" s="23" t="n">
        <f aca="false">IFERROR(F15/(F7+F11+F15),0)</f>
        <v>0.265129682997118</v>
      </c>
    </row>
    <row r="29" customFormat="false" ht="44" hidden="false" customHeight="true" outlineLevel="0" collapsed="false">
      <c r="A29" s="1" t="s">
        <v>1366</v>
      </c>
      <c r="B29" s="1"/>
      <c r="D29" s="18" t="n">
        <f aca="false">SUMPRODUCT((LEFT('07_시간 근거'!$D$2:$D$552,2)="여유")*'07_시간 근거'!$G$2:$G$552)+SUMPRODUCT((LEFT('07_시간 근거'!$D$2:$D$552,2)="실수")*'07_시간 근거'!$G$2:$G$552)+SUMPRODUCT((LEFT('07_시간 근거'!$D$2:$D$552,5)="대기 편차")*'07_시간 근거'!$G$2:$G$552)</f>
        <v>315</v>
      </c>
    </row>
    <row r="30" customFormat="false" ht="45" hidden="false" customHeight="true" outlineLevel="0" collapsed="false">
      <c r="A30" s="2" t="s">
        <v>1367</v>
      </c>
      <c r="B30" s="2"/>
      <c r="C30" s="2"/>
      <c r="D30" s="2"/>
      <c r="E30" s="2"/>
      <c r="F30" s="2"/>
    </row>
  </sheetData>
  <mergeCells count="3">
    <mergeCell ref="A24:F24"/>
    <mergeCell ref="A29:B29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8.19"/>
    <col collapsed="false" customWidth="true" hidden="false" outlineLevel="0" max="2" min="2" style="0" width="90.98"/>
    <col collapsed="false" customWidth="true" hidden="false" outlineLevel="0" max="3" min="3" style="0" width="36.39"/>
  </cols>
  <sheetData>
    <row r="1" customFormat="false" ht="15" hidden="false" customHeight="false" outlineLevel="0" collapsed="false">
      <c r="A1" s="4" t="s">
        <v>1368</v>
      </c>
      <c r="B1" s="4" t="s">
        <v>1369</v>
      </c>
      <c r="C1" s="4" t="s">
        <v>1370</v>
      </c>
    </row>
    <row r="2" customFormat="false" ht="15" hidden="false" customHeight="false" outlineLevel="0" collapsed="false">
      <c r="A2" s="5" t="s">
        <v>1371</v>
      </c>
      <c r="B2" s="2" t="s">
        <v>1372</v>
      </c>
      <c r="C2" s="3" t="s">
        <v>1373</v>
      </c>
    </row>
    <row r="3" customFormat="false" ht="23.85" hidden="false" customHeight="false" outlineLevel="0" collapsed="false">
      <c r="A3" s="5" t="s">
        <v>1374</v>
      </c>
      <c r="B3" s="2" t="s">
        <v>1375</v>
      </c>
      <c r="C3" s="3" t="s">
        <v>1376</v>
      </c>
    </row>
    <row r="4" customFormat="false" ht="15" hidden="false" customHeight="false" outlineLevel="0" collapsed="false">
      <c r="A4" s="5" t="s">
        <v>1377</v>
      </c>
      <c r="B4" s="2" t="s">
        <v>1378</v>
      </c>
      <c r="C4" s="3" t="s">
        <v>1379</v>
      </c>
    </row>
    <row r="5" customFormat="false" ht="15" hidden="false" customHeight="false" outlineLevel="0" collapsed="false">
      <c r="A5" s="5" t="s">
        <v>1380</v>
      </c>
      <c r="B5" s="3" t="s">
        <v>1381</v>
      </c>
      <c r="C5" s="3" t="s">
        <v>1382</v>
      </c>
    </row>
    <row r="6" customFormat="false" ht="15" hidden="false" customHeight="false" outlineLevel="0" collapsed="false">
      <c r="A6" s="5" t="s">
        <v>1383</v>
      </c>
      <c r="B6" s="2" t="s">
        <v>1384</v>
      </c>
      <c r="C6" s="3" t="s">
        <v>1385</v>
      </c>
    </row>
    <row r="7" customFormat="false" ht="15" hidden="false" customHeight="false" outlineLevel="0" collapsed="false">
      <c r="A7" s="5" t="s">
        <v>1386</v>
      </c>
      <c r="B7" s="3" t="s">
        <v>1387</v>
      </c>
      <c r="C7" s="3" t="s">
        <v>242</v>
      </c>
    </row>
    <row r="8" customFormat="false" ht="15" hidden="false" customHeight="false" outlineLevel="0" collapsed="false">
      <c r="A8" s="5" t="s">
        <v>1388</v>
      </c>
      <c r="B8" s="2" t="s">
        <v>1389</v>
      </c>
      <c r="C8" s="3" t="s">
        <v>1390</v>
      </c>
    </row>
    <row r="9" customFormat="false" ht="15" hidden="false" customHeight="false" outlineLevel="0" collapsed="false">
      <c r="A9" s="5" t="s">
        <v>1391</v>
      </c>
      <c r="B9" s="2" t="s">
        <v>1392</v>
      </c>
      <c r="C9" s="3" t="s">
        <v>1393</v>
      </c>
    </row>
    <row r="10" customFormat="false" ht="29.85" hidden="false" customHeight="false" outlineLevel="0" collapsed="false">
      <c r="A10" s="5" t="s">
        <v>1394</v>
      </c>
      <c r="B10" s="2" t="s">
        <v>1395</v>
      </c>
      <c r="C10" s="3" t="s">
        <v>1396</v>
      </c>
    </row>
    <row r="11" customFormat="false" ht="35.05" hidden="false" customHeight="false" outlineLevel="0" collapsed="false">
      <c r="A11" s="5" t="s">
        <v>1397</v>
      </c>
      <c r="B11" s="2" t="s">
        <v>1398</v>
      </c>
      <c r="C11" s="3" t="s">
        <v>1399</v>
      </c>
    </row>
    <row r="12" customFormat="false" ht="15" hidden="false" customHeight="false" outlineLevel="0" collapsed="false">
      <c r="A12" s="5" t="s">
        <v>1400</v>
      </c>
      <c r="B12" s="2" t="s">
        <v>1401</v>
      </c>
      <c r="C12" s="3" t="s">
        <v>1402</v>
      </c>
    </row>
    <row r="13" customFormat="false" ht="15" hidden="false" customHeight="false" outlineLevel="0" collapsed="false">
      <c r="A13" s="5" t="s">
        <v>1403</v>
      </c>
      <c r="B13" s="2" t="s">
        <v>1404</v>
      </c>
      <c r="C13" s="3" t="s">
        <v>1405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2026-10-09T06:46:19Z</dcterms:created>
  <dc:creator>openpyxl</dc:creator>
  <dc:description/>
  <dc:language>ko-KR</dc:language>
  <cp:lastModifiedBy/>
  <dcterms:modified xsi:type="dcterms:W3CDTF">2026-10-09T06:46:19Z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