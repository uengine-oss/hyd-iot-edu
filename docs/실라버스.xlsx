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실라버스" sheetId="2" state="visible" r:id="rId4"/>
    <sheet name="막별 합계" sheetId="3" state="visible" r:id="rId5"/>
    <sheet name="시간 근거" sheetId="4" state="visible" r:id="rId6"/>
    <sheet name="근거 출처" sheetId="5" state="visible" r:id="rId7"/>
  </sheets>
  <definedNames>
    <definedName function="false" hidden="true" localSheetId="3" name="_xlnm._FilterDatabase" vbProcedure="false">'시간 근거'!$A$1:$F$546</definedName>
    <definedName function="false" hidden="true" localSheetId="1" name="_xlnm._FilterDatabase" vbProcedure="false">실라버스!$A$1:$M$70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v10</author>
  </authors>
  <commentList>
    <comment ref="J1" authorId="0">
      <text>
        <r>
          <rPr>
            <sz val="10"/>
            <rFont val="Noto Sans CJK KR"/>
            <family val="2"/>
          </rPr>
          <t xml:space="preserve">실전반 시간은 통합반 행을 줄여 직접 매긴 값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KR"/>
            <family val="2"/>
          </rPr>
          <t xml:space="preserve">줄인 곳은 </t>
        </r>
        <r>
          <rPr>
            <sz val="10"/>
            <rFont val="Arial"/>
            <family val="2"/>
          </rPr>
          <t xml:space="preserve">L</t>
        </r>
        <r>
          <rPr>
            <sz val="10"/>
            <rFont val="Noto Sans CJK KR"/>
            <family val="2"/>
          </rPr>
          <t xml:space="preserve">열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KR"/>
            <family val="2"/>
          </rPr>
          <t xml:space="preserve">입력값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v10</author>
  </authors>
  <commentList>
    <comment ref="C8" authorId="0">
      <text>
        <r>
          <rPr>
            <sz val="10"/>
            <rFont val="Noto Sans CJK KR"/>
            <family val="2"/>
          </rPr>
          <t xml:space="preserve">고정 합계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KR"/>
            <family val="2"/>
          </rPr>
          <t xml:space="preserve">통합 영상 </t>
        </r>
        <r>
          <rPr>
            <sz val="10"/>
            <rFont val="Arial"/>
            <family val="2"/>
          </rPr>
          <t xml:space="preserve">2640 · </t>
        </r>
        <r>
          <rPr>
            <sz val="10"/>
            <rFont val="Noto Sans CJK KR"/>
            <family val="2"/>
          </rPr>
          <t xml:space="preserve">오프 </t>
        </r>
        <r>
          <rPr>
            <sz val="10"/>
            <rFont val="Arial"/>
            <family val="2"/>
          </rPr>
          <t xml:space="preserve">2520 · </t>
        </r>
        <r>
          <rPr>
            <sz val="10"/>
            <rFont val="Noto Sans CJK KR"/>
            <family val="2"/>
          </rPr>
          <t xml:space="preserve">실전 영상 </t>
        </r>
        <r>
          <rPr>
            <sz val="10"/>
            <rFont val="Arial"/>
            <family val="2"/>
          </rPr>
          <t xml:space="preserve">1920 · </t>
        </r>
        <r>
          <rPr>
            <sz val="10"/>
            <rFont val="Noto Sans CJK KR"/>
            <family val="2"/>
          </rPr>
          <t xml:space="preserve">오프 </t>
        </r>
        <r>
          <rPr>
            <sz val="10"/>
            <rFont val="Arial"/>
            <family val="2"/>
          </rPr>
          <t xml:space="preserve">2280</t>
        </r>
        <r>
          <rPr>
            <sz val="10"/>
            <rFont val="Noto Sans CJK KR"/>
            <family val="2"/>
          </rPr>
          <t xml:space="preserve">분</t>
        </r>
        <r>
          <rPr>
            <sz val="10"/>
            <rFont val="Arial"/>
            <family val="2"/>
          </rPr>
          <t xml:space="preserve">(DECISIONS 111 ⑧, </t>
        </r>
        <r>
          <rPr>
            <sz val="10"/>
            <rFont val="Noto Sans CJK KR"/>
            <family val="2"/>
          </rPr>
          <t xml:space="preserve">사용자 확정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<sst xmlns="http://schemas.openxmlformats.org/spreadsheetml/2006/main" count="2732" uniqueCount="649">
  <si>
    <r>
      <rPr>
        <b val="true"/>
        <sz val="14"/>
        <rFont val="Noto Sans CJK KR"/>
        <family val="2"/>
      </rPr>
      <t xml:space="preserve">실라버스 </t>
    </r>
    <r>
      <rPr>
        <b val="true"/>
        <sz val="14"/>
        <rFont val="Arial"/>
        <family val="0"/>
        <charset val="1"/>
      </rPr>
      <t xml:space="preserve">v10 — </t>
    </r>
    <r>
      <rPr>
        <b val="true"/>
        <sz val="14"/>
        <rFont val="Noto Sans CJK KR"/>
        <family val="2"/>
      </rPr>
      <t xml:space="preserve">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KR"/>
        <family val="2"/>
      </rPr>
      <t xml:space="preserve">초안</t>
    </r>
    <r>
      <rPr>
        <b val="true"/>
        <sz val="14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</si>
  <si>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구조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시작 → 온톨로지 → 에이전트 → </t>
    </r>
    <r>
      <rPr>
        <sz val="10"/>
        <rFont val="Arial"/>
        <family val="0"/>
        <charset val="1"/>
      </rPr>
      <t xml:space="preserve">BPMN → </t>
    </r>
    <r>
      <rPr>
        <sz val="10"/>
        <rFont val="Noto Sans CJK KR"/>
        <family val="2"/>
      </rPr>
      <t xml:space="preserve">마무리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막마다 이론 → 포털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사건 </t>
    </r>
    <r>
      <rPr>
        <sz val="10"/>
        <rFont val="Arial"/>
        <family val="0"/>
        <charset val="1"/>
      </rPr>
      <t xml:space="preserve">A · B · C) → </t>
    </r>
    <r>
      <rPr>
        <sz val="10"/>
        <rFont val="Noto Sans CJK KR"/>
        <family val="2"/>
      </rPr>
      <t xml:space="preserve">랩업 순서로 고정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</si>
  <si>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이론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포털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랩업을 위한 준비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필요한 개념과 앞으로 할 일을 비유로 쉽게</t>
    </r>
    <r>
      <rPr>
        <sz val="10"/>
        <rFont val="Arial"/>
        <family val="0"/>
        <charset val="1"/>
      </rPr>
      <t xml:space="preserve">). </t>
    </r>
    <r>
      <rPr>
        <sz val="10"/>
        <rFont val="Noto Sans CJK KR"/>
        <family val="2"/>
      </rPr>
      <t xml:space="preserve">외부 서비스는 </t>
    </r>
    <r>
      <rPr>
        <sz val="10"/>
        <rFont val="Arial"/>
        <family val="0"/>
        <charset val="1"/>
      </rPr>
      <t xml:space="preserve">arrows.app · bpmn.io</t>
    </r>
    <r>
      <rPr>
        <sz val="10"/>
        <rFont val="Noto Sans CJK KR"/>
        <family val="2"/>
      </rPr>
      <t xml:space="preserve">만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설명만인 행도 있음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</si>
  <si>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포털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강사를 따라 차근차근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단계 사이마다 설명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랩업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바이브 코딩으로 한 번 더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설명 계속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실수와 복구 시간 포함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</si>
  <si>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전제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기능은 구현됐다고 치고 짠 틀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사건 </t>
    </r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긴급 대응 </t>
    </r>
    <r>
      <rPr>
        <sz val="10"/>
        <rFont val="Arial"/>
        <family val="0"/>
        <charset val="1"/>
      </rPr>
      <t xml:space="preserve">· B </t>
    </r>
    <r>
      <rPr>
        <sz val="10"/>
        <rFont val="Noto Sans CJK KR"/>
        <family val="2"/>
      </rPr>
      <t xml:space="preserve">정비 계획 </t>
    </r>
    <r>
      <rPr>
        <sz val="10"/>
        <rFont val="Arial"/>
        <family val="0"/>
        <charset val="1"/>
      </rPr>
      <t xml:space="preserve">· C </t>
    </r>
    <r>
      <rPr>
        <sz val="10"/>
        <rFont val="Noto Sans CJK KR"/>
        <family val="2"/>
      </rPr>
      <t xml:space="preserve">예비품 구매는 확정 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시나리오 재조사 중</t>
    </r>
    <r>
      <rPr>
        <sz val="10"/>
        <rFont val="Arial"/>
        <family val="0"/>
        <charset val="1"/>
      </rPr>
      <t xml:space="preserve">)</t>
    </r>
    <r>
      <rPr>
        <sz val="10"/>
        <rFont val="Noto Sans CJK KR"/>
        <family val="2"/>
      </rPr>
      <t xml:space="preserve">이라 </t>
    </r>
    <r>
      <rPr>
        <sz val="10"/>
        <rFont val="Arial"/>
        <family val="0"/>
        <charset val="1"/>
      </rPr>
      <t xml:space="preserve">B · C </t>
    </r>
    <r>
      <rPr>
        <sz val="10"/>
        <rFont val="Noto Sans CJK KR"/>
        <family val="2"/>
      </rPr>
      <t xml:space="preserve">행 내용은 바뀔 수 있음</t>
    </r>
    <r>
      <rPr>
        <sz val="10"/>
        <rFont val="Arial"/>
        <family val="0"/>
        <charset val="1"/>
      </rPr>
      <t xml:space="preserve">.</t>
    </r>
  </si>
  <si>
    <t xml:space="preserve">시트</t>
  </si>
  <si>
    <r>
      <rPr>
        <sz val="10"/>
        <rFont val="Noto Sans CJK KR"/>
        <family val="2"/>
      </rPr>
      <t xml:space="preserve">실라버스 — 행 목록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통합 영상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통합 오프 시간은 </t>
    </r>
    <r>
      <rPr>
        <sz val="10"/>
        <rFont val="Arial"/>
        <family val="0"/>
        <charset val="1"/>
      </rPr>
      <t xml:space="preserve">'</t>
    </r>
    <r>
      <rPr>
        <sz val="10"/>
        <rFont val="Noto Sans CJK KR"/>
        <family val="2"/>
      </rPr>
      <t xml:space="preserve">시간 근거</t>
    </r>
    <r>
      <rPr>
        <sz val="10"/>
        <rFont val="Arial"/>
        <family val="0"/>
        <charset val="1"/>
      </rPr>
      <t xml:space="preserve">' </t>
    </r>
    <r>
      <rPr>
        <sz val="10"/>
        <rFont val="Noto Sans CJK KR"/>
        <family val="2"/>
      </rPr>
      <t xml:space="preserve">시트 부품의 합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수식</t>
    </r>
    <r>
      <rPr>
        <sz val="10"/>
        <rFont val="Arial"/>
        <family val="0"/>
        <charset val="1"/>
      </rPr>
      <t xml:space="preserve">). </t>
    </r>
    <r>
      <rPr>
        <sz val="10"/>
        <rFont val="Noto Sans CJK KR"/>
        <family val="2"/>
      </rPr>
      <t xml:space="preserve">실전 영상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실전 오프는 입력값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파란 글씨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</si>
  <si>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KR"/>
        <family val="2"/>
      </rPr>
      <t xml:space="preserve">막별 합계 — 막별 시간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고정 합계와 차이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세 막 비율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목표 </t>
    </r>
    <r>
      <rPr>
        <sz val="10"/>
        <rFont val="Arial"/>
        <family val="0"/>
        <charset val="1"/>
      </rPr>
      <t xml:space="preserve">40 : 35 : 25). </t>
    </r>
    <r>
      <rPr>
        <sz val="10"/>
        <rFont val="Noto Sans CJK KR"/>
        <family val="2"/>
      </rPr>
      <t xml:space="preserve">고정 합계는 입력값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파란 글씨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</si>
  <si>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KR"/>
        <family val="2"/>
      </rPr>
      <t xml:space="preserve">시간 근거 — 행마다 부품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설명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따라 하기 </t>
    </r>
    <r>
      <rPr>
        <sz val="10"/>
        <rFont val="Arial"/>
        <family val="0"/>
        <charset val="1"/>
      </rPr>
      <t xml:space="preserve">· AI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)</t>
    </r>
    <r>
      <rPr>
        <sz val="10"/>
        <rFont val="Noto Sans CJK KR"/>
        <family val="2"/>
      </rPr>
      <t xml:space="preserve">과 분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부품 분을 고치면 실라버스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막별 합계가 따라 바뀜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</si>
  <si>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근거 출처 — </t>
    </r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대기 시간 등의 실측 출처</t>
    </r>
    <r>
      <rPr>
        <sz val="10"/>
        <rFont val="Arial"/>
        <family val="0"/>
        <charset val="1"/>
      </rPr>
      <t xml:space="preserve">.</t>
    </r>
  </si>
  <si>
    <t xml:space="preserve">고치는 곳</t>
  </si>
  <si>
    <r>
      <rPr>
        <sz val="10"/>
        <rFont val="Noto Sans CJK KR"/>
        <family val="2"/>
      </rPr>
      <t xml:space="preserve">파란 글씨 칸만 고친다</t>
    </r>
    <r>
      <rPr>
        <sz val="10"/>
        <rFont val="Arial"/>
        <family val="0"/>
        <charset val="1"/>
      </rPr>
      <t xml:space="preserve">: '</t>
    </r>
    <r>
      <rPr>
        <sz val="10"/>
        <rFont val="Noto Sans CJK KR"/>
        <family val="2"/>
      </rPr>
      <t xml:space="preserve">시간 근거</t>
    </r>
    <r>
      <rPr>
        <sz val="10"/>
        <rFont val="Arial"/>
        <family val="0"/>
        <charset val="1"/>
      </rPr>
      <t xml:space="preserve">'</t>
    </r>
    <r>
      <rPr>
        <sz val="10"/>
        <rFont val="Noto Sans CJK KR"/>
        <family val="2"/>
      </rPr>
      <t xml:space="preserve">의 부품 분</t>
    </r>
    <r>
      <rPr>
        <sz val="10"/>
        <rFont val="Arial"/>
        <family val="0"/>
        <charset val="1"/>
      </rPr>
      <t xml:space="preserve">, '</t>
    </r>
    <r>
      <rPr>
        <sz val="10"/>
        <rFont val="Noto Sans CJK KR"/>
        <family val="2"/>
      </rPr>
      <t xml:space="preserve">실라버스</t>
    </r>
    <r>
      <rPr>
        <sz val="10"/>
        <rFont val="Arial"/>
        <family val="0"/>
        <charset val="1"/>
      </rPr>
      <t xml:space="preserve">'</t>
    </r>
    <r>
      <rPr>
        <sz val="10"/>
        <rFont val="Noto Sans CJK KR"/>
        <family val="2"/>
      </rPr>
      <t xml:space="preserve">의 실전 영상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실전 오프</t>
    </r>
    <r>
      <rPr>
        <sz val="10"/>
        <rFont val="Arial"/>
        <family val="0"/>
        <charset val="1"/>
      </rPr>
      <t xml:space="preserve">, '</t>
    </r>
    <r>
      <rPr>
        <sz val="10"/>
        <rFont val="Noto Sans CJK KR"/>
        <family val="2"/>
      </rPr>
      <t xml:space="preserve">막별 합계</t>
    </r>
    <r>
      <rPr>
        <sz val="10"/>
        <rFont val="Arial"/>
        <family val="0"/>
        <charset val="1"/>
      </rPr>
      <t xml:space="preserve">'</t>
    </r>
    <r>
      <rPr>
        <sz val="10"/>
        <rFont val="Noto Sans CJK KR"/>
        <family val="2"/>
      </rPr>
      <t xml:space="preserve">의 고정 합계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검정 글씨는 수식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</si>
  <si>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예</t>
    </r>
    <r>
      <rPr>
        <sz val="10"/>
        <rFont val="Arial"/>
        <family val="0"/>
        <charset val="1"/>
      </rPr>
      <t xml:space="preserve">: OL2 </t>
    </r>
    <r>
      <rPr>
        <sz val="10"/>
        <rFont val="Noto Sans CJK KR"/>
        <family val="2"/>
      </rPr>
      <t xml:space="preserve">랩업의 </t>
    </r>
    <r>
      <rPr>
        <sz val="10"/>
        <rFont val="Arial"/>
        <family val="0"/>
        <charset val="1"/>
      </rPr>
      <t xml:space="preserve">'Claude Code </t>
    </r>
    <r>
      <rPr>
        <sz val="10"/>
        <rFont val="Noto Sans CJK KR"/>
        <family val="2"/>
      </rPr>
      <t xml:space="preserve">생성 대기</t>
    </r>
    <r>
      <rPr>
        <sz val="10"/>
        <rFont val="Arial"/>
        <family val="0"/>
        <charset val="1"/>
      </rPr>
      <t xml:space="preserve">'</t>
    </r>
    <r>
      <rPr>
        <sz val="10"/>
        <rFont val="Noto Sans CJK KR"/>
        <family val="2"/>
      </rPr>
      <t xml:space="preserve">를 </t>
    </r>
    <r>
      <rPr>
        <sz val="10"/>
        <rFont val="Arial"/>
        <family val="0"/>
        <charset val="1"/>
      </rPr>
      <t xml:space="preserve">3 → 5</t>
    </r>
    <r>
      <rPr>
        <sz val="10"/>
        <rFont val="Noto Sans CJK KR"/>
        <family val="2"/>
      </rPr>
      <t xml:space="preserve">분으로 바꾸면 </t>
    </r>
    <r>
      <rPr>
        <sz val="10"/>
        <rFont val="Arial"/>
        <family val="0"/>
        <charset val="1"/>
      </rPr>
      <t xml:space="preserve">OL2</t>
    </r>
    <r>
      <rPr>
        <sz val="10"/>
        <rFont val="Noto Sans CJK KR"/>
        <family val="2"/>
      </rPr>
      <t xml:space="preserve">의 통합 시간과 온톨로지 막 합계가 함께 늘어난다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</si>
  <si>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KR"/>
        <family val="2"/>
      </rPr>
      <t xml:space="preserve">상세 근거와 조정안</t>
    </r>
    <r>
      <rPr>
        <sz val="10"/>
        <rFont val="Arial"/>
        <family val="0"/>
        <charset val="1"/>
      </rPr>
      <t xml:space="preserve">: docs/handoff/verification/2026-10-09/syllabus-v10.md (5</t>
    </r>
    <r>
      <rPr>
        <sz val="10"/>
        <rFont val="Noto Sans CJK KR"/>
        <family val="2"/>
      </rPr>
      <t xml:space="preserve">절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남는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모자란 시간과 조정안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열린 결정</t>
    </r>
    <r>
      <rPr>
        <sz val="10"/>
        <rFont val="Arial"/>
        <family val="0"/>
        <charset val="1"/>
      </rPr>
      <t xml:space="preserve">).</t>
    </r>
  </si>
  <si>
    <t xml:space="preserve">No</t>
  </si>
  <si>
    <t xml:space="preserve">막</t>
  </si>
  <si>
    <t xml:space="preserve">구간</t>
  </si>
  <si>
    <r>
      <rPr>
        <b val="true"/>
        <sz val="10"/>
        <color rgb="FFFFFFFF"/>
        <rFont val="Noto Sans CJK KR"/>
        <family val="2"/>
      </rPr>
      <t xml:space="preserve">행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</si>
  <si>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KR"/>
        <family val="2"/>
      </rPr>
      <t xml:space="preserve">제목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가치 문장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</si>
  <si>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무엇을 하나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개념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KR"/>
        <family val="2"/>
      </rPr>
      <t xml:space="preserve">비유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KR"/>
        <family val="2"/>
      </rPr>
      <t xml:space="preserve">도구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KR"/>
        <family val="2"/>
      </rPr>
      <t xml:space="preserve">사건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</si>
  <si>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준비하는 뒤 행</t>
  </si>
  <si>
    <r>
      <rPr>
        <b val="true"/>
        <sz val="10"/>
        <color rgb="FFFFFFFF"/>
        <rFont val="Noto Sans CJK KR"/>
        <family val="2"/>
      </rPr>
      <t xml:space="preserve">통합 영상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</si>
  <si>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통합 오프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</si>
  <si>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실전 영상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</si>
  <si>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실전 오프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</si>
  <si>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실전에서 줄인 곳</t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</si>
  <si>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Noto Sans CJK KR"/>
        <family val="2"/>
      </rPr>
      <t xml:space="preserve">대기 근거</t>
    </r>
  </si>
  <si>
    <t xml:space="preserve">시작</t>
  </si>
  <si>
    <t xml:space="preserve">S1</t>
  </si>
  <si>
    <t xml:space="preserve">배운 것을 다음에 꺼내 쓰는 내 노트부터 만든다 — 지식 자산화</t>
  </si>
  <si>
    <r>
      <rPr>
        <sz val="10"/>
        <rFont val="Noto Sans CJK KR"/>
        <family val="2"/>
      </rPr>
      <t xml:space="preserve">왜 노트로 남기나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집집마다 다른 요리 노트</t>
    </r>
    <r>
      <rPr>
        <sz val="10"/>
        <rFont val="Arial"/>
        <family val="0"/>
        <charset val="1"/>
      </rPr>
      <t xml:space="preserve">) · Notion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로그인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화면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과정 노트 틀 복제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개념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결과 화면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막힌 곳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해결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첫 줄 쓰기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막마다 노트 쓰는 법</t>
    </r>
  </si>
  <si>
    <r>
      <rPr>
        <sz val="10"/>
        <rFont val="Noto Sans CJK KR"/>
        <family val="2"/>
      </rPr>
      <t xml:space="preserve">사례를 줄임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왜 </t>
    </r>
    <r>
      <rPr>
        <sz val="10"/>
        <rFont val="Arial"/>
        <family val="0"/>
        <charset val="1"/>
      </rPr>
      <t xml:space="preserve">5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), </t>
    </r>
    <r>
      <rPr>
        <sz val="10"/>
        <rFont val="Noto Sans CJK KR"/>
        <family val="2"/>
      </rPr>
      <t xml:space="preserve">첫 기록 </t>
    </r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분</t>
    </r>
  </si>
  <si>
    <t xml:space="preserve">S2</t>
  </si>
  <si>
    <r>
      <rPr>
        <sz val="10"/>
        <rFont val="Noto Sans CJK KR"/>
        <family val="2"/>
      </rPr>
      <t xml:space="preserve">앞 수업에서 본 센서 값의 길을 다시 걷는다 — </t>
    </r>
    <r>
      <rPr>
        <sz val="10"/>
        <rFont val="Arial"/>
        <family val="0"/>
        <charset val="1"/>
      </rPr>
      <t xml:space="preserve">SCADA </t>
    </r>
    <r>
      <rPr>
        <sz val="10"/>
        <rFont val="Noto Sans CJK KR"/>
        <family val="2"/>
      </rPr>
      <t xml:space="preserve">되짚기</t>
    </r>
  </si>
  <si>
    <r>
      <rPr>
        <sz val="10"/>
        <rFont val="Noto Sans CJK KR"/>
        <family val="2"/>
      </rPr>
      <t xml:space="preserve">앞 과정 지도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설비 → </t>
    </r>
    <r>
      <rPr>
        <sz val="10"/>
        <rFont val="Arial"/>
        <family val="0"/>
        <charset val="1"/>
      </rPr>
      <t xml:space="preserve">PLC → </t>
    </r>
    <r>
      <rPr>
        <sz val="10"/>
        <rFont val="Noto Sans CJK KR"/>
        <family val="2"/>
      </rPr>
      <t xml:space="preserve">메시지 통로 → 시계열 </t>
    </r>
    <r>
      <rPr>
        <sz val="10"/>
        <rFont val="Arial"/>
        <family val="0"/>
        <charset val="1"/>
      </rPr>
      <t xml:space="preserve">DB → SCADA </t>
    </r>
    <r>
      <rPr>
        <sz val="10"/>
        <rFont val="Noto Sans CJK KR"/>
        <family val="2"/>
      </rPr>
      <t xml:space="preserve">화면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앞 수업 </t>
    </r>
    <r>
      <rPr>
        <sz val="10"/>
        <rFont val="Arial"/>
        <family val="0"/>
        <charset val="1"/>
      </rPr>
      <t xml:space="preserve">SCADA </t>
    </r>
    <r>
      <rPr>
        <sz val="10"/>
        <rFont val="Noto Sans CJK KR"/>
        <family val="2"/>
      </rPr>
      <t xml:space="preserve">화면</t>
    </r>
    <r>
      <rPr>
        <sz val="10"/>
        <rFont val="Arial"/>
        <family val="0"/>
        <charset val="1"/>
      </rPr>
      <t xml:space="preserve">(FUXA)</t>
    </r>
    <r>
      <rPr>
        <sz val="10"/>
        <rFont val="Noto Sans CJK KR"/>
        <family val="2"/>
      </rPr>
      <t xml:space="preserve">과 포털 실시간 모니터링에서 같은 값 찾기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우리 공장 센서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유온 </t>
    </r>
    <r>
      <rPr>
        <sz val="10"/>
        <rFont val="Arial"/>
        <family val="0"/>
        <charset val="1"/>
      </rPr>
      <t xml:space="preserve">TS1 · </t>
    </r>
    <r>
      <rPr>
        <sz val="10"/>
        <rFont val="Noto Sans CJK KR"/>
        <family val="2"/>
      </rPr>
      <t xml:space="preserve">압력 </t>
    </r>
    <r>
      <rPr>
        <sz val="10"/>
        <rFont val="Arial"/>
        <family val="0"/>
        <charset val="1"/>
      </rPr>
      <t xml:space="preserve">PS1 · </t>
    </r>
    <r>
      <rPr>
        <sz val="10"/>
        <rFont val="Noto Sans CJK KR"/>
        <family val="2"/>
      </rPr>
      <t xml:space="preserve">유량 </t>
    </r>
    <r>
      <rPr>
        <sz val="10"/>
        <rFont val="Arial"/>
        <family val="0"/>
        <charset val="1"/>
      </rPr>
      <t xml:space="preserve">FS1 · </t>
    </r>
    <r>
      <rPr>
        <sz val="10"/>
        <rFont val="Noto Sans CJK KR"/>
        <family val="2"/>
      </rPr>
      <t xml:space="preserve">냉각 효율 </t>
    </r>
    <r>
      <rPr>
        <sz val="10"/>
        <rFont val="Arial"/>
        <family val="0"/>
        <charset val="1"/>
      </rPr>
      <t xml:space="preserve">CE)</t>
    </r>
  </si>
  <si>
    <r>
      <rPr>
        <sz val="10"/>
        <rFont val="Noto Sans CJK KR"/>
        <family val="2"/>
      </rPr>
      <t xml:space="preserve">지도 </t>
    </r>
    <r>
      <rPr>
        <sz val="10"/>
        <rFont val="Arial"/>
        <family val="0"/>
        <charset val="1"/>
      </rPr>
      <t xml:space="preserve">8 · </t>
    </r>
    <r>
      <rPr>
        <sz val="10"/>
        <rFont val="Noto Sans CJK KR"/>
        <family val="2"/>
      </rPr>
      <t xml:space="preserve">화면 </t>
    </r>
    <r>
      <rPr>
        <sz val="10"/>
        <rFont val="Arial"/>
        <family val="0"/>
        <charset val="1"/>
      </rPr>
      <t xml:space="preserve">8 · </t>
    </r>
    <r>
      <rPr>
        <sz val="10"/>
        <rFont val="Noto Sans CJK KR"/>
        <family val="2"/>
      </rPr>
      <t xml:space="preserve">센서 </t>
    </r>
    <r>
      <rPr>
        <sz val="10"/>
        <rFont val="Arial"/>
        <family val="0"/>
        <charset val="1"/>
      </rPr>
      <t xml:space="preserve">6 · </t>
    </r>
    <r>
      <rPr>
        <sz val="10"/>
        <rFont val="Noto Sans CJK KR"/>
        <family val="2"/>
      </rPr>
      <t xml:space="preserve">정리 </t>
    </r>
    <r>
      <rPr>
        <sz val="10"/>
        <rFont val="Arial"/>
        <family val="0"/>
        <charset val="1"/>
      </rPr>
      <t xml:space="preserve">3</t>
    </r>
  </si>
  <si>
    <t xml:space="preserve">S3</t>
  </si>
  <si>
    <r>
      <rPr>
        <sz val="10"/>
        <rFont val="Noto Sans CJK KR"/>
        <family val="2"/>
      </rPr>
      <t xml:space="preserve">센서 값 위에 지식 </t>
    </r>
    <r>
      <rPr>
        <sz val="10"/>
        <rFont val="Arial"/>
        <family val="0"/>
        <charset val="1"/>
      </rPr>
      <t xml:space="preserve">· AI · </t>
    </r>
    <r>
      <rPr>
        <sz val="10"/>
        <rFont val="Noto Sans CJK KR"/>
        <family val="2"/>
      </rPr>
      <t xml:space="preserve">업무가 층층이 올라간다 — 이 포털의 구조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</si>
  <si>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건물 층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설비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데이터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지식 </t>
    </r>
    <r>
      <rPr>
        <sz val="10"/>
        <rFont val="Arial"/>
        <family val="0"/>
        <charset val="1"/>
      </rPr>
      <t xml:space="preserve">/ AI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업무 흐름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화면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층마다 이번 과정의 어느 막인가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층 사이에 오가는 것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값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질문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제안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세 사건이 층을 지나가는 모습</t>
    </r>
  </si>
  <si>
    <t xml:space="preserve">층 설명을 줄임</t>
  </si>
  <si>
    <t xml:space="preserve">S4</t>
  </si>
  <si>
    <t xml:space="preserve">값 하나가 태어나 업무 한 건이 되기까지 따라간다 — 데이터 리니지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</si>
  <si>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택배 송장 추적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출생 → 변환 → 저장 → 소비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유온 </t>
    </r>
    <r>
      <rPr>
        <sz val="10"/>
        <rFont val="Arial"/>
        <family val="0"/>
        <charset val="1"/>
      </rPr>
      <t xml:space="preserve">TS1 </t>
    </r>
    <r>
      <rPr>
        <sz val="10"/>
        <rFont val="Noto Sans CJK KR"/>
        <family val="2"/>
      </rPr>
      <t xml:space="preserve">하나가 경보 → 처리 건 → 작업지시 기록이 되는 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종이에 그리기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실패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분기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늦게 오면</t>
    </r>
    <r>
      <rPr>
        <sz val="10"/>
        <rFont val="Arial"/>
        <family val="0"/>
        <charset val="1"/>
      </rPr>
      <t xml:space="preserve">? </t>
    </r>
    <r>
      <rPr>
        <sz val="10"/>
        <rFont val="Noto Sans CJK KR"/>
        <family val="2"/>
      </rPr>
      <t xml:space="preserve">끊기면</t>
    </r>
    <r>
      <rPr>
        <sz val="10"/>
        <rFont val="Arial"/>
        <family val="0"/>
        <charset val="1"/>
      </rPr>
      <t xml:space="preserve">?)</t>
    </r>
  </si>
  <si>
    <t xml:space="preserve">종이 그리기를 강사 판서로</t>
  </si>
  <si>
    <t xml:space="preserve">S5</t>
  </si>
  <si>
    <r>
      <rPr>
        <sz val="10"/>
        <rFont val="Noto Sans CJK KR"/>
        <family val="2"/>
      </rPr>
      <t xml:space="preserve">경보 한 건이 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확인까지 닫히는 것을 먼저 끝까지 본다 — 우리가 만들 것과 포털 둘러보기</t>
    </r>
  </si>
  <si>
    <r>
      <rPr>
        <sz val="10"/>
        <rFont val="Noto Sans CJK KR"/>
        <family val="2"/>
      </rPr>
      <t xml:space="preserve">세 사건 한 줄 이야기</t>
    </r>
    <r>
      <rPr>
        <sz val="10"/>
        <rFont val="Arial"/>
        <family val="0"/>
        <charset val="1"/>
      </rPr>
      <t xml:space="preserve">(A </t>
    </r>
    <r>
      <rPr>
        <sz val="10"/>
        <rFont val="Noto Sans CJK KR"/>
        <family val="2"/>
      </rPr>
      <t xml:space="preserve">쿨러 과열 </t>
    </r>
    <r>
      <rPr>
        <sz val="10"/>
        <rFont val="Arial"/>
        <family val="0"/>
        <charset val="1"/>
      </rPr>
      <t xml:space="preserve">· B </t>
    </r>
    <r>
      <rPr>
        <sz val="10"/>
        <rFont val="Noto Sans CJK KR"/>
        <family val="2"/>
      </rPr>
      <t xml:space="preserve">펌프 효율 저하 </t>
    </r>
    <r>
      <rPr>
        <sz val="10"/>
        <rFont val="Arial"/>
        <family val="0"/>
        <charset val="1"/>
      </rPr>
      <t xml:space="preserve">· C </t>
    </r>
    <r>
      <rPr>
        <sz val="10"/>
        <rFont val="Noto Sans CJK KR"/>
        <family val="2"/>
      </rPr>
      <t xml:space="preserve">씰 키트 재고 부족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최종 목표 시연 </t>
    </r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끝까지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 메뉴 둘러보기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기준으로 되돌리기 </t>
    </r>
    <r>
      <rPr>
        <sz val="10"/>
        <rFont val="Arial"/>
        <family val="0"/>
        <charset val="1"/>
      </rPr>
      <t xml:space="preserve">· "</t>
    </r>
    <r>
      <rPr>
        <sz val="10"/>
        <rFont val="Noto Sans CJK KR"/>
        <family val="2"/>
      </rPr>
      <t xml:space="preserve">이것을 막마다 하나씩 만든다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</si>
  <si>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KR"/>
        <family val="2"/>
      </rPr>
      <t xml:space="preserve">메뉴 둘러보기 </t>
    </r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소개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분</t>
    </r>
  </si>
  <si>
    <t xml:space="preserve">RAISE · W4 · REOBS · CASE</t>
  </si>
  <si>
    <t xml:space="preserve">온톨로지</t>
  </si>
  <si>
    <t xml:space="preserve">이론</t>
  </si>
  <si>
    <t xml:space="preserve">OT1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</si>
  <si>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는 책을 많이 읽었지만 우리 공장은 모른다 — 언어 모델이 무엇이고 왜 그럴듯하게 틀리나</t>
    </r>
  </si>
  <si>
    <r>
      <rPr>
        <sz val="10"/>
        <rFont val="Noto Sans CJK KR"/>
        <family val="2"/>
      </rPr>
      <t xml:space="preserve">막 여는 이야기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세 사건이 이 막에서 얻을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문서 → 지식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책 수백만 권을 읽은 신입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다음 말 맞히기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배운 것 밖은 모름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그럴듯한 틀린 답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환각</t>
    </r>
    <r>
      <rPr>
        <sz val="10"/>
        <rFont val="Arial"/>
        <family val="0"/>
        <charset val="1"/>
      </rPr>
      <t xml:space="preserve">) </t>
    </r>
    <r>
      <rPr>
        <sz val="10"/>
        <rFont val="Noto Sans CJK KR"/>
        <family val="2"/>
      </rPr>
      <t xml:space="preserve">사례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공장에서 틀리면 생기는 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설명만</t>
    </r>
  </si>
  <si>
    <t xml:space="preserve">OL2 · AP1 · AL1</t>
  </si>
  <si>
    <t xml:space="preserve">사례 하나로 줄임</t>
  </si>
  <si>
    <t xml:space="preserve">OT2</t>
  </si>
  <si>
    <r>
      <rPr>
        <sz val="10"/>
        <rFont val="Noto Sans CJK KR"/>
        <family val="2"/>
      </rPr>
      <t xml:space="preserve">내 문서를 찾아 붙여 주면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가 근거를 들고 답한다 — 찾아서 답하기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</si>
  <si>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도서관 사서가 책을 찾아 펼쳐 준다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뜻이 가까운 글을 찾는 법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그림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찾아 붙여 답하는 순서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근거 인용과 한계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문서에 없으면 모른다고 해야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설명만</t>
    </r>
  </si>
  <si>
    <r>
      <rPr>
        <sz val="10"/>
        <rFont val="Arial"/>
        <family val="0"/>
        <charset val="1"/>
      </rPr>
      <t xml:space="preserve">OP2 </t>
    </r>
    <r>
      <rPr>
        <sz val="10"/>
        <rFont val="Noto Sans CJK KR"/>
        <family val="2"/>
      </rPr>
      <t xml:space="preserve">꼭 답할 질문 </t>
    </r>
    <r>
      <rPr>
        <sz val="10"/>
        <rFont val="Arial"/>
        <family val="0"/>
        <charset val="1"/>
      </rPr>
      <t xml:space="preserve">· OL2</t>
    </r>
  </si>
  <si>
    <t xml:space="preserve">그림 설명을 줄임</t>
  </si>
  <si>
    <t xml:space="preserve">OT3</t>
  </si>
  <si>
    <r>
      <rPr>
        <sz val="10"/>
        <rFont val="Noto Sans CJK KR"/>
        <family val="2"/>
      </rPr>
      <t xml:space="preserve">사물과 관계를 이은 지도는 문서가 못 하는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연결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에 답한다 — 지식 그래프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온톨로지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</si>
  <si>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지하철 노선도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역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사물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선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무엇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문서 검색과 지도 비교 예</t>
    </r>
    <r>
      <rPr>
        <sz val="10"/>
        <rFont val="Arial"/>
        <family val="0"/>
        <charset val="1"/>
      </rPr>
      <t xml:space="preserve">("</t>
    </r>
    <r>
      <rPr>
        <sz val="10"/>
        <rFont val="Noto Sans CJK KR"/>
        <family val="2"/>
      </rPr>
      <t xml:space="preserve">이 부품이 멈추면 어느 설비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어느 주문이 늦나</t>
    </r>
    <r>
      <rPr>
        <sz val="10"/>
        <rFont val="Arial"/>
        <family val="0"/>
        <charset val="1"/>
      </rPr>
      <t xml:space="preserve">") · </t>
    </r>
    <r>
      <rPr>
        <sz val="10"/>
        <rFont val="Noto Sans CJK KR"/>
        <family val="2"/>
      </rPr>
      <t xml:space="preserve">공장에 쓰면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설명만</t>
    </r>
  </si>
  <si>
    <t xml:space="preserve">OP2 · OP4 · OL3</t>
  </si>
  <si>
    <t xml:space="preserve">비교 예 하나로</t>
  </si>
  <si>
    <t xml:space="preserve">OT4</t>
  </si>
  <si>
    <r>
      <rPr>
        <sz val="10"/>
        <rFont val="Noto Sans CJK KR"/>
        <family val="2"/>
      </rPr>
      <t xml:space="preserve">틀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스키마</t>
    </r>
    <r>
      <rPr>
        <sz val="10"/>
        <rFont val="Arial"/>
        <family val="0"/>
        <charset val="1"/>
      </rPr>
      <t xml:space="preserve">)</t>
    </r>
    <r>
      <rPr>
        <sz val="10"/>
        <rFont val="Noto Sans CJK KR"/>
        <family val="2"/>
      </rPr>
      <t xml:space="preserve">과 내용을 나눠 적으면 누구나 같은 모양으로 지식을 쌓는다 — 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</si>
  <si>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주소록 양식과 적힌 이름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틀과 내용 </t>
    </r>
    <r>
      <rPr>
        <sz val="10"/>
        <rFont val="Arial"/>
        <family val="0"/>
        <charset val="1"/>
      </rPr>
      <t xml:space="preserve">· arrows.app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노드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내보내기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동네 카페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손님 – 주문 – 메뉴</t>
    </r>
    <r>
      <rPr>
        <sz val="10"/>
        <rFont val="Arial"/>
        <family val="0"/>
        <charset val="1"/>
      </rPr>
      <t xml:space="preserve">) </t>
    </r>
    <r>
      <rPr>
        <sz val="10"/>
        <rFont val="Noto Sans CJK KR"/>
        <family val="2"/>
      </rPr>
      <t xml:space="preserve">관계도 그리기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속성으로 둘까 관계로 둘까</t>
    </r>
  </si>
  <si>
    <r>
      <rPr>
        <sz val="10"/>
        <rFont val="Arial"/>
        <family val="0"/>
        <charset val="1"/>
      </rPr>
      <t xml:space="preserve">OP1~OP4 </t>
    </r>
    <r>
      <rPr>
        <sz val="10"/>
        <rFont val="Noto Sans CJK KR"/>
        <family val="2"/>
      </rPr>
      <t xml:space="preserve">지식 지도 읽기 </t>
    </r>
    <r>
      <rPr>
        <sz val="10"/>
        <rFont val="Arial"/>
        <family val="0"/>
        <charset val="1"/>
      </rPr>
      <t xml:space="preserve">· OL3 </t>
    </r>
    <r>
      <rPr>
        <sz val="10"/>
        <rFont val="Noto Sans CJK KR"/>
        <family val="2"/>
      </rPr>
      <t xml:space="preserve">틀 세우기</t>
    </r>
  </si>
  <si>
    <r>
      <rPr>
        <sz val="10"/>
        <rFont val="Arial"/>
        <family val="0"/>
        <charset val="1"/>
      </rPr>
      <t xml:space="preserve">arrows.app</t>
    </r>
    <r>
      <rPr>
        <sz val="10"/>
        <rFont val="Noto Sans CJK KR"/>
        <family val="2"/>
      </rPr>
      <t xml:space="preserve">는 따라 그리기 한 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 </t>
    </r>
    <r>
      <rPr>
        <sz val="10"/>
        <rFont val="Arial"/>
        <family val="0"/>
        <charset val="1"/>
      </rPr>
      <t xml:space="preserve">20</t>
    </r>
    <r>
      <rPr>
        <sz val="10"/>
        <rFont val="Noto Sans CJK KR"/>
        <family val="2"/>
      </rPr>
      <t xml:space="preserve">분 분량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정리</t>
    </r>
    <r>
      <rPr>
        <sz val="10"/>
        <rFont val="Arial"/>
        <family val="0"/>
        <charset val="1"/>
      </rPr>
      <t xml:space="preserve">), </t>
    </r>
    <r>
      <rPr>
        <sz val="10"/>
        <rFont val="Noto Sans CJK KR"/>
        <family val="2"/>
      </rPr>
      <t xml:space="preserve">오프는 설명 </t>
    </r>
    <r>
      <rPr>
        <sz val="10"/>
        <rFont val="Arial"/>
        <family val="0"/>
        <charset val="1"/>
      </rPr>
      <t xml:space="preserve">20 + </t>
    </r>
    <r>
      <rPr>
        <sz val="10"/>
        <rFont val="Noto Sans CJK KR"/>
        <family val="2"/>
      </rPr>
      <t xml:space="preserve">해보기 </t>
    </r>
    <r>
      <rPr>
        <sz val="10"/>
        <rFont val="Arial"/>
        <family val="0"/>
        <charset val="1"/>
      </rPr>
      <t xml:space="preserve">20</t>
    </r>
  </si>
  <si>
    <t xml:space="preserve">OT5</t>
  </si>
  <si>
    <t xml:space="preserve">지도를 손가락으로 따라가듯 질문한다 — 지식 지도에 묻기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</si>
  <si>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길찾기 앱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출발 → 환승 → 도착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질문의 모양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그림으로 묻기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손님 –주문→ 메뉴</t>
    </r>
    <r>
      <rPr>
        <sz val="10"/>
        <rFont val="Arial"/>
        <family val="0"/>
        <charset val="1"/>
      </rPr>
      <t xml:space="preserve">) · OT4</t>
    </r>
    <r>
      <rPr>
        <sz val="10"/>
        <rFont val="Noto Sans CJK KR"/>
        <family val="2"/>
      </rPr>
      <t xml:space="preserve">에서 그린 </t>
    </r>
    <r>
      <rPr>
        <sz val="10"/>
        <rFont val="Arial"/>
        <family val="0"/>
        <charset val="1"/>
      </rPr>
      <t xml:space="preserve">arrows.app </t>
    </r>
    <r>
      <rPr>
        <sz val="10"/>
        <rFont val="Noto Sans CJK KR"/>
        <family val="2"/>
      </rPr>
      <t xml:space="preserve">관계도로 질문 따라가기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두 번째 사용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표로 찾을 때와 비교</t>
    </r>
  </si>
  <si>
    <t xml:space="preserve">OP2 · OL9 · OL10</t>
  </si>
  <si>
    <t xml:space="preserve">비교를 짧게</t>
  </si>
  <si>
    <t xml:space="preserve">OT6</t>
  </si>
  <si>
    <r>
      <rPr>
        <sz val="10"/>
        <rFont val="Noto Sans CJK KR"/>
        <family val="2"/>
      </rPr>
      <t xml:space="preserve">병원이 진료하듯 고장을 다룬다 — 증상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조치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그리고 미리 알아채기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</si>
  <si>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병원 진료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문진 → 검사 → 진단 → 경과 예측 → 처방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관측 → 상태 → 진단 → 예측 → 권고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미리 알아채기</t>
    </r>
    <r>
      <rPr>
        <sz val="10"/>
        <rFont val="Arial"/>
        <family val="0"/>
        <charset val="1"/>
      </rPr>
      <t xml:space="preserve">(P-F </t>
    </r>
    <r>
      <rPr>
        <sz val="10"/>
        <rFont val="Noto Sans CJK KR"/>
        <family val="2"/>
      </rPr>
      <t xml:space="preserve">간격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정비 종류 셋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바로 고치기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계획해서 고치기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부품 미리 사 두기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사건 </t>
    </r>
    <r>
      <rPr>
        <sz val="10"/>
        <rFont val="Arial"/>
        <family val="0"/>
        <charset val="1"/>
      </rPr>
      <t xml:space="preserve">A · B · C) · </t>
    </r>
    <r>
      <rPr>
        <sz val="10"/>
        <rFont val="Noto Sans CJK KR"/>
        <family val="2"/>
      </rPr>
      <t xml:space="preserve">종이 카드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자전거 브레이크 소리</t>
    </r>
  </si>
  <si>
    <t xml:space="preserve">OP1~OP4 · AP2~AP4 · BP3</t>
  </si>
  <si>
    <r>
      <rPr>
        <sz val="10"/>
        <rFont val="Noto Sans CJK KR"/>
        <family val="2"/>
      </rPr>
      <t xml:space="preserve">카드 활동을 강사 시연으로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오프는 모둠 </t>
    </r>
    <r>
      <rPr>
        <sz val="10"/>
        <rFont val="Arial"/>
        <family val="0"/>
        <charset val="1"/>
      </rPr>
      <t xml:space="preserve">10)</t>
    </r>
  </si>
  <si>
    <t xml:space="preserve">OT7</t>
  </si>
  <si>
    <r>
      <rPr>
        <sz val="10"/>
        <rFont val="Noto Sans CJK KR"/>
        <family val="2"/>
      </rPr>
      <t xml:space="preserve">순서를 적은 것과 판단을 적은 것을 나눈다 — 절차</t>
    </r>
    <r>
      <rPr>
        <sz val="10"/>
        <rFont val="Arial"/>
        <family val="0"/>
        <charset val="1"/>
      </rPr>
      <t xml:space="preserve">(SOP)</t>
    </r>
    <r>
      <rPr>
        <sz val="10"/>
        <rFont val="Noto Sans CJK KR"/>
        <family val="2"/>
      </rPr>
      <t xml:space="preserve">와 판단 규칙표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</si>
  <si>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레시피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순서</t>
    </r>
    <r>
      <rPr>
        <sz val="10"/>
        <rFont val="Arial"/>
        <family val="0"/>
        <charset val="1"/>
      </rPr>
      <t xml:space="preserve">) vs </t>
    </r>
    <r>
      <rPr>
        <sz val="10"/>
        <rFont val="Noto Sans CJK KR"/>
        <family val="2"/>
      </rPr>
      <t xml:space="preserve">식당 할인 규칙표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조건 → 결정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절차의 모양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순서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규칙표의 모양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입력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규칙 줄</t>
    </r>
    <r>
      <rPr>
        <sz val="10"/>
        <rFont val="Arial"/>
        <family val="0"/>
        <charset val="1"/>
      </rPr>
      <t xml:space="preserve">) · demo.bpmn.io DMN </t>
    </r>
    <r>
      <rPr>
        <sz val="10"/>
        <rFont val="Noto Sans CJK KR"/>
        <family val="2"/>
      </rPr>
      <t xml:space="preserve">첫 사용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카페 할인 규칙 세 줄</t>
    </r>
  </si>
  <si>
    <r>
      <rPr>
        <sz val="10"/>
        <rFont val="Arial"/>
        <family val="0"/>
        <charset val="1"/>
      </rPr>
      <t xml:space="preserve">OP1 </t>
    </r>
    <r>
      <rPr>
        <sz val="10"/>
        <rFont val="Noto Sans CJK KR"/>
        <family val="2"/>
      </rPr>
      <t xml:space="preserve">검토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절차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규칙</t>
    </r>
    <r>
      <rPr>
        <sz val="10"/>
        <rFont val="Arial"/>
        <family val="0"/>
        <charset val="1"/>
      </rPr>
      <t xml:space="preserve">) · AT6 · AL6</t>
    </r>
  </si>
  <si>
    <t xml:space="preserve">세 줄 만들기를 한 줄로</t>
  </si>
  <si>
    <t xml:space="preserve">OT8</t>
  </si>
  <si>
    <r>
      <rPr>
        <sz val="10"/>
        <rFont val="Noto Sans CJK KR"/>
        <family val="2"/>
      </rPr>
      <t xml:space="preserve">회사가 무엇을 중요하게 보는지 알아야 조치를 고를 수 있다 — 네 관점 지표와 서로 부딪히는 지표</t>
    </r>
    <r>
      <rPr>
        <sz val="10"/>
        <rFont val="Arial"/>
        <family val="0"/>
        <charset val="1"/>
      </rPr>
      <t xml:space="preserve">(BSC)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</si>
  <si>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건강검진 네 영역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재무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내부 프로세스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학습과 성장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원인 → 결과 화살표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동네 카페 전략맵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종이 전략맵 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모둠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상충 찾기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빨리 내기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맛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싼 원두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불만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공장 지표 미리보기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납기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가동률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영업이익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</si>
  <si>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OP2 · OP4 · OL9 · AP2 </t>
    </r>
    <r>
      <rPr>
        <sz val="10"/>
        <rFont val="Noto Sans CJK KR"/>
        <family val="2"/>
      </rPr>
      <t xml:space="preserve">손익</t>
    </r>
  </si>
  <si>
    <r>
      <rPr>
        <sz val="10"/>
        <rFont val="Noto Sans CJK KR"/>
        <family val="2"/>
      </rPr>
      <t xml:space="preserve">전략맵 그리기를 반쯤 그린 판으로</t>
    </r>
    <r>
      <rPr>
        <sz val="10"/>
        <rFont val="Arial"/>
        <family val="0"/>
        <charset val="1"/>
      </rPr>
      <t xml:space="preserve">(12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</si>
  <si>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t xml:space="preserve">OT9</t>
  </si>
  <si>
    <r>
      <rPr>
        <sz val="10"/>
        <rFont val="Noto Sans CJK KR"/>
        <family val="2"/>
      </rPr>
      <t xml:space="preserve">긴 문서가 지식이 되는 길 — 나누고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뽑고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틀에 맞추고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근거를 남기고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사람이 확인한다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</si>
  <si>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요리책에서 레시피 카드를 뽑아 정리함에 꽂기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다섯 단계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왜 나누나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한 번에 읽는 양에 한계 — 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한 번에 외울 수 있는 쪽수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종이 형광펜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커피머신 설명서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조건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순서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금지</t>
    </r>
    <r>
      <rPr>
        <sz val="10"/>
        <rFont val="Arial"/>
        <family val="0"/>
        <charset val="1"/>
      </rPr>
      <t xml:space="preserve">) · AI</t>
    </r>
    <r>
      <rPr>
        <sz val="10"/>
        <rFont val="Noto Sans CJK KR"/>
        <family val="2"/>
      </rPr>
      <t xml:space="preserve">가 뽑은 표를 원문과 대조하는 법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왜 사람이 확인하나</t>
    </r>
  </si>
  <si>
    <r>
      <rPr>
        <sz val="10"/>
        <rFont val="Arial"/>
        <family val="0"/>
        <charset val="1"/>
      </rPr>
      <t xml:space="preserve">OP1 · OP3 · OP4 </t>
    </r>
    <r>
      <rPr>
        <sz val="10"/>
        <rFont val="Noto Sans CJK KR"/>
        <family val="2"/>
      </rPr>
      <t xml:space="preserve">검토 </t>
    </r>
    <r>
      <rPr>
        <sz val="10"/>
        <rFont val="Arial"/>
        <family val="0"/>
        <charset val="1"/>
      </rPr>
      <t xml:space="preserve">· OL5~OL7</t>
    </r>
  </si>
  <si>
    <r>
      <rPr>
        <sz val="10"/>
        <rFont val="Noto Sans CJK KR"/>
        <family val="2"/>
      </rPr>
      <t xml:space="preserve">형광펜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대조를 시연 위주로</t>
    </r>
  </si>
  <si>
    <t xml:space="preserve">OT10</t>
  </si>
  <si>
    <r>
      <rPr>
        <sz val="10"/>
        <rFont val="Noto Sans CJK KR"/>
        <family val="2"/>
      </rPr>
      <t xml:space="preserve">값은 지식에 넣지 않고 자리만 적고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지식이 맞는지는 꼭 답할 질문으로 안다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</si>
  <si>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도서관 색인 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책이 아니라 위치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값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자리</t>
    </r>
    <r>
      <rPr>
        <sz val="10"/>
        <rFont val="Arial"/>
        <family val="0"/>
        <charset val="1"/>
      </rPr>
      <t xml:space="preserve">("</t>
    </r>
    <r>
      <rPr>
        <sz val="10"/>
        <rFont val="Noto Sans CJK KR"/>
        <family val="2"/>
      </rPr>
      <t xml:space="preserve">내 주문 배송 상태는 어느 표 어느 칸</t>
    </r>
    <r>
      <rPr>
        <sz val="10"/>
        <rFont val="Arial"/>
        <family val="0"/>
        <charset val="1"/>
      </rPr>
      <t xml:space="preserve">") · 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시험 문제를 먼저 정해 두기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꼭 답할 질문 쓰기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내 </t>
    </r>
    <r>
      <rPr>
        <sz val="10"/>
        <rFont val="Arial"/>
        <family val="0"/>
        <charset val="1"/>
      </rPr>
      <t xml:space="preserve">arrows.app </t>
    </r>
    <r>
      <rPr>
        <sz val="10"/>
        <rFont val="Noto Sans CJK KR"/>
        <family val="2"/>
      </rPr>
      <t xml:space="preserve">관계도에서 관계 하나 지우면 답이 바뀌나</t>
    </r>
  </si>
  <si>
    <t xml:space="preserve">OP2 · OP3 · OL8 · OL10</t>
  </si>
  <si>
    <t xml:space="preserve">지우기 실험을 시연으로</t>
  </si>
  <si>
    <t xml:space="preserve">OR</t>
  </si>
  <si>
    <t xml:space="preserve">지금까지 배운 것 — 포털에 들어가기 전 한 장으로</t>
  </si>
  <si>
    <r>
      <rPr>
        <sz val="10"/>
        <rFont val="Noto Sans CJK KR"/>
        <family val="2"/>
      </rPr>
      <t xml:space="preserve">열 가지 개념을 한 장 그림으로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포털에서 각각 어디에 보이는지 예고</t>
    </r>
  </si>
  <si>
    <t xml:space="preserve">같음</t>
  </si>
  <si>
    <t xml:space="preserve">포털</t>
  </si>
  <si>
    <t xml:space="preserve">OP1</t>
  </si>
  <si>
    <r>
      <rPr>
        <sz val="10"/>
        <rFont val="Noto Sans CJK KR"/>
        <family val="2"/>
      </rPr>
      <t xml:space="preserve">쿨러 과열 문서를 넣기 전에는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근거 없음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이던 경보가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넣은 뒤에는 원인과 조치를 갖는다 </t>
    </r>
    <r>
      <rPr>
        <sz val="10"/>
        <rFont val="Arial"/>
        <family val="0"/>
        <charset val="1"/>
      </rPr>
      <t xml:space="preserve">(A ① </t>
    </r>
    <r>
      <rPr>
        <sz val="10"/>
        <rFont val="Noto Sans CJK KR"/>
        <family val="2"/>
      </rPr>
      <t xml:space="preserve">넣기 → 검토 → 등록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</si>
  <si>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처음이라 천천히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화면 안내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적재 전 경보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보류 사유</t>
    </r>
    <r>
      <rPr>
        <sz val="10"/>
        <rFont val="Arial"/>
        <family val="0"/>
        <charset val="1"/>
      </rPr>
      <t xml:space="preserve">) · A </t>
    </r>
    <r>
      <rPr>
        <sz val="10"/>
        <rFont val="Noto Sans CJK KR"/>
        <family val="2"/>
      </rPr>
      <t xml:space="preserve">문서 함께 읽기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판정 기준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3 · </t>
    </r>
    <r>
      <rPr>
        <sz val="10"/>
        <rFont val="Noto Sans CJK KR"/>
        <family val="2"/>
      </rPr>
      <t xml:space="preserve">완화 절차 </t>
    </r>
    <r>
      <rPr>
        <sz val="10"/>
        <rFont val="Arial"/>
        <family val="0"/>
        <charset val="1"/>
      </rPr>
      <t xml:space="preserve">3 · </t>
    </r>
    <r>
      <rPr>
        <sz val="10"/>
        <rFont val="Noto Sans CJK KR"/>
        <family val="2"/>
      </rPr>
      <t xml:space="preserve">근본 절차 </t>
    </r>
    <r>
      <rPr>
        <sz val="10"/>
        <rFont val="Arial"/>
        <family val="0"/>
        <charset val="1"/>
      </rPr>
      <t xml:space="preserve">2 · </t>
    </r>
    <r>
      <rPr>
        <sz val="10"/>
        <rFont val="Noto Sans CJK KR"/>
        <family val="2"/>
      </rPr>
      <t xml:space="preserve">금지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넣기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추출 과정 화면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자동 표시 항목만 원문 대조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등록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새 노드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설명하는 개념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근거 없으면 멈춤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틀의 칸</t>
    </r>
    <r>
      <rPr>
        <sz val="10"/>
        <rFont val="Arial"/>
        <family val="0"/>
        <charset val="1"/>
      </rPr>
      <t xml:space="preserve">(OT4) · </t>
    </r>
    <r>
      <rPr>
        <sz val="10"/>
        <rFont val="Noto Sans CJK KR"/>
        <family val="2"/>
      </rPr>
      <t xml:space="preserve">인제스천 다섯 단계</t>
    </r>
    <r>
      <rPr>
        <sz val="10"/>
        <rFont val="Arial"/>
        <family val="0"/>
        <charset val="1"/>
      </rPr>
      <t xml:space="preserve">(OT9) · </t>
    </r>
    <r>
      <rPr>
        <sz val="10"/>
        <rFont val="Noto Sans CJK KR"/>
        <family val="2"/>
      </rPr>
      <t xml:space="preserve">사람 확인</t>
    </r>
  </si>
  <si>
    <r>
      <rPr>
        <sz val="10"/>
        <rFont val="Noto Sans CJK KR"/>
        <family val="2"/>
      </rPr>
      <t xml:space="preserve">문서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설명을 짧게</t>
    </r>
  </si>
  <si>
    <t xml:space="preserve">RAISE · EXT</t>
  </si>
  <si>
    <t xml:space="preserve">OP2</t>
  </si>
  <si>
    <r>
      <rPr>
        <sz val="10"/>
        <rFont val="Noto Sans CJK KR"/>
        <family val="2"/>
      </rPr>
      <t xml:space="preserve">쿨러 과열 지식의 길을 끝까지 따라간다 — 경보에서 원인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조치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회사 이익까지 </t>
    </r>
    <r>
      <rPr>
        <sz val="10"/>
        <rFont val="Arial"/>
        <family val="0"/>
        <charset val="1"/>
      </rPr>
      <t xml:space="preserve">(A ② </t>
    </r>
    <r>
      <rPr>
        <sz val="10"/>
        <rFont val="Noto Sans CJK KR"/>
        <family val="2"/>
      </rPr>
      <t xml:space="preserve">길 따라가기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꼭 답할 질문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</si>
  <si>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지식 지도 조작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경보 → 증상 → 원인 → 증거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조치</t>
    </r>
    <r>
      <rPr>
        <sz val="10"/>
        <rFont val="Arial"/>
        <family val="0"/>
        <charset val="1"/>
      </rPr>
      <t xml:space="preserve">(SOP-COOL) → </t>
    </r>
    <r>
      <rPr>
        <sz val="10"/>
        <rFont val="Noto Sans CJK KR"/>
        <family val="2"/>
      </rPr>
      <t xml:space="preserve">명령 값 → 납기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전력비 → 영업이익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꼭 답할 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(OT4) · </t>
    </r>
    <r>
      <rPr>
        <sz val="10"/>
        <rFont val="Noto Sans CJK KR"/>
        <family val="2"/>
      </rPr>
      <t xml:space="preserve">진료 순서</t>
    </r>
    <r>
      <rPr>
        <sz val="10"/>
        <rFont val="Arial"/>
        <family val="0"/>
        <charset val="1"/>
      </rPr>
      <t xml:space="preserve">(OT6) · </t>
    </r>
    <r>
      <rPr>
        <sz val="10"/>
        <rFont val="Noto Sans CJK KR"/>
        <family val="2"/>
      </rPr>
      <t xml:space="preserve">전략맵 화살표</t>
    </r>
    <r>
      <rPr>
        <sz val="10"/>
        <rFont val="Arial"/>
        <family val="0"/>
        <charset val="1"/>
      </rPr>
      <t xml:space="preserve">(OT8) · </t>
    </r>
    <r>
      <rPr>
        <sz val="10"/>
        <rFont val="Noto Sans CJK KR"/>
        <family val="2"/>
      </rPr>
      <t xml:space="preserve">질문이 검사가 되는 이유</t>
    </r>
    <r>
      <rPr>
        <sz val="10"/>
        <rFont val="Arial"/>
        <family val="0"/>
        <charset val="1"/>
      </rPr>
      <t xml:space="preserve">(OT10)</t>
    </r>
  </si>
  <si>
    <t xml:space="preserve">설명 셋을 하나로</t>
  </si>
  <si>
    <t xml:space="preserve">GQ</t>
  </si>
  <si>
    <t xml:space="preserve">OP3</t>
  </si>
  <si>
    <r>
      <rPr>
        <sz val="10"/>
        <rFont val="Noto Sans CJK KR"/>
        <family val="2"/>
      </rPr>
      <t xml:space="preserve">펌프 문서를 넣으면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언제 세워서 고칠까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를 판단할 지식이 생긴다 </t>
    </r>
    <r>
      <rPr>
        <sz val="10"/>
        <rFont val="Arial"/>
        <family val="0"/>
        <charset val="1"/>
      </rPr>
      <t xml:space="preserve">(B </t>
    </r>
    <r>
      <rPr>
        <sz val="10"/>
        <rFont val="Noto Sans CJK KR"/>
        <family val="2"/>
      </rPr>
      <t xml:space="preserve">넣기 → 등록 → 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질문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빠르게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</si>
  <si>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두 번째라 빠르게</t>
    </r>
    <r>
      <rPr>
        <sz val="10"/>
        <rFont val="Arial"/>
        <family val="0"/>
        <charset val="1"/>
      </rPr>
      <t xml:space="preserve">. B </t>
    </r>
    <r>
      <rPr>
        <sz val="10"/>
        <rFont val="Noto Sans CJK KR"/>
        <family val="2"/>
      </rPr>
      <t xml:space="preserve">문서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판정표 </t>
    </r>
    <r>
      <rPr>
        <sz val="10"/>
        <rFont val="Arial"/>
        <family val="0"/>
        <charset val="1"/>
      </rPr>
      <t xml:space="preserve">· P</t>
    </r>
    <r>
      <rPr>
        <sz val="10"/>
        <rFont val="Noto Sans CJK KR"/>
        <family val="2"/>
      </rPr>
      <t xml:space="preserve">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정비 시점 판단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압력 상향 금지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검토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금지 규칙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증상 → 원인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씰 마모</t>
    </r>
    <r>
      <rPr>
        <sz val="10"/>
        <rFont val="Arial"/>
        <family val="0"/>
        <charset val="1"/>
      </rPr>
      <t xml:space="preserve">) → </t>
    </r>
    <r>
      <rPr>
        <sz val="10"/>
        <rFont val="Noto Sans CJK KR"/>
        <family val="2"/>
      </rPr>
      <t xml:space="preserve">부품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씰 키트</t>
    </r>
    <r>
      <rPr>
        <sz val="10"/>
        <rFont val="Arial"/>
        <family val="0"/>
        <charset val="1"/>
      </rPr>
      <t xml:space="preserve">) → "</t>
    </r>
    <r>
      <rPr>
        <sz val="10"/>
        <rFont val="Noto Sans CJK KR"/>
        <family val="2"/>
      </rPr>
      <t xml:space="preserve">남은 시간 </t>
    </r>
    <r>
      <rPr>
        <sz val="10"/>
        <rFont val="Arial"/>
        <family val="0"/>
        <charset val="1"/>
      </rPr>
      <t xml:space="preserve">&lt; </t>
    </r>
    <r>
      <rPr>
        <sz val="10"/>
        <rFont val="Noto Sans CJK KR"/>
        <family val="2"/>
      </rPr>
      <t xml:space="preserve">리드타임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규칙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미리 알아채기 </t>
    </r>
    <r>
      <rPr>
        <sz val="10"/>
        <rFont val="Arial"/>
        <family val="0"/>
        <charset val="1"/>
      </rPr>
      <t xml:space="preserve">P</t>
    </r>
    <r>
      <rPr>
        <sz val="10"/>
        <rFont val="Noto Sans CJK KR"/>
        <family val="2"/>
      </rPr>
      <t xml:space="preserve">점</t>
    </r>
    <r>
      <rPr>
        <sz val="10"/>
        <rFont val="Arial"/>
        <family val="0"/>
        <charset val="1"/>
      </rPr>
      <t xml:space="preserve">(OT6) · </t>
    </r>
    <r>
      <rPr>
        <sz val="10"/>
        <rFont val="Noto Sans CJK KR"/>
        <family val="2"/>
      </rPr>
      <t xml:space="preserve">금지 규칙</t>
    </r>
    <r>
      <rPr>
        <sz val="10"/>
        <rFont val="Arial"/>
        <family val="0"/>
        <charset val="1"/>
      </rPr>
      <t xml:space="preserve">(OT7) · </t>
    </r>
    <r>
      <rPr>
        <sz val="10"/>
        <rFont val="Noto Sans CJK KR"/>
        <family val="2"/>
      </rPr>
      <t xml:space="preserve">값은 자리만</t>
    </r>
    <r>
      <rPr>
        <sz val="10"/>
        <rFont val="Arial"/>
        <family val="0"/>
        <charset val="1"/>
      </rPr>
      <t xml:space="preserve">(OT10)</t>
    </r>
  </si>
  <si>
    <t xml:space="preserve">설명을 짧게</t>
  </si>
  <si>
    <t xml:space="preserve">EXT · GQ</t>
  </si>
  <si>
    <t xml:space="preserve">OP4</t>
  </si>
  <si>
    <r>
      <rPr>
        <sz val="10"/>
        <rFont val="Noto Sans CJK KR"/>
        <family val="2"/>
      </rPr>
      <t xml:space="preserve">구매 기준 문서를 넣으면 부품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공급사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금액 규칙이 한 지도에 이어진다 </t>
    </r>
    <r>
      <rPr>
        <sz val="10"/>
        <rFont val="Arial"/>
        <family val="0"/>
        <charset val="1"/>
      </rPr>
      <t xml:space="preserve">(C, </t>
    </r>
    <r>
      <rPr>
        <sz val="10"/>
        <rFont val="Noto Sans CJK KR"/>
        <family val="2"/>
      </rPr>
      <t xml:space="preserve">빠르게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세 지식 나란히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</si>
  <si>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세 번째</t>
    </r>
    <r>
      <rPr>
        <sz val="10"/>
        <rFont val="Arial"/>
        <family val="0"/>
        <charset val="1"/>
      </rPr>
      <t xml:space="preserve">. C </t>
    </r>
    <r>
      <rPr>
        <sz val="10"/>
        <rFont val="Noto Sans CJK KR"/>
        <family val="2"/>
      </rPr>
      <t xml:space="preserve">문서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재주문점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공급사 </t>
    </r>
    <r>
      <rPr>
        <sz val="10"/>
        <rFont val="Arial"/>
        <family val="0"/>
        <charset val="1"/>
      </rPr>
      <t xml:space="preserve">· 300</t>
    </r>
    <r>
      <rPr>
        <sz val="10"/>
        <rFont val="Noto Sans CJK KR"/>
        <family val="2"/>
      </rPr>
      <t xml:space="preserve">만 원 전결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씰 키트 → 쓰이는 설비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→ 공급사 셋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단가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불량률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리드타임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여부</t>
    </r>
    <r>
      <rPr>
        <sz val="10"/>
        <rFont val="Arial"/>
        <family val="0"/>
        <charset val="1"/>
      </rPr>
      <t xml:space="preserve">) → </t>
    </r>
    <r>
      <rPr>
        <sz val="10"/>
        <rFont val="Noto Sans CJK KR"/>
        <family val="2"/>
      </rPr>
      <t xml:space="preserve">상충 → 규정 </t>
    </r>
    <r>
      <rPr>
        <sz val="10"/>
        <rFont val="Arial"/>
        <family val="0"/>
        <charset val="1"/>
      </rPr>
      <t xml:space="preserve">· A · B · C </t>
    </r>
    <r>
      <rPr>
        <sz val="10"/>
        <rFont val="Noto Sans CJK KR"/>
        <family val="2"/>
      </rPr>
      <t xml:space="preserve">세 지식 나란히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재주문점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전결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상충</t>
    </r>
    <r>
      <rPr>
        <sz val="10"/>
        <rFont val="Arial"/>
        <family val="0"/>
        <charset val="1"/>
      </rPr>
      <t xml:space="preserve">(OT8) · "</t>
    </r>
    <r>
      <rPr>
        <sz val="10"/>
        <rFont val="Noto Sans CJK KR"/>
        <family val="2"/>
      </rPr>
      <t xml:space="preserve">틀은 같고 내용이 다르다</t>
    </r>
    <r>
      <rPr>
        <sz val="10"/>
        <rFont val="Arial"/>
        <family val="0"/>
        <charset val="1"/>
      </rPr>
      <t xml:space="preserve">"(OT4)</t>
    </r>
  </si>
  <si>
    <t xml:space="preserve">세 지식 비교를 짧게</t>
  </si>
  <si>
    <t xml:space="preserve">랩업</t>
  </si>
  <si>
    <t xml:space="preserve">OL1</t>
  </si>
  <si>
    <t xml:space="preserve">말로 시켜 만드는 조수와 처음 일한다 — 작업 폴더를 열고 첫 결과를 본다</t>
  </si>
  <si>
    <r>
      <rPr>
        <sz val="10"/>
        <rFont val="Noto Sans CJK KR"/>
        <family val="2"/>
      </rPr>
      <t xml:space="preserve">바이브 코딩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말로 시키고 결과를 확인</t>
    </r>
    <r>
      <rPr>
        <sz val="10"/>
        <rFont val="Arial"/>
        <family val="0"/>
        <charset val="1"/>
      </rPr>
      <t xml:space="preserve">) · VS Code · </t>
    </r>
    <r>
      <rPr>
        <sz val="10"/>
        <rFont val="Noto Sans CJK KR"/>
        <family val="2"/>
      </rPr>
      <t xml:space="preserve">터미널 </t>
    </r>
    <r>
      <rPr>
        <sz val="10"/>
        <rFont val="Arial"/>
        <family val="0"/>
        <charset val="1"/>
      </rPr>
      <t xml:space="preserve">· Claude Code </t>
    </r>
    <r>
      <rPr>
        <sz val="10"/>
        <rFont val="Noto Sans CJK KR"/>
        <family val="2"/>
      </rPr>
      <t xml:space="preserve">첫 사용 </t>
    </r>
    <r>
      <rPr>
        <sz val="10"/>
        <rFont val="Arial"/>
        <family val="0"/>
        <charset val="1"/>
      </rPr>
      <t xml:space="preserve">· "</t>
    </r>
    <r>
      <rPr>
        <sz val="10"/>
        <rFont val="Noto Sans CJK KR"/>
        <family val="2"/>
      </rPr>
      <t xml:space="preserve">고쳐도 되나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물음 읽는 법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출발본으로 되돌리기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온톨로지 트랙 폴더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첫 지시문 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언어 모델</t>
    </r>
    <r>
      <rPr>
        <sz val="10"/>
        <rFont val="Arial"/>
        <family val="0"/>
        <charset val="1"/>
      </rPr>
      <t xml:space="preserve">(OT1) — </t>
    </r>
    <r>
      <rPr>
        <sz val="10"/>
        <rFont val="Noto Sans CJK KR"/>
        <family val="2"/>
      </rPr>
      <t xml:space="preserve">이제 직접 써 본다</t>
    </r>
  </si>
  <si>
    <r>
      <rPr>
        <sz val="10"/>
        <rFont val="Noto Sans CJK KR"/>
        <family val="2"/>
      </rPr>
      <t xml:space="preserve">둘러보기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정리를 짧게</t>
    </r>
  </si>
  <si>
    <t xml:space="preserve">CC</t>
  </si>
  <si>
    <t xml:space="preserve">OL2</t>
  </si>
  <si>
    <r>
      <rPr>
        <sz val="10"/>
        <rFont val="Noto Sans CJK KR"/>
        <family val="2"/>
      </rPr>
      <t xml:space="preserve">매뉴얼을 찾아 함께 넣어 주면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의 답에 근거 구절이 붙는다</t>
    </r>
  </si>
  <si>
    <r>
      <rPr>
        <sz val="10"/>
        <rFont val="Arial"/>
        <family val="0"/>
        <charset val="1"/>
      </rPr>
      <t xml:space="preserve">L1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A </t>
    </r>
    <r>
      <rPr>
        <sz val="10"/>
        <rFont val="Noto Sans CJK KR"/>
        <family val="2"/>
      </rPr>
      <t xml:space="preserve">문서에서 관련 절을 찾아 답과 근거 줄을 내는 작은 프로그램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문서 없을 때와 있을 때 답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관리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이 문서로 답할 수 있는 질문</t>
    </r>
    <r>
      <rPr>
        <sz val="10"/>
        <rFont val="Arial"/>
        <family val="0"/>
        <charset val="1"/>
      </rPr>
      <t xml:space="preserve">" 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A </t>
    </r>
    <r>
      <rPr>
        <sz val="10"/>
        <rFont val="Noto Sans CJK KR"/>
        <family val="2"/>
      </rPr>
      <t xml:space="preserve">문서 텍스트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개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환각</t>
    </r>
    <r>
      <rPr>
        <sz val="10"/>
        <rFont val="Arial"/>
        <family val="0"/>
        <charset val="1"/>
      </rPr>
      <t xml:space="preserve">(OT1) · </t>
    </r>
    <r>
      <rPr>
        <sz val="10"/>
        <rFont val="Noto Sans CJK KR"/>
        <family val="2"/>
      </rPr>
      <t xml:space="preserve">찾아서 답하기</t>
    </r>
    <r>
      <rPr>
        <sz val="10"/>
        <rFont val="Arial"/>
        <family val="0"/>
        <charset val="1"/>
      </rPr>
      <t xml:space="preserve">(OT2)</t>
    </r>
  </si>
  <si>
    <r>
      <rPr>
        <sz val="10"/>
        <rFont val="Noto Sans CJK KR"/>
        <family val="2"/>
      </rPr>
      <t xml:space="preserve">쉬운 말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정리를 줄임</t>
    </r>
  </si>
  <si>
    <t xml:space="preserve">CC · GQ</t>
  </si>
  <si>
    <t xml:space="preserve">OL3</t>
  </si>
  <si>
    <r>
      <rPr>
        <sz val="10"/>
        <rFont val="Noto Sans CJK KR"/>
        <family val="2"/>
      </rPr>
      <t xml:space="preserve">증상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지표의 틀을 직접 세운다</t>
    </r>
  </si>
  <si>
    <r>
      <rPr>
        <sz val="10"/>
        <rFont val="Arial"/>
        <family val="0"/>
        <charset val="1"/>
      </rPr>
      <t xml:space="preserve">L2 · L3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틀 설명 </t>
    </r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쪽 → 그래프 </t>
    </r>
    <r>
      <rPr>
        <sz val="10"/>
        <rFont val="Arial"/>
        <family val="0"/>
        <charset val="1"/>
      </rPr>
      <t xml:space="preserve">DB</t>
    </r>
    <r>
      <rPr>
        <sz val="10"/>
        <rFont val="Noto Sans CJK KR"/>
        <family val="2"/>
      </rPr>
      <t xml:space="preserve">의 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제약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Neo4j Browser </t>
    </r>
    <r>
      <rPr>
        <sz val="10"/>
        <rFont val="Noto Sans CJK KR"/>
        <family val="2"/>
      </rPr>
      <t xml:space="preserve">그림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지도의 클래스 구성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빈 그래프 </t>
    </r>
    <r>
      <rPr>
        <sz val="10"/>
        <rFont val="Arial"/>
        <family val="0"/>
        <charset val="1"/>
      </rPr>
      <t xml:space="preserve">DB + </t>
    </r>
    <r>
      <rPr>
        <sz val="10"/>
        <rFont val="Noto Sans CJK KR"/>
        <family val="2"/>
      </rPr>
      <t xml:space="preserve">틀 설명 </t>
    </r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쪽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(OT4) · </t>
    </r>
    <r>
      <rPr>
        <sz val="10"/>
        <rFont val="Noto Sans CJK KR"/>
        <family val="2"/>
      </rPr>
      <t xml:space="preserve">증상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조치</t>
    </r>
    <r>
      <rPr>
        <sz val="10"/>
        <rFont val="Arial"/>
        <family val="0"/>
        <charset val="1"/>
      </rPr>
      <t xml:space="preserve">(OT6)</t>
    </r>
  </si>
  <si>
    <r>
      <rPr>
        <sz val="10"/>
        <rFont val="Arial"/>
        <family val="0"/>
        <charset val="1"/>
      </rPr>
      <t xml:space="preserve">Neo4j Browser </t>
    </r>
    <r>
      <rPr>
        <sz val="10"/>
        <rFont val="Noto Sans CJK KR"/>
        <family val="2"/>
      </rPr>
      <t xml:space="preserve">안내를 짧게</t>
    </r>
  </si>
  <si>
    <t xml:space="preserve">OL4</t>
  </si>
  <si>
    <t xml:space="preserve">공장 구조를 틀에 채운다 — 두 번 넣어도 같은 결과가 나와야 믿을 수 있다</t>
  </si>
  <si>
    <r>
      <rPr>
        <sz val="10"/>
        <rFont val="Arial"/>
        <family val="0"/>
        <charset val="1"/>
      </rPr>
      <t xml:space="preserve">L4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설비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부품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센서 </t>
    </r>
    <r>
      <rPr>
        <sz val="10"/>
        <rFont val="Arial"/>
        <family val="0"/>
        <charset val="1"/>
      </rPr>
      <t xml:space="preserve">CSV </t>
    </r>
    <r>
      <rPr>
        <sz val="10"/>
        <rFont val="Noto Sans CJK KR"/>
        <family val="2"/>
      </rPr>
      <t xml:space="preserve">적재기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두 번 넣어도 노드 수 그대로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중복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잘못된 판단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적재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구조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CSV </t>
    </r>
    <r>
      <rPr>
        <sz val="10"/>
        <rFont val="Noto Sans CJK KR"/>
        <family val="2"/>
      </rPr>
      <t xml:space="preserve">몇 줄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틀과 내용</t>
    </r>
    <r>
      <rPr>
        <sz val="10"/>
        <rFont val="Arial"/>
        <family val="0"/>
        <charset val="1"/>
      </rPr>
      <t xml:space="preserve">(OT4)</t>
    </r>
  </si>
  <si>
    <t xml:space="preserve">같은 방식으로 줄임</t>
  </si>
  <si>
    <t xml:space="preserve">OL5</t>
  </si>
  <si>
    <t xml:space="preserve">긴 문서를 절차 중간에서 끊지 않고 나눈다</t>
  </si>
  <si>
    <r>
      <rPr>
        <sz val="10"/>
        <rFont val="Arial"/>
        <family val="0"/>
        <charset val="1"/>
      </rPr>
      <t xml:space="preserve">L9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절 단위 나누기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조각과 경계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실물 </t>
    </r>
    <r>
      <rPr>
        <sz val="10"/>
        <rFont val="Arial"/>
        <family val="0"/>
        <charset val="1"/>
      </rPr>
      <t xml:space="preserve">80</t>
    </r>
    <r>
      <rPr>
        <sz val="10"/>
        <rFont val="Noto Sans CJK KR"/>
        <family val="2"/>
      </rPr>
      <t xml:space="preserve">쪽 사례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구간 </t>
    </r>
    <r>
      <rPr>
        <sz val="10"/>
        <rFont val="Arial"/>
        <family val="0"/>
        <charset val="1"/>
      </rPr>
      <t xml:space="preserve">2, 612</t>
    </r>
    <r>
      <rPr>
        <sz val="10"/>
        <rFont val="Noto Sans CJK KR"/>
        <family val="2"/>
      </rPr>
      <t xml:space="preserve">초 — 녹화 압축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문서 적재의 구간 나누기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A · B </t>
    </r>
    <r>
      <rPr>
        <sz val="10"/>
        <rFont val="Noto Sans CJK KR"/>
        <family val="2"/>
      </rPr>
      <t xml:space="preserve">문서 텍스트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왜 나누나</t>
    </r>
    <r>
      <rPr>
        <sz val="10"/>
        <rFont val="Arial"/>
        <family val="0"/>
        <charset val="1"/>
      </rPr>
      <t xml:space="preserve">(OT9)</t>
    </r>
  </si>
  <si>
    <r>
      <rPr>
        <sz val="10"/>
        <rFont val="Arial"/>
        <family val="0"/>
        <charset val="1"/>
      </rPr>
      <t xml:space="preserve">80</t>
    </r>
    <r>
      <rPr>
        <sz val="10"/>
        <rFont val="Noto Sans CJK KR"/>
        <family val="2"/>
      </rPr>
      <t xml:space="preserve">쪽 사례를 짧게</t>
    </r>
  </si>
  <si>
    <t xml:space="preserve">CC · LONG</t>
  </si>
  <si>
    <t xml:space="preserve">OL6</t>
  </si>
  <si>
    <r>
      <rPr>
        <sz val="10"/>
        <rFont val="Noto Sans CJK KR"/>
        <family val="2"/>
      </rPr>
      <t xml:space="preserve">조각에서 고장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절차를 뽑되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틀에 맞는 것만 원문 근거와 함께 남긴다</t>
    </r>
  </si>
  <si>
    <r>
      <rPr>
        <sz val="10"/>
        <rFont val="Arial"/>
        <family val="0"/>
        <charset val="1"/>
      </rPr>
      <t xml:space="preserve">L10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조각 → 틀에 맞는 항목 추출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틀 밖 항목 거절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근거 구간 표시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추출 제안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OL5 </t>
    </r>
    <r>
      <rPr>
        <sz val="10"/>
        <rFont val="Noto Sans CJK KR"/>
        <family val="2"/>
      </rPr>
      <t xml:space="preserve">조각 </t>
    </r>
    <r>
      <rPr>
        <sz val="10"/>
        <rFont val="Arial"/>
        <family val="0"/>
        <charset val="1"/>
      </rPr>
      <t xml:space="preserve">+ OL3 </t>
    </r>
    <r>
      <rPr>
        <sz val="10"/>
        <rFont val="Noto Sans CJK KR"/>
        <family val="2"/>
      </rPr>
      <t xml:space="preserve">틀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뽑기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틀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근거</t>
    </r>
    <r>
      <rPr>
        <sz val="10"/>
        <rFont val="Arial"/>
        <family val="0"/>
        <charset val="1"/>
      </rPr>
      <t xml:space="preserve">(OT9)</t>
    </r>
  </si>
  <si>
    <r>
      <rPr>
        <sz val="10"/>
        <rFont val="Noto Sans CJK KR"/>
        <family val="2"/>
      </rPr>
      <t xml:space="preserve">추출을 </t>
    </r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회로</t>
    </r>
  </si>
  <si>
    <t xml:space="preserve">CC · EXT</t>
  </si>
  <si>
    <t xml:space="preserve">OL7</t>
  </si>
  <si>
    <r>
      <rPr>
        <sz val="10"/>
        <rFont val="Noto Sans CJK KR"/>
        <family val="2"/>
      </rPr>
      <t xml:space="preserve">사람이 확인한 것만 지식에 잇는다 — 검토하고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고장에 연결하고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등록하고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되돌린다</t>
    </r>
  </si>
  <si>
    <r>
      <rPr>
        <sz val="10"/>
        <rFont val="Noto Sans CJK KR"/>
        <family val="2"/>
      </rPr>
      <t xml:space="preserve">신규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검토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검토 목록 → 승인한 것만 등록 → 고장 유형에 연결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승인 안 한 항목은 안 들어감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배치 되돌리기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검토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등록 화면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OL6 </t>
    </r>
    <r>
      <rPr>
        <sz val="10"/>
        <rFont val="Noto Sans CJK KR"/>
        <family val="2"/>
      </rPr>
      <t xml:space="preserve">결과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사람 확인</t>
    </r>
    <r>
      <rPr>
        <sz val="10"/>
        <rFont val="Arial"/>
        <family val="0"/>
        <charset val="1"/>
      </rPr>
      <t xml:space="preserve">(OT9) ·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(OT4)</t>
    </r>
  </si>
  <si>
    <t xml:space="preserve">같은 방식</t>
  </si>
  <si>
    <t xml:space="preserve">OL8</t>
  </si>
  <si>
    <r>
      <rPr>
        <sz val="10"/>
        <rFont val="Noto Sans CJK KR"/>
        <family val="2"/>
      </rPr>
      <t xml:space="preserve">정비창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재고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공급 조건 값은 업무 </t>
    </r>
    <r>
      <rPr>
        <sz val="10"/>
        <rFont val="Arial"/>
        <family val="0"/>
        <charset val="1"/>
      </rPr>
      <t xml:space="preserve">DB</t>
    </r>
    <r>
      <rPr>
        <sz val="10"/>
        <rFont val="Noto Sans CJK KR"/>
        <family val="2"/>
      </rPr>
      <t xml:space="preserve">에 두고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지식에는 자리만 잇는다</t>
    </r>
  </si>
  <si>
    <r>
      <rPr>
        <sz val="10"/>
        <rFont val="Arial"/>
        <family val="0"/>
        <charset val="1"/>
      </rPr>
      <t xml:space="preserve">L11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업무 </t>
    </r>
    <r>
      <rPr>
        <sz val="10"/>
        <rFont val="Arial"/>
        <family val="0"/>
        <charset val="1"/>
      </rPr>
      <t xml:space="preserve">DB </t>
    </r>
    <r>
      <rPr>
        <sz val="10"/>
        <rFont val="Noto Sans CJK KR"/>
        <family val="2"/>
      </rPr>
      <t xml:space="preserve">표 구조</t>
    </r>
    <r>
      <rPr>
        <sz val="10"/>
        <rFont val="Arial"/>
        <family val="0"/>
        <charset val="1"/>
      </rPr>
      <t xml:space="preserve">(DDL) → "</t>
    </r>
    <r>
      <rPr>
        <sz val="10"/>
        <rFont val="Noto Sans CJK KR"/>
        <family val="2"/>
      </rPr>
      <t xml:space="preserve">이 값은 이 표 이 칸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연결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지식에 값 없이 자리만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조회 결과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관리 › 업무 데이터 연결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표 구조 파일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값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자리</t>
    </r>
    <r>
      <rPr>
        <sz val="10"/>
        <rFont val="Arial"/>
        <family val="0"/>
        <charset val="1"/>
      </rPr>
      <t xml:space="preserve">(OT10)</t>
    </r>
  </si>
  <si>
    <t xml:space="preserve">OL9</t>
  </si>
  <si>
    <t xml:space="preserve">이 조치가 회사 이익의 어디에 닿고 무엇과 부딪히는지 묻는다</t>
  </si>
  <si>
    <r>
      <rPr>
        <sz val="10"/>
        <rFont val="Arial"/>
        <family val="0"/>
        <charset val="1"/>
      </rPr>
      <t xml:space="preserve">L5 · L8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지표 층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네 관점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상충</t>
    </r>
    <r>
      <rPr>
        <sz val="10"/>
        <rFont val="Arial"/>
        <family val="0"/>
        <charset val="1"/>
      </rPr>
      <t xml:space="preserve">) </t>
    </r>
    <r>
      <rPr>
        <sz val="10"/>
        <rFont val="Noto Sans CJK KR"/>
        <family val="2"/>
      </rPr>
      <t xml:space="preserve">더하기와 경로 질문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조치 → 지표 → 영업이익 사슬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상충 경로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지도의 회사 목표 층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네 관점 표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전략맵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상충</t>
    </r>
    <r>
      <rPr>
        <sz val="10"/>
        <rFont val="Arial"/>
        <family val="0"/>
        <charset val="1"/>
      </rPr>
      <t xml:space="preserve">(OT8) · </t>
    </r>
    <r>
      <rPr>
        <sz val="10"/>
        <rFont val="Noto Sans CJK KR"/>
        <family val="2"/>
      </rPr>
      <t xml:space="preserve">지도에 묻기</t>
    </r>
    <r>
      <rPr>
        <sz val="10"/>
        <rFont val="Arial"/>
        <family val="0"/>
        <charset val="1"/>
      </rPr>
      <t xml:space="preserve">(OT5)</t>
    </r>
  </si>
  <si>
    <t xml:space="preserve">OL10</t>
  </si>
  <si>
    <t xml:space="preserve">꼭 답해야 할 질문으로 내 지식을 자동 검사한다 — 관계 하나를 끊으면 잡히는가</t>
  </si>
  <si>
    <r>
      <rPr>
        <sz val="10"/>
        <rFont val="Arial"/>
        <family val="0"/>
        <charset val="1"/>
      </rPr>
      <t xml:space="preserve">L6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질문 </t>
    </r>
    <r>
      <rPr>
        <sz val="10"/>
        <rFont val="Arial"/>
        <family val="0"/>
        <charset val="1"/>
      </rPr>
      <t xml:space="preserve">5</t>
    </r>
    <r>
      <rPr>
        <sz val="10"/>
        <rFont val="Noto Sans CJK KR"/>
        <family val="2"/>
      </rPr>
      <t xml:space="preserve">개 자동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일부러 끊은 관계에서 검사 실패 → 고치면 통과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꼭 답해야 할 질문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트랙 한눈에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틀 → 적재 → 문서 → 추출 → 검토 → 자리 → 지표 → 검사</t>
    </r>
    <r>
      <rPr>
        <sz val="10"/>
        <rFont val="Arial"/>
        <family val="0"/>
        <charset val="1"/>
      </rPr>
      <t xml:space="preserve">).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꼭 답할 질문</t>
    </r>
    <r>
      <rPr>
        <sz val="10"/>
        <rFont val="Arial"/>
        <family val="0"/>
        <charset val="1"/>
      </rPr>
      <t xml:space="preserve">(OT10)</t>
    </r>
  </si>
  <si>
    <t xml:space="preserve">트랙 정리를 짧게</t>
  </si>
  <si>
    <t xml:space="preserve">에이전트</t>
  </si>
  <si>
    <t xml:space="preserve">AT1</t>
  </si>
  <si>
    <r>
      <rPr>
        <sz val="10"/>
        <rFont val="Noto Sans CJK KR"/>
        <family val="2"/>
      </rPr>
      <t xml:space="preserve">답만 하는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와 일을 하는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는 다르다 — 에이전트</t>
    </r>
  </si>
  <si>
    <r>
      <rPr>
        <sz val="10"/>
        <rFont val="Noto Sans CJK KR"/>
        <family val="2"/>
      </rPr>
      <t xml:space="preserve">막 여는 이야기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지식이 생겼다 → 이제 누가 그 지식으로 판단하나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전화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검색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예약을 직접 하는 비서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에이전트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언어 모델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도구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절차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목표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답만 하는 </t>
    </r>
    <r>
      <rPr>
        <sz val="10"/>
        <rFont val="Arial"/>
        <family val="0"/>
        <charset val="1"/>
      </rPr>
      <t xml:space="preserve">AI vs </t>
    </r>
    <r>
      <rPr>
        <sz val="10"/>
        <rFont val="Noto Sans CJK KR"/>
        <family val="2"/>
      </rPr>
      <t xml:space="preserve">도구를 부르는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사례 그림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왜 공장에 필요한가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설명만</t>
    </r>
  </si>
  <si>
    <t xml:space="preserve">AP1 · AL1</t>
  </si>
  <si>
    <t xml:space="preserve">사례를 짧게</t>
  </si>
  <si>
    <t xml:space="preserve">AT2</t>
  </si>
  <si>
    <r>
      <rPr>
        <sz val="10"/>
        <rFont val="Noto Sans CJK KR"/>
        <family val="2"/>
      </rPr>
      <t xml:space="preserve">보고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생각하고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움직이고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다시 본다 — 몸으로 해 보는 </t>
    </r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일꾼</t>
    </r>
  </si>
  <si>
    <r>
      <rPr>
        <sz val="10"/>
        <rFont val="Noto Sans CJK KR"/>
        <family val="2"/>
      </rPr>
      <t xml:space="preserve">관찰 → 판단 → 행동 되풀이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역할극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동네 맛집 예약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1 · </t>
    </r>
    <r>
      <rPr>
        <sz val="10"/>
        <rFont val="Noto Sans CJK KR"/>
        <family val="2"/>
      </rPr>
      <t xml:space="preserve">도구 카드 </t>
    </r>
    <r>
      <rPr>
        <sz val="10"/>
        <rFont val="Arial"/>
        <family val="0"/>
        <charset val="1"/>
      </rPr>
      <t xml:space="preserve">3 · </t>
    </r>
    <r>
      <rPr>
        <sz val="10"/>
        <rFont val="Noto Sans CJK KR"/>
        <family val="2"/>
      </rPr>
      <t xml:space="preserve">승인자 </t>
    </r>
    <r>
      <rPr>
        <sz val="10"/>
        <rFont val="Arial"/>
        <family val="0"/>
        <charset val="1"/>
      </rPr>
      <t xml:space="preserve">1, </t>
    </r>
    <r>
      <rPr>
        <sz val="10"/>
        <rFont val="Noto Sans CJK KR"/>
        <family val="2"/>
      </rPr>
      <t xml:space="preserve">영상은 녹화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기록지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생각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행동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관찰</t>
    </r>
    <r>
      <rPr>
        <sz val="10"/>
        <rFont val="Arial"/>
        <family val="0"/>
        <charset val="1"/>
      </rPr>
      <t xml:space="preserve">) · 2</t>
    </r>
    <r>
      <rPr>
        <sz val="10"/>
        <rFont val="Noto Sans CJK KR"/>
        <family val="2"/>
      </rPr>
      <t xml:space="preserve">라운드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도구 카드 하나 빼면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</si>
  <si>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AP1 </t>
    </r>
    <r>
      <rPr>
        <sz val="10"/>
        <rFont val="Noto Sans CJK KR"/>
        <family val="2"/>
      </rPr>
      <t xml:space="preserve">질문하기 </t>
    </r>
    <r>
      <rPr>
        <sz val="10"/>
        <rFont val="Arial"/>
        <family val="0"/>
        <charset val="1"/>
      </rPr>
      <t xml:space="preserve">· AP2 · AL1 · BL4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</si>
  <si>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KR"/>
        <family val="2"/>
      </rPr>
      <t xml:space="preserve">라운드를 짧게</t>
    </r>
  </si>
  <si>
    <t xml:space="preserve">AT3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</si>
  <si>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가 부를 수 있는 기능과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그 기능을 꽂는 규격 — 도구와 </t>
    </r>
    <r>
      <rPr>
        <sz val="10"/>
        <rFont val="Arial"/>
        <family val="0"/>
        <charset val="1"/>
      </rPr>
      <t xml:space="preserve">MCP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</si>
  <si>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콘센트 규격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도구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이름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받는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돌려주는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설명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규격이 왜 필요한가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모양 그림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일꾼 – 서버 – 원천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종이 도구 카드 쓰기</t>
    </r>
  </si>
  <si>
    <r>
      <rPr>
        <sz val="10"/>
        <rFont val="Arial"/>
        <family val="0"/>
        <charset val="1"/>
      </rPr>
      <t xml:space="preserve">AP1 </t>
    </r>
    <r>
      <rPr>
        <sz val="10"/>
        <rFont val="Noto Sans CJK KR"/>
        <family val="2"/>
      </rPr>
      <t xml:space="preserve">연결 검사 </t>
    </r>
    <r>
      <rPr>
        <sz val="10"/>
        <rFont val="Arial"/>
        <family val="0"/>
        <charset val="1"/>
      </rPr>
      <t xml:space="preserve">· AL2~AL4</t>
    </r>
  </si>
  <si>
    <t xml:space="preserve">연결 그림을 짧게</t>
  </si>
  <si>
    <t xml:space="preserve">AT4</t>
  </si>
  <si>
    <r>
      <rPr>
        <sz val="10"/>
        <rFont val="Noto Sans CJK KR"/>
        <family val="2"/>
      </rPr>
      <t xml:space="preserve">지금 값은 원천에 물어야 하고</t>
    </r>
    <r>
      <rPr>
        <sz val="10"/>
        <rFont val="Arial"/>
        <family val="0"/>
        <charset val="1"/>
      </rPr>
      <t xml:space="preserve">, AI</t>
    </r>
    <r>
      <rPr>
        <sz val="10"/>
        <rFont val="Noto Sans CJK KR"/>
        <family val="2"/>
      </rPr>
      <t xml:space="preserve">에게는 읽기만 맡긴다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</si>
  <si>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냉장고 재고는 열어 봐야 안다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고정 지식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지금 값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읽는 도구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바꾸는 도구 — 왜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는 읽기만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바꾸기는 승인 뒤 시스템이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: "</t>
    </r>
    <r>
      <rPr>
        <sz val="10"/>
        <rFont val="Noto Sans CJK KR"/>
        <family val="2"/>
      </rPr>
      <t xml:space="preserve">오늘 우산 필요</t>
    </r>
    <r>
      <rPr>
        <sz val="10"/>
        <rFont val="Arial"/>
        <family val="0"/>
        <charset val="1"/>
      </rPr>
      <t xml:space="preserve">?" </t>
    </r>
    <r>
      <rPr>
        <sz val="10"/>
        <rFont val="Noto Sans CJK KR"/>
        <family val="2"/>
      </rPr>
      <t xml:space="preserve">원천 고르기</t>
    </r>
  </si>
  <si>
    <t xml:space="preserve">AP1 · AL2 · AL4 · BL2</t>
  </si>
  <si>
    <t xml:space="preserve">원천 고르기를 시연으로</t>
  </si>
  <si>
    <t xml:space="preserve">AT5</t>
  </si>
  <si>
    <r>
      <rPr>
        <sz val="10"/>
        <rFont val="Noto Sans CJK KR"/>
        <family val="2"/>
      </rPr>
      <t xml:space="preserve">선배의 체크리스트가 일하는 순서를 바꾼다 — 작업 요령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스킬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</si>
  <si>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선배의 체크리스트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도구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요령이 순서를 바꾸는 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후 그림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: "</t>
    </r>
    <r>
      <rPr>
        <sz val="10"/>
        <rFont val="Noto Sans CJK KR"/>
        <family val="2"/>
      </rPr>
      <t xml:space="preserve">맛집 고르는 요령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다섯 줄</t>
    </r>
  </si>
  <si>
    <r>
      <rPr>
        <sz val="10"/>
        <rFont val="Arial"/>
        <family val="0"/>
        <charset val="1"/>
      </rPr>
      <t xml:space="preserve">AP1 </t>
    </r>
    <r>
      <rPr>
        <sz val="10"/>
        <rFont val="Noto Sans CJK KR"/>
        <family val="2"/>
      </rPr>
      <t xml:space="preserve">요령 붙이기 </t>
    </r>
    <r>
      <rPr>
        <sz val="10"/>
        <rFont val="Arial"/>
        <family val="0"/>
        <charset val="1"/>
      </rPr>
      <t xml:space="preserve">· AL5</t>
    </r>
  </si>
  <si>
    <t xml:space="preserve">예를 짧게</t>
  </si>
  <si>
    <t xml:space="preserve">AT6</t>
  </si>
  <si>
    <r>
      <rPr>
        <sz val="10"/>
        <rFont val="Noto Sans CJK KR"/>
        <family val="2"/>
      </rPr>
      <t xml:space="preserve">매번 같아야 하는 판단은 규칙이 맡고</t>
    </r>
    <r>
      <rPr>
        <sz val="10"/>
        <rFont val="Arial"/>
        <family val="0"/>
        <charset val="1"/>
      </rPr>
      <t xml:space="preserve">, AI</t>
    </r>
    <r>
      <rPr>
        <sz val="10"/>
        <rFont val="Noto Sans CJK KR"/>
        <family val="2"/>
      </rPr>
      <t xml:space="preserve">는 근거를 모아 설명한다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</si>
  <si>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신호등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회사 경비 규정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규칙과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의 역할 나누기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감점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근거 없으면 멈추기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보류</t>
    </r>
    <r>
      <rPr>
        <sz val="10"/>
        <rFont val="Arial"/>
        <family val="0"/>
        <charset val="1"/>
      </rPr>
      <t xml:space="preserve">) · demo.bpmn.io DMN </t>
    </r>
    <r>
      <rPr>
        <sz val="10"/>
        <rFont val="Noto Sans CJK KR"/>
        <family val="2"/>
      </rPr>
      <t xml:space="preserve">두 번째 사용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경비 규정에 한 줄 더하기</t>
    </r>
  </si>
  <si>
    <r>
      <rPr>
        <sz val="10"/>
        <rFont val="Arial"/>
        <family val="0"/>
        <charset val="1"/>
      </rPr>
      <t xml:space="preserve">AP2~AP4 </t>
    </r>
    <r>
      <rPr>
        <sz val="10"/>
        <rFont val="Noto Sans CJK KR"/>
        <family val="2"/>
      </rPr>
      <t xml:space="preserve">카드 </t>
    </r>
    <r>
      <rPr>
        <sz val="10"/>
        <rFont val="Arial"/>
        <family val="0"/>
        <charset val="1"/>
      </rPr>
      <t xml:space="preserve">· AL6</t>
    </r>
  </si>
  <si>
    <r>
      <rPr>
        <sz val="10"/>
        <rFont val="Arial"/>
        <family val="0"/>
        <charset val="1"/>
      </rPr>
      <t xml:space="preserve">DMN</t>
    </r>
    <r>
      <rPr>
        <sz val="10"/>
        <rFont val="Noto Sans CJK KR"/>
        <family val="2"/>
      </rPr>
      <t xml:space="preserve">을 시연으로</t>
    </r>
  </si>
  <si>
    <t xml:space="preserve">AT7</t>
  </si>
  <si>
    <r>
      <rPr>
        <sz val="10"/>
        <rFont val="Noto Sans CJK KR"/>
        <family val="2"/>
      </rPr>
      <t xml:space="preserve">점수가 아니라 돈으로 비교하고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값이 바뀌면 언제 뒤집히는지 본다 — 손익 </t>
    </r>
    <r>
      <rPr>
        <sz val="10"/>
        <rFont val="Arial"/>
        <family val="0"/>
        <charset val="1"/>
      </rPr>
      <t xml:space="preserve">· What-if · </t>
    </r>
    <r>
      <rPr>
        <sz val="10"/>
        <rFont val="Noto Sans CJK KR"/>
        <family val="2"/>
      </rPr>
      <t xml:space="preserve">예측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</si>
  <si>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내비게이션 경로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빠른 길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통행료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돈으로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예측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앞으로 어떻게 될지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종이 계산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택시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지하철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값 하나 바꿔 뒤집히는 경계</t>
    </r>
  </si>
  <si>
    <t xml:space="preserve">AP2~AP4 What-if · AL6</t>
  </si>
  <si>
    <t xml:space="preserve">종이 계산을 시연으로</t>
  </si>
  <si>
    <t xml:space="preserve">AT8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</si>
  <si>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판단은 흔들린다 — 정답표를 먼저 쓰고 채점한다</t>
    </r>
  </si>
  <si>
    <r>
      <rPr>
        <sz val="10"/>
        <rFont val="Noto Sans CJK KR"/>
        <family val="2"/>
      </rPr>
      <t xml:space="preserve">같은 질문 다섯 번의 결과 사례 그림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왜 흔들리나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정답표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1</t>
    </r>
    <r>
      <rPr>
        <sz val="10"/>
        <rFont val="Noto Sans CJK KR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빠질 것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종이로 정답표 한 줄</t>
    </r>
  </si>
  <si>
    <r>
      <rPr>
        <sz val="10"/>
        <rFont val="Arial"/>
        <family val="0"/>
        <charset val="1"/>
      </rPr>
      <t xml:space="preserve">AP2 </t>
    </r>
    <r>
      <rPr>
        <sz val="10"/>
        <rFont val="Noto Sans CJK KR"/>
        <family val="2"/>
      </rPr>
      <t xml:space="preserve">채점 </t>
    </r>
    <r>
      <rPr>
        <sz val="10"/>
        <rFont val="Arial"/>
        <family val="0"/>
        <charset val="1"/>
      </rPr>
      <t xml:space="preserve">· AL7</t>
    </r>
  </si>
  <si>
    <t xml:space="preserve">AR</t>
  </si>
  <si>
    <r>
      <rPr>
        <sz val="10"/>
        <rFont val="Noto Sans CJK KR"/>
        <family val="2"/>
      </rPr>
      <t xml:space="preserve">여덟 가지 개념을 한 장으로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포털에서 어디에 보이는지 예고</t>
    </r>
  </si>
  <si>
    <t xml:space="preserve">AP1</t>
  </si>
  <si>
    <r>
      <rPr>
        <sz val="10"/>
        <rFont val="Noto Sans CJK KR"/>
        <family val="2"/>
      </rPr>
      <t xml:space="preserve">냉각 긴급 대응 일꾼을 만든다 — 목표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도구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요령을 정하고 질문해 본다 </t>
    </r>
    <r>
      <rPr>
        <sz val="10"/>
        <rFont val="Arial"/>
        <family val="0"/>
        <charset val="1"/>
      </rPr>
      <t xml:space="preserve">(A ① </t>
    </r>
    <r>
      <rPr>
        <sz val="10"/>
        <rFont val="Noto Sans CJK KR"/>
        <family val="2"/>
      </rPr>
      <t xml:space="preserve">만들기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질문하기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</si>
  <si>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처음이라 천천히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기본 복제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이름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역할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목표</t>
    </r>
    <r>
      <rPr>
        <sz val="10"/>
        <rFont val="Arial"/>
        <family val="0"/>
        <charset val="1"/>
      </rPr>
      <t xml:space="preserve">("</t>
    </r>
    <r>
      <rPr>
        <sz val="10"/>
        <rFont val="Noto Sans CJK KR"/>
        <family val="2"/>
      </rPr>
      <t xml:space="preserve">인터록 전에 유온을 내리고 생산 손실 최소</t>
    </r>
    <r>
      <rPr>
        <sz val="10"/>
        <rFont val="Arial"/>
        <family val="0"/>
        <charset val="1"/>
      </rPr>
      <t xml:space="preserve">") · </t>
    </r>
    <r>
      <rPr>
        <sz val="10"/>
        <rFont val="Noto Sans CJK KR"/>
        <family val="2"/>
      </rPr>
      <t xml:space="preserve">도구 서버</t>
    </r>
    <r>
      <rPr>
        <sz val="10"/>
        <rFont val="Arial"/>
        <family val="0"/>
        <charset val="1"/>
      </rPr>
      <t xml:space="preserve">(hyd-dmn · enterprise · neo4j) </t>
    </r>
    <r>
      <rPr>
        <sz val="10"/>
        <rFont val="Noto Sans CJK KR"/>
        <family val="2"/>
      </rPr>
      <t xml:space="preserve">고르기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 </t>
    </r>
    <r>
      <rPr>
        <sz val="10"/>
        <rFont val="Arial"/>
        <family val="0"/>
        <charset val="1"/>
      </rPr>
      <t xml:space="preserve">cooling-emergency-triage · </t>
    </r>
    <r>
      <rPr>
        <sz val="10"/>
        <rFont val="Noto Sans CJK KR"/>
        <family val="2"/>
      </rPr>
      <t xml:space="preserve">질문하기</t>
    </r>
    <r>
      <rPr>
        <sz val="10"/>
        <rFont val="Arial"/>
        <family val="0"/>
        <charset val="1"/>
      </rPr>
      <t xml:space="preserve">("HYD-01 </t>
    </r>
    <r>
      <rPr>
        <sz val="10"/>
        <rFont val="Noto Sans CJK KR"/>
        <family val="2"/>
      </rPr>
      <t xml:space="preserve">유온이 오르는 원인 후보는</t>
    </r>
    <r>
      <rPr>
        <sz val="10"/>
        <rFont val="Arial"/>
        <family val="0"/>
        <charset val="1"/>
      </rPr>
      <t xml:space="preserve">?")</t>
    </r>
    <r>
      <rPr>
        <sz val="10"/>
        <rFont val="Noto Sans CJK KR"/>
        <family val="2"/>
      </rPr>
      <t xml:space="preserve">와 도구 호출 과정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네 부분</t>
    </r>
    <r>
      <rPr>
        <sz val="10"/>
        <rFont val="Arial"/>
        <family val="0"/>
        <charset val="1"/>
      </rPr>
      <t xml:space="preserve">(AT1) · </t>
    </r>
    <r>
      <rPr>
        <sz val="10"/>
        <rFont val="Noto Sans CJK KR"/>
        <family val="2"/>
      </rPr>
      <t xml:space="preserve">규격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읽기만</t>
    </r>
    <r>
      <rPr>
        <sz val="10"/>
        <rFont val="Arial"/>
        <family val="0"/>
        <charset val="1"/>
      </rPr>
      <t xml:space="preserve">(AT3 · AT4) · </t>
    </r>
    <r>
      <rPr>
        <sz val="10"/>
        <rFont val="Noto Sans CJK KR"/>
        <family val="2"/>
      </rPr>
      <t xml:space="preserve">체크리스트</t>
    </r>
    <r>
      <rPr>
        <sz val="10"/>
        <rFont val="Arial"/>
        <family val="0"/>
        <charset val="1"/>
      </rPr>
      <t xml:space="preserve">(AT5) · </t>
    </r>
    <r>
      <rPr>
        <sz val="10"/>
        <rFont val="Noto Sans CJK KR"/>
        <family val="2"/>
      </rPr>
      <t xml:space="preserve">되풀이 고리</t>
    </r>
    <r>
      <rPr>
        <sz val="10"/>
        <rFont val="Arial"/>
        <family val="0"/>
        <charset val="1"/>
      </rPr>
      <t xml:space="preserve">(AT2)</t>
    </r>
  </si>
  <si>
    <t xml:space="preserve">설명 넷을 둘로</t>
  </si>
  <si>
    <t xml:space="preserve">MCP · GQ</t>
  </si>
  <si>
    <t xml:space="preserve">AP2</t>
  </si>
  <si>
    <r>
      <rPr>
        <sz val="10"/>
        <rFont val="Noto Sans CJK KR"/>
        <family val="2"/>
      </rPr>
      <t xml:space="preserve">쿨러 과열 —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가 즉시 완화 세 안을 돈으로 비교해 하나를 제안하고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값을 바꾸면 뒤집힌다 </t>
    </r>
    <r>
      <rPr>
        <sz val="10"/>
        <rFont val="Arial"/>
        <family val="0"/>
        <charset val="1"/>
      </rPr>
      <t xml:space="preserve">(A ② </t>
    </r>
    <r>
      <rPr>
        <sz val="10"/>
        <rFont val="Noto Sans CJK KR"/>
        <family val="2"/>
      </rPr>
      <t xml:space="preserve">제안 받기 </t>
    </r>
    <r>
      <rPr>
        <sz val="10"/>
        <rFont val="Arial"/>
        <family val="0"/>
        <charset val="1"/>
      </rPr>
      <t xml:space="preserve">· What-if · </t>
    </r>
    <r>
      <rPr>
        <sz val="10"/>
        <rFont val="Noto Sans CJK KR"/>
        <family val="2"/>
      </rPr>
      <t xml:space="preserve">채점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</si>
  <si>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시험 실행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실제 </t>
    </r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일꾼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진단 → 후보 → 규정 → 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제안 카드</t>
    </r>
    <r>
      <rPr>
        <sz val="10"/>
        <rFont val="Arial"/>
        <family val="0"/>
        <charset val="1"/>
      </rPr>
      <t xml:space="preserve">(3</t>
    </r>
    <r>
      <rPr>
        <sz val="10"/>
        <rFont val="Noto Sans CJK KR"/>
        <family val="2"/>
      </rPr>
      <t xml:space="preserve">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예측 유온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납기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팬 수명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지는 대안 경고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부하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납기를 바꿔 뒤집히는 값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정답표로 채점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진료 순서</t>
    </r>
    <r>
      <rPr>
        <sz val="10"/>
        <rFont val="Arial"/>
        <family val="0"/>
        <charset val="1"/>
      </rPr>
      <t xml:space="preserve">(OT6) · </t>
    </r>
    <r>
      <rPr>
        <sz val="10"/>
        <rFont val="Noto Sans CJK KR"/>
        <family val="2"/>
      </rPr>
      <t xml:space="preserve">규칙</t>
    </r>
    <r>
      <rPr>
        <sz val="10"/>
        <rFont val="Arial"/>
        <family val="0"/>
        <charset val="1"/>
      </rPr>
      <t xml:space="preserve">(AT6) · </t>
    </r>
    <r>
      <rPr>
        <sz val="10"/>
        <rFont val="Noto Sans CJK KR"/>
        <family val="2"/>
      </rPr>
      <t xml:space="preserve">돈으로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경계값</t>
    </r>
    <r>
      <rPr>
        <sz val="10"/>
        <rFont val="Arial"/>
        <family val="0"/>
        <charset val="1"/>
      </rPr>
      <t xml:space="preserve">(AT7) · </t>
    </r>
    <r>
      <rPr>
        <sz val="10"/>
        <rFont val="Noto Sans CJK KR"/>
        <family val="2"/>
      </rPr>
      <t xml:space="preserve">흔들림</t>
    </r>
    <r>
      <rPr>
        <sz val="10"/>
        <rFont val="Arial"/>
        <family val="0"/>
        <charset val="1"/>
      </rPr>
      <t xml:space="preserve">(AT8)</t>
    </r>
  </si>
  <si>
    <t xml:space="preserve">채점을 짧게</t>
  </si>
  <si>
    <t xml:space="preserve">W4</t>
  </si>
  <si>
    <t xml:space="preserve">AP3</t>
  </si>
  <si>
    <r>
      <rPr>
        <sz val="10"/>
        <rFont val="Noto Sans CJK KR"/>
        <family val="2"/>
      </rPr>
      <t xml:space="preserve">펌프 정비 계획 — 남은 시간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부품 리드타임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정비창을 비교해 </t>
    </r>
    <r>
      <rPr>
        <sz val="10"/>
        <rFont val="Arial"/>
        <family val="0"/>
        <charset val="1"/>
      </rPr>
      <t xml:space="preserve">"○</t>
    </r>
    <r>
      <rPr>
        <sz val="10"/>
        <rFont val="Noto Sans CJK KR"/>
        <family val="2"/>
      </rPr>
      <t xml:space="preserve">일 야간 교체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를 제안받는다 </t>
    </r>
    <r>
      <rPr>
        <sz val="10"/>
        <rFont val="Arial"/>
        <family val="0"/>
        <charset val="1"/>
      </rPr>
      <t xml:space="preserve">(B, </t>
    </r>
    <r>
      <rPr>
        <sz val="10"/>
        <rFont val="Noto Sans CJK KR"/>
        <family val="2"/>
      </rPr>
      <t xml:space="preserve">빠르게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</si>
  <si>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두 번째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일꾼 복제해 바꾸기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목표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 </t>
    </r>
    <r>
      <rPr>
        <sz val="10"/>
        <rFont val="Arial"/>
        <family val="0"/>
        <charset val="1"/>
      </rPr>
      <t xml:space="preserve">pump-maintenance-planning) · </t>
    </r>
    <r>
      <rPr>
        <sz val="10"/>
        <rFont val="Noto Sans CJK KR"/>
        <family val="2"/>
      </rPr>
      <t xml:space="preserve">질문 하나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시험 실행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정비 시점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지는 대안 </t>
    </r>
    <r>
      <rPr>
        <sz val="10"/>
        <rFont val="Arial"/>
        <family val="0"/>
        <charset val="1"/>
      </rPr>
      <t xml:space="preserve">2 · </t>
    </r>
    <r>
      <rPr>
        <sz val="10"/>
        <rFont val="Noto Sans CJK KR"/>
        <family val="2"/>
      </rPr>
      <t xml:space="preserve">금지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압력 상향</t>
    </r>
    <r>
      <rPr>
        <sz val="10"/>
        <rFont val="Arial"/>
        <family val="0"/>
        <charset val="1"/>
      </rPr>
      <t xml:space="preserve">") · </t>
    </r>
    <r>
      <rPr>
        <sz val="10"/>
        <rFont val="Noto Sans CJK KR"/>
        <family val="2"/>
      </rPr>
      <t xml:space="preserve">리드타임을 늘리면</t>
    </r>
    <r>
      <rPr>
        <sz val="10"/>
        <rFont val="Arial"/>
        <family val="0"/>
        <charset val="1"/>
      </rPr>
      <t xml:space="preserve">?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미리 알아채기</t>
    </r>
    <r>
      <rPr>
        <sz val="10"/>
        <rFont val="Arial"/>
        <family val="0"/>
        <charset val="1"/>
      </rPr>
      <t xml:space="preserve">(OT6) · </t>
    </r>
    <r>
      <rPr>
        <sz val="10"/>
        <rFont val="Noto Sans CJK KR"/>
        <family val="2"/>
      </rPr>
      <t xml:space="preserve">금지 규칙</t>
    </r>
    <r>
      <rPr>
        <sz val="10"/>
        <rFont val="Arial"/>
        <family val="0"/>
        <charset val="1"/>
      </rPr>
      <t xml:space="preserve">(AT6) · </t>
    </r>
    <r>
      <rPr>
        <sz val="10"/>
        <rFont val="Noto Sans CJK KR"/>
        <family val="2"/>
      </rPr>
      <t xml:space="preserve">예측</t>
    </r>
    <r>
      <rPr>
        <sz val="10"/>
        <rFont val="Arial"/>
        <family val="0"/>
        <charset val="1"/>
      </rPr>
      <t xml:space="preserve">(AT7)</t>
    </r>
  </si>
  <si>
    <t xml:space="preserve">질문을 생략</t>
  </si>
  <si>
    <t xml:space="preserve">AP4</t>
  </si>
  <si>
    <r>
      <rPr>
        <sz val="10"/>
        <rFont val="Noto Sans CJK KR"/>
        <family val="2"/>
      </rPr>
      <t xml:space="preserve">예비품 구매 — 공급사 셋을 총비용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납기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규정으로 비교한 발주안과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금액이 기준을 넘는다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는 경고 </t>
    </r>
    <r>
      <rPr>
        <sz val="10"/>
        <rFont val="Arial"/>
        <family val="0"/>
        <charset val="1"/>
      </rPr>
      <t xml:space="preserve">(C · </t>
    </r>
    <r>
      <rPr>
        <sz val="10"/>
        <rFont val="Noto Sans CJK KR"/>
        <family val="2"/>
      </rPr>
      <t xml:space="preserve">세 일꾼 나란히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</si>
  <si>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세 번째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spare-procurement · </t>
    </r>
    <r>
      <rPr>
        <sz val="10"/>
        <rFont val="Noto Sans CJK KR"/>
        <family val="2"/>
      </rPr>
      <t xml:space="preserve">시험 실행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카드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공급사 비교표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안 된 공급사 제외 </t>
    </r>
    <r>
      <rPr>
        <sz val="10"/>
        <rFont val="Arial"/>
        <family val="0"/>
        <charset val="1"/>
      </rPr>
      <t xml:space="preserve">· 300</t>
    </r>
    <r>
      <rPr>
        <sz val="10"/>
        <rFont val="Noto Sans CJK KR"/>
        <family val="2"/>
      </rPr>
      <t xml:space="preserve">만 원 초과 경고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단가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불량률을 바꾸면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세 일꾼 나란히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목표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도구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요령이 다르면 판단이 다르다</t>
    </r>
    <r>
      <rPr>
        <sz val="10"/>
        <rFont val="Arial"/>
        <family val="0"/>
        <charset val="1"/>
      </rPr>
      <t xml:space="preserve">).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상충</t>
    </r>
    <r>
      <rPr>
        <sz val="10"/>
        <rFont val="Arial"/>
        <family val="0"/>
        <charset val="1"/>
      </rPr>
      <t xml:space="preserve">(OT8) · </t>
    </r>
    <r>
      <rPr>
        <sz val="10"/>
        <rFont val="Noto Sans CJK KR"/>
        <family val="2"/>
      </rPr>
      <t xml:space="preserve">금지</t>
    </r>
    <r>
      <rPr>
        <sz val="10"/>
        <rFont val="Arial"/>
        <family val="0"/>
        <charset val="1"/>
      </rPr>
      <t xml:space="preserve">(AT6)</t>
    </r>
  </si>
  <si>
    <t xml:space="preserve">나란히 보기를 짧게</t>
  </si>
  <si>
    <t xml:space="preserve">AL1</t>
  </si>
  <si>
    <t xml:space="preserve">스스로 무엇을 확인할지 정해 한 단계씩 밟는 작은 일꾼을 만든다</t>
  </si>
  <si>
    <r>
      <rPr>
        <sz val="10"/>
        <rFont val="Arial"/>
        <family val="0"/>
        <charset val="1"/>
      </rPr>
      <t xml:space="preserve">L12 · </t>
    </r>
    <r>
      <rPr>
        <sz val="10"/>
        <rFont val="Noto Sans CJK KR"/>
        <family val="2"/>
      </rPr>
      <t xml:space="preserve">만들 것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질문을 받아 확인할 것을 정하고 도구 없이</t>
    </r>
    <r>
      <rPr>
        <sz val="10"/>
        <rFont val="Arial"/>
        <family val="0"/>
        <charset val="1"/>
      </rPr>
      <t xml:space="preserve">/</t>
    </r>
    <r>
      <rPr>
        <sz val="10"/>
        <rFont val="Noto Sans CJK KR"/>
        <family val="2"/>
      </rPr>
      <t xml:space="preserve">있이 답하는 작은 일꾼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콘솔에 생각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행동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관찰 순서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에이전트에게 질문하기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과정 보기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에이전트 트랙 폴더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질문 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되풀이 고리</t>
    </r>
    <r>
      <rPr>
        <sz val="10"/>
        <rFont val="Arial"/>
        <family val="0"/>
        <charset val="1"/>
      </rPr>
      <t xml:space="preserve">(AT2) · </t>
    </r>
    <r>
      <rPr>
        <sz val="10"/>
        <rFont val="Noto Sans CJK KR"/>
        <family val="2"/>
      </rPr>
      <t xml:space="preserve">네 부분</t>
    </r>
    <r>
      <rPr>
        <sz val="10"/>
        <rFont val="Arial"/>
        <family val="0"/>
        <charset val="1"/>
      </rPr>
      <t xml:space="preserve">(AT1)</t>
    </r>
  </si>
  <si>
    <t xml:space="preserve">콘솔 읽기를 짧게</t>
  </si>
  <si>
    <t xml:space="preserve">AL2</t>
  </si>
  <si>
    <t xml:space="preserve">내 일꾼이 쿨러의 지금 유온과 팬 지시값을 직접 묻게 도구를 붙인다</t>
  </si>
  <si>
    <r>
      <rPr>
        <sz val="10"/>
        <rFont val="Arial"/>
        <family val="0"/>
        <charset val="1"/>
      </rPr>
      <t xml:space="preserve">L13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도구 입력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결과가 포털 실시간 화면 값과 같음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도구 써 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실시간 모니터링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시계열 조회 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지금 값은 원천에</t>
    </r>
    <r>
      <rPr>
        <sz val="10"/>
        <rFont val="Arial"/>
        <family val="0"/>
        <charset val="1"/>
      </rPr>
      <t xml:space="preserve">(AT4) · </t>
    </r>
    <r>
      <rPr>
        <sz val="10"/>
        <rFont val="Noto Sans CJK KR"/>
        <family val="2"/>
      </rPr>
      <t xml:space="preserve">도구 네 칸</t>
    </r>
    <r>
      <rPr>
        <sz val="10"/>
        <rFont val="Arial"/>
        <family val="0"/>
        <charset val="1"/>
      </rPr>
      <t xml:space="preserve">(AT3)</t>
    </r>
  </si>
  <si>
    <t xml:space="preserve">AL3</t>
  </si>
  <si>
    <t xml:space="preserve">지식 지도를 규격으로 꽂아 일꾼이 직접 길을 찾게 한다</t>
  </si>
  <si>
    <r>
      <rPr>
        <sz val="10"/>
        <rFont val="Arial"/>
        <family val="0"/>
        <charset val="1"/>
      </rPr>
      <t xml:space="preserve">L14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틀을 먼저 읽고 질문을 쓰는 기록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쓰기 거절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도구 지도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지식 그래프 연결 설정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규격</t>
    </r>
    <r>
      <rPr>
        <sz val="10"/>
        <rFont val="Arial"/>
        <family val="0"/>
        <charset val="1"/>
      </rPr>
      <t xml:space="preserve">(AT3) · </t>
    </r>
    <r>
      <rPr>
        <sz val="10"/>
        <rFont val="Noto Sans CJK KR"/>
        <family val="2"/>
      </rPr>
      <t xml:space="preserve">지도에 묻기</t>
    </r>
    <r>
      <rPr>
        <sz val="10"/>
        <rFont val="Arial"/>
        <family val="0"/>
        <charset val="1"/>
      </rPr>
      <t xml:space="preserve">(OT5)</t>
    </r>
  </si>
  <si>
    <t xml:space="preserve">연결 확인을 짧게</t>
  </si>
  <si>
    <t xml:space="preserve">CC · MCP</t>
  </si>
  <si>
    <t xml:space="preserve">AL4</t>
  </si>
  <si>
    <r>
      <rPr>
        <sz val="10"/>
        <rFont val="Noto Sans CJK KR"/>
        <family val="2"/>
      </rPr>
      <t xml:space="preserve">업무 </t>
    </r>
    <r>
      <rPr>
        <sz val="10"/>
        <rFont val="Arial"/>
        <family val="0"/>
        <charset val="1"/>
      </rPr>
      <t xml:space="preserve">DB</t>
    </r>
    <r>
      <rPr>
        <sz val="10"/>
        <rFont val="Noto Sans CJK KR"/>
        <family val="2"/>
      </rPr>
      <t xml:space="preserve">를 읽는 내 도구 서버를 만들어 포털에 등록하고 연결 검사를 통과시킨다</t>
    </r>
  </si>
  <si>
    <r>
      <rPr>
        <sz val="10"/>
        <rFont val="Arial"/>
        <family val="0"/>
        <charset val="1"/>
      </rPr>
      <t xml:space="preserve">L15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포털 도구 목록에 내 서버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쓰기 도구 거절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MCP </t>
    </r>
    <r>
      <rPr>
        <sz val="10"/>
        <rFont val="Noto Sans CJK KR"/>
        <family val="2"/>
      </rPr>
      <t xml:space="preserve">등록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작은 서버 뼈대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읽기만</t>
    </r>
    <r>
      <rPr>
        <sz val="10"/>
        <rFont val="Arial"/>
        <family val="0"/>
        <charset val="1"/>
      </rPr>
      <t xml:space="preserve">(AT4) · </t>
    </r>
    <r>
      <rPr>
        <sz val="10"/>
        <rFont val="Noto Sans CJK KR"/>
        <family val="2"/>
      </rPr>
      <t xml:space="preserve">규격</t>
    </r>
    <r>
      <rPr>
        <sz val="10"/>
        <rFont val="Arial"/>
        <family val="0"/>
        <charset val="1"/>
      </rPr>
      <t xml:space="preserve">(AT3)</t>
    </r>
  </si>
  <si>
    <t xml:space="preserve">등록을 짧게</t>
  </si>
  <si>
    <t xml:space="preserve">AL5</t>
  </si>
  <si>
    <t xml:space="preserve">작업 요령을 써서 일꾼이 확인하는 순서를 바꾼다</t>
  </si>
  <si>
    <r>
      <rPr>
        <sz val="10"/>
        <rFont val="Arial"/>
        <family val="0"/>
        <charset val="1"/>
      </rPr>
      <t xml:space="preserve">L16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요령 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후 도구 호출 순서 차이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요령 붙이기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시험 실행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요령 문서 틀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체크리스트</t>
    </r>
    <r>
      <rPr>
        <sz val="10"/>
        <rFont val="Arial"/>
        <family val="0"/>
        <charset val="1"/>
      </rPr>
      <t xml:space="preserve">(AT5)</t>
    </r>
  </si>
  <si>
    <t xml:space="preserve">AL6</t>
  </si>
  <si>
    <r>
      <rPr>
        <sz val="10"/>
        <rFont val="Noto Sans CJK KR"/>
        <family val="2"/>
      </rPr>
      <t xml:space="preserve">위험한 조치는 규칙이 빼고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남은 안은 돈으로 순위를 매긴다</t>
    </r>
  </si>
  <si>
    <r>
      <rPr>
        <sz val="10"/>
        <rFont val="Arial"/>
        <family val="0"/>
        <charset val="1"/>
      </rPr>
      <t xml:space="preserve">L17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가중치 하나 바꿔 순위 변화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금지 조치 제외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조치 판단 규칙 </t>
    </r>
    <r>
      <rPr>
        <sz val="10"/>
        <rFont val="Arial"/>
        <family val="0"/>
        <charset val="1"/>
      </rPr>
      <t xml:space="preserve">· What-if 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규칙표 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규칙과 </t>
    </r>
    <r>
      <rPr>
        <sz val="10"/>
        <rFont val="Arial"/>
        <family val="0"/>
        <charset val="1"/>
      </rPr>
      <t xml:space="preserve">AI(AT6) · </t>
    </r>
    <r>
      <rPr>
        <sz val="10"/>
        <rFont val="Noto Sans CJK KR"/>
        <family val="2"/>
      </rPr>
      <t xml:space="preserve">돈으로 비교</t>
    </r>
    <r>
      <rPr>
        <sz val="10"/>
        <rFont val="Arial"/>
        <family val="0"/>
        <charset val="1"/>
      </rPr>
      <t xml:space="preserve">(AT7)</t>
    </r>
  </si>
  <si>
    <t xml:space="preserve">AL7</t>
  </si>
  <si>
    <t xml:space="preserve">같은 사건에 대한 일꾼의 판단 다섯 건을 정답표로 자동 채점한다</t>
  </si>
  <si>
    <r>
      <rPr>
        <sz val="10"/>
        <rFont val="Arial"/>
        <family val="0"/>
        <charset val="1"/>
      </rPr>
      <t xml:space="preserve">L18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내 점수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포털 점수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판단 채점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정답표 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흔들림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정답표</t>
    </r>
    <r>
      <rPr>
        <sz val="10"/>
        <rFont val="Arial"/>
        <family val="0"/>
        <charset val="1"/>
      </rPr>
      <t xml:space="preserve">(AT8)</t>
    </r>
  </si>
  <si>
    <t xml:space="preserve">CC · W4</t>
  </si>
  <si>
    <t xml:space="preserve">AL8</t>
  </si>
  <si>
    <r>
      <rPr>
        <sz val="10"/>
        <rFont val="Noto Sans CJK KR"/>
        <family val="2"/>
      </rPr>
      <t xml:space="preserve">모은 일꾼이 포털 기본 일꾼과 같은 </t>
    </r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근거를 내는지 겨뤄 본다</t>
    </r>
  </si>
  <si>
    <r>
      <rPr>
        <sz val="10"/>
        <rFont val="Arial"/>
        <family val="0"/>
        <charset val="1"/>
      </rPr>
      <t xml:space="preserve">L19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1</t>
    </r>
    <r>
      <rPr>
        <sz val="10"/>
        <rFont val="Noto Sans CJK KR"/>
        <family val="2"/>
      </rPr>
      <t xml:space="preserve">순위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근거 비교표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내 에이전트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시험 실행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트랙 한눈에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작은 일꾼 → 도구 → 지도 → 내 서버 → 요령 → 규칙 → 채점</t>
    </r>
    <r>
      <rPr>
        <sz val="10"/>
        <rFont val="Arial"/>
        <family val="0"/>
        <charset val="1"/>
      </rPr>
      <t xml:space="preserve">).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에이전트 네 부분 전체</t>
    </r>
  </si>
  <si>
    <t xml:space="preserve">BPMN</t>
  </si>
  <si>
    <t xml:space="preserve">BT1</t>
  </si>
  <si>
    <t xml:space="preserve">레시피와 오늘 저녁 요리는 다르다 — 업무 흐름의 정의와 실제 한 건</t>
  </si>
  <si>
    <r>
      <rPr>
        <sz val="10"/>
        <rFont val="Noto Sans CJK KR"/>
        <family val="2"/>
      </rPr>
      <t xml:space="preserve">막 여는 이야기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제안이 나왔다 → 누가 승인하고 무엇이 실행되나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레시피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오늘 저녁 요리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정의와 실제 한 건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처리 건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기호 다섯 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시작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갈림길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선</t>
    </r>
    <r>
      <rPr>
        <sz val="10"/>
        <rFont val="Arial"/>
        <family val="0"/>
        <charset val="1"/>
      </rPr>
      <t xml:space="preserve">) · demo.bpmn.io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카페 주문 흐름 따라 그리기</t>
    </r>
  </si>
  <si>
    <t xml:space="preserve">BP1 · BP2 · BL1</t>
  </si>
  <si>
    <t xml:space="preserve">따라 그리기를 짧게</t>
  </si>
  <si>
    <t xml:space="preserve">BT2</t>
  </si>
  <si>
    <t xml:space="preserve">일어난 일을 시간순으로 붙이면 흐름과 담당이 보인다 — 사건 펼치기</t>
  </si>
  <si>
    <r>
      <rPr>
        <sz val="10"/>
        <rFont val="Noto Sans CJK KR"/>
        <family val="2"/>
      </rPr>
      <t xml:space="preserve">이벤트 스토밍이 무엇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포스트잇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배달 주문의 </t>
    </r>
    <r>
      <rPr>
        <sz val="10"/>
        <rFont val="Arial"/>
        <family val="0"/>
        <charset val="1"/>
      </rPr>
      <t xml:space="preserve">"~</t>
    </r>
    <r>
      <rPr>
        <sz val="10"/>
        <rFont val="Noto Sans CJK KR"/>
        <family val="2"/>
      </rPr>
      <t xml:space="preserve">됨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사건을 시간순으로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영상은 녹화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담당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칸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넘기는 것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바통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발표</t>
    </r>
  </si>
  <si>
    <r>
      <rPr>
        <sz val="10"/>
        <rFont val="Arial"/>
        <family val="0"/>
        <charset val="1"/>
      </rPr>
      <t xml:space="preserve">BP1 "</t>
    </r>
    <r>
      <rPr>
        <sz val="10"/>
        <rFont val="Noto Sans CJK KR"/>
        <family val="2"/>
      </rPr>
      <t xml:space="preserve">우리 사건을 말로 펼치기</t>
    </r>
    <r>
      <rPr>
        <sz val="10"/>
        <rFont val="Arial"/>
        <family val="0"/>
        <charset val="1"/>
      </rPr>
      <t xml:space="preserve">" · BL1</t>
    </r>
  </si>
  <si>
    <t xml:space="preserve">붙이기를 짧게</t>
  </si>
  <si>
    <t xml:space="preserve">BT3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</si>
  <si>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가 바로 실행하면 안 되는 이유 — 사람 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권한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금액 결재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</si>
  <si>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결재 도장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큰돈 이체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제안과 실행을 나누기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권한 단계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담당 → 팀장</t>
    </r>
    <r>
      <rPr>
        <sz val="10"/>
        <rFont val="Arial"/>
        <family val="0"/>
        <charset val="1"/>
      </rPr>
      <t xml:space="preserve">)</t>
    </r>
    <r>
      <rPr>
        <sz val="10"/>
        <rFont val="Noto Sans CJK KR"/>
        <family val="2"/>
      </rPr>
      <t xml:space="preserve">와 금액 전결 </t>
    </r>
    <r>
      <rPr>
        <sz val="10"/>
        <rFont val="Arial"/>
        <family val="0"/>
        <charset val="1"/>
      </rPr>
      <t xml:space="preserve">· demo.bpmn.io </t>
    </r>
    <r>
      <rPr>
        <sz val="10"/>
        <rFont val="Noto Sans CJK KR"/>
        <family val="2"/>
      </rPr>
      <t xml:space="preserve">휴가 결재 흐름 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역할극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승인 없이는 환불 못 한다</t>
    </r>
  </si>
  <si>
    <r>
      <rPr>
        <sz val="10"/>
        <rFont val="Arial"/>
        <family val="0"/>
        <charset val="1"/>
      </rPr>
      <t xml:space="preserve">BP2~BP4 </t>
    </r>
    <r>
      <rPr>
        <sz val="10"/>
        <rFont val="Noto Sans CJK KR"/>
        <family val="2"/>
      </rPr>
      <t xml:space="preserve">승인 </t>
    </r>
    <r>
      <rPr>
        <sz val="10"/>
        <rFont val="Arial"/>
        <family val="0"/>
        <charset val="1"/>
      </rPr>
      <t xml:space="preserve">· BP4 </t>
    </r>
    <r>
      <rPr>
        <sz val="10"/>
        <rFont val="Noto Sans CJK KR"/>
        <family val="2"/>
      </rPr>
      <t xml:space="preserve">팀장 </t>
    </r>
    <r>
      <rPr>
        <sz val="10"/>
        <rFont val="Arial"/>
        <family val="0"/>
        <charset val="1"/>
      </rPr>
      <t xml:space="preserve">· BL2</t>
    </r>
  </si>
  <si>
    <t xml:space="preserve">역할극을 짧게</t>
  </si>
  <si>
    <t xml:space="preserve">BT4</t>
  </si>
  <si>
    <r>
      <rPr>
        <sz val="10"/>
        <rFont val="Noto Sans CJK KR"/>
        <family val="2"/>
      </rPr>
      <t xml:space="preserve">무엇이 흐름을 열고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잘못될 때는 어디로 가나 — 자동 시작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기한 초과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실패 가지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기다림</t>
    </r>
  </si>
  <si>
    <r>
      <rPr>
        <sz val="10"/>
        <rFont val="Noto Sans CJK KR"/>
        <family val="2"/>
      </rPr>
      <t xml:space="preserve">시작 종류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감지기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예측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재고 기준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사건 </t>
    </r>
    <r>
      <rPr>
        <sz val="10"/>
        <rFont val="Arial"/>
        <family val="0"/>
        <charset val="1"/>
      </rPr>
      <t xml:space="preserve">A · B · C) · </t>
    </r>
    <r>
      <rPr>
        <sz val="10"/>
        <rFont val="Noto Sans CJK KR"/>
        <family val="2"/>
      </rPr>
      <t xml:space="preserve">기한 초과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타이머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확인 실패 가지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기다림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정비창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입고</t>
    </r>
    <r>
      <rPr>
        <sz val="10"/>
        <rFont val="Arial"/>
        <family val="0"/>
        <charset val="1"/>
      </rPr>
      <t xml:space="preserve">) · demo.bpmn.io: </t>
    </r>
    <r>
      <rPr>
        <sz val="10"/>
        <rFont val="Noto Sans CJK KR"/>
        <family val="2"/>
      </rPr>
      <t xml:space="preserve">배달 </t>
    </r>
    <r>
      <rPr>
        <sz val="10"/>
        <rFont val="Arial"/>
        <family val="0"/>
        <charset val="1"/>
      </rPr>
      <t xml:space="preserve">+ "30</t>
    </r>
    <r>
      <rPr>
        <sz val="10"/>
        <rFont val="Noto Sans CJK KR"/>
        <family val="2"/>
      </rPr>
      <t xml:space="preserve">분 지나면 매니저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타이머 그리기</t>
    </r>
  </si>
  <si>
    <r>
      <rPr>
        <sz val="10"/>
        <rFont val="Arial"/>
        <family val="0"/>
        <charset val="1"/>
      </rPr>
      <t xml:space="preserve">BP1 </t>
    </r>
    <r>
      <rPr>
        <sz val="10"/>
        <rFont val="Noto Sans CJK KR"/>
        <family val="2"/>
      </rPr>
      <t xml:space="preserve">타이머 </t>
    </r>
    <r>
      <rPr>
        <sz val="10"/>
        <rFont val="Arial"/>
        <family val="0"/>
        <charset val="1"/>
      </rPr>
      <t xml:space="preserve">· BP3 · BP4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BL3</t>
    </r>
  </si>
  <si>
    <t xml:space="preserve">그리기를 짧게</t>
  </si>
  <si>
    <t xml:space="preserve">BT5</t>
  </si>
  <si>
    <r>
      <rPr>
        <sz val="10"/>
        <rFont val="Noto Sans CJK KR"/>
        <family val="2"/>
      </rPr>
      <t xml:space="preserve">해 놓고 끝이 아니다 — 실행하고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효과를 확인하고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닫고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지표로 돌아본다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</si>
  <si>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택배 수령 확인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세 가지 확인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유온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압력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입고</t>
    </r>
    <r>
      <rPr>
        <sz val="10"/>
        <rFont val="Arial"/>
        <family val="0"/>
        <charset val="1"/>
      </rPr>
      <t xml:space="preserve">) </t>
    </r>
    <r>
      <rPr>
        <sz val="10"/>
        <rFont val="Noto Sans CJK KR"/>
        <family val="2"/>
      </rPr>
      <t xml:space="preserve">미리보기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응답 시간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회복 시간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결품 </t>
    </r>
    <r>
      <rPr>
        <sz val="10"/>
        <rFont val="Arial"/>
        <family val="0"/>
        <charset val="1"/>
      </rPr>
      <t xml:space="preserve">0) · 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카페 월 매출표에서 미달 원인 찾기</t>
    </r>
  </si>
  <si>
    <r>
      <rPr>
        <sz val="10"/>
        <rFont val="Arial"/>
        <family val="0"/>
        <charset val="1"/>
      </rPr>
      <t xml:space="preserve">BP2~BP4 </t>
    </r>
    <r>
      <rPr>
        <sz val="10"/>
        <rFont val="Noto Sans CJK KR"/>
        <family val="2"/>
      </rPr>
      <t xml:space="preserve">결과 </t>
    </r>
    <r>
      <rPr>
        <sz val="10"/>
        <rFont val="Arial"/>
        <family val="0"/>
        <charset val="1"/>
      </rPr>
      <t xml:space="preserve">· BL5</t>
    </r>
  </si>
  <si>
    <t xml:space="preserve">종이 활동을 시연으로</t>
  </si>
  <si>
    <t xml:space="preserve">BT6</t>
  </si>
  <si>
    <r>
      <rPr>
        <sz val="10"/>
        <rFont val="Noto Sans CJK KR"/>
        <family val="2"/>
      </rPr>
      <t xml:space="preserve">흐름을 바꿔도 안전하게 — 판본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되돌리기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바꾸기 전에 명세 먼저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</si>
  <si>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문서 버전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공사 전 도면 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되돌리기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명세 세 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바꿀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바꾸면 안 될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완료 조건</t>
    </r>
    <r>
      <rPr>
        <sz val="10"/>
        <rFont val="Arial"/>
        <family val="0"/>
        <charset val="1"/>
      </rPr>
      <t xml:space="preserve">) — </t>
    </r>
    <r>
      <rPr>
        <sz val="10"/>
        <rFont val="Noto Sans CJK KR"/>
        <family val="2"/>
      </rPr>
      <t xml:space="preserve">종이로 </t>
    </r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메뉴 하나 추가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세 줄</t>
    </r>
  </si>
  <si>
    <t xml:space="preserve">BL6</t>
  </si>
  <si>
    <t xml:space="preserve">명세를 시연으로</t>
  </si>
  <si>
    <t xml:space="preserve">BR</t>
  </si>
  <si>
    <r>
      <rPr>
        <sz val="10"/>
        <rFont val="Noto Sans CJK KR"/>
        <family val="2"/>
      </rPr>
      <t xml:space="preserve">여섯 가지 개념을 한 장으로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포털에서 어디에 보이는지 예고</t>
    </r>
  </si>
  <si>
    <t xml:space="preserve">BP1</t>
  </si>
  <si>
    <r>
      <rPr>
        <sz val="10"/>
        <rFont val="Noto Sans CJK KR"/>
        <family val="2"/>
      </rPr>
      <t xml:space="preserve">쿨러 과열 흐름을 그려 포털에 올린다 — 경보로 열리고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승인 없이는 명령이 못 나가게 </t>
    </r>
    <r>
      <rPr>
        <sz val="10"/>
        <rFont val="Arial"/>
        <family val="0"/>
        <charset val="1"/>
      </rPr>
      <t xml:space="preserve">(A ① </t>
    </r>
    <r>
      <rPr>
        <sz val="10"/>
        <rFont val="Noto Sans CJK KR"/>
        <family val="2"/>
      </rPr>
      <t xml:space="preserve">그리기 → 가져오기 → 사전 검사 → 배포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</si>
  <si>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처음이라 천천히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우리 사건을 말로 펼치기 </t>
    </r>
    <r>
      <rPr>
        <sz val="10"/>
        <rFont val="Arial"/>
        <family val="0"/>
        <charset val="1"/>
      </rPr>
      <t xml:space="preserve">· bpmn.io</t>
    </r>
    <r>
      <rPr>
        <sz val="10"/>
        <rFont val="Noto Sans CJK KR"/>
        <family val="2"/>
      </rPr>
      <t xml:space="preserve">에 </t>
    </r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작업 </t>
    </r>
    <r>
      <rPr>
        <sz val="10"/>
        <rFont val="Arial"/>
        <family val="0"/>
        <charset val="1"/>
      </rPr>
      <t xml:space="preserve">9 · </t>
    </r>
    <r>
      <rPr>
        <sz val="10"/>
        <rFont val="Noto Sans CJK KR"/>
        <family val="2"/>
      </rPr>
      <t xml:space="preserve">갈림길 </t>
    </r>
    <r>
      <rPr>
        <sz val="10"/>
        <rFont val="Arial"/>
        <family val="0"/>
        <charset val="1"/>
      </rPr>
      <t xml:space="preserve">1 · </t>
    </r>
    <r>
      <rPr>
        <sz val="10"/>
        <rFont val="Noto Sans CJK KR"/>
        <family val="2"/>
      </rPr>
      <t xml:space="preserve">칸 </t>
    </r>
    <r>
      <rPr>
        <sz val="10"/>
        <rFont val="Arial"/>
        <family val="0"/>
        <charset val="1"/>
      </rPr>
      <t xml:space="preserve">4 · </t>
    </r>
    <r>
      <rPr>
        <sz val="10"/>
        <rFont val="Noto Sans CJK KR"/>
        <family val="2"/>
      </rPr>
      <t xml:space="preserve">타이머 </t>
    </r>
    <r>
      <rPr>
        <sz val="10"/>
        <rFont val="Arial"/>
        <family val="0"/>
        <charset val="1"/>
      </rPr>
      <t xml:space="preserve">10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가져오기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일마다 부품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담당 정하기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일부러 승인을 빼고 사전 검사 → 거절 사유 → 고치기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사건 펼치기</t>
    </r>
    <r>
      <rPr>
        <sz val="10"/>
        <rFont val="Arial"/>
        <family val="0"/>
        <charset val="1"/>
      </rPr>
      <t xml:space="preserve">(BT2) · </t>
    </r>
    <r>
      <rPr>
        <sz val="10"/>
        <rFont val="Noto Sans CJK KR"/>
        <family val="2"/>
      </rPr>
      <t xml:space="preserve">칸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담당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타이머</t>
    </r>
    <r>
      <rPr>
        <sz val="10"/>
        <rFont val="Arial"/>
        <family val="0"/>
        <charset val="1"/>
      </rPr>
      <t xml:space="preserve">(BT4) · </t>
    </r>
    <r>
      <rPr>
        <sz val="10"/>
        <rFont val="Noto Sans CJK KR"/>
        <family val="2"/>
      </rPr>
      <t xml:space="preserve">승인</t>
    </r>
    <r>
      <rPr>
        <sz val="10"/>
        <rFont val="Arial"/>
        <family val="0"/>
        <charset val="1"/>
      </rPr>
      <t xml:space="preserve">(BT3)</t>
    </r>
  </si>
  <si>
    <r>
      <rPr>
        <sz val="10"/>
        <rFont val="Noto Sans CJK KR"/>
        <family val="2"/>
      </rPr>
      <t xml:space="preserve">반쯤 그린 출발본으로 시작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그리기 </t>
    </r>
    <r>
      <rPr>
        <sz val="10"/>
        <rFont val="Arial"/>
        <family val="0"/>
        <charset val="1"/>
      </rPr>
      <t xml:space="preserve">7)</t>
    </r>
  </si>
  <si>
    <t xml:space="preserve">BP2</t>
  </si>
  <si>
    <r>
      <rPr>
        <sz val="10"/>
        <rFont val="Noto Sans CJK KR"/>
        <family val="2"/>
      </rPr>
      <t xml:space="preserve">쿨러 과열 한 건을 끝까지 닫는다 — 경보 → 제안 → 승인 → 명령 → 유온 확인 → 작업지시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알림 </t>
    </r>
    <r>
      <rPr>
        <sz val="10"/>
        <rFont val="Arial"/>
        <family val="0"/>
        <charset val="1"/>
      </rPr>
      <t xml:space="preserve">(A ② </t>
    </r>
    <r>
      <rPr>
        <sz val="10"/>
        <rFont val="Noto Sans CJK KR"/>
        <family val="2"/>
      </rPr>
      <t xml:space="preserve">돌리기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</si>
  <si>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사건 일으키기 </t>
    </r>
    <r>
      <rPr>
        <sz val="10"/>
        <rFont val="Arial"/>
        <family val="0"/>
        <charset val="1"/>
      </rPr>
      <t xml:space="preserve">· AI </t>
    </r>
    <r>
      <rPr>
        <sz val="10"/>
        <rFont val="Noto Sans CJK KR"/>
        <family val="2"/>
      </rPr>
      <t xml:space="preserve">일꾼 진행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하이라이트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내 작업함에서 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명령 </t>
    </r>
    <r>
      <rPr>
        <sz val="10"/>
        <rFont val="Arial"/>
        <family val="0"/>
        <charset val="1"/>
      </rPr>
      <t xml:space="preserve">· 15</t>
    </r>
    <r>
      <rPr>
        <sz val="10"/>
        <rFont val="Noto Sans CJK KR"/>
        <family val="2"/>
      </rPr>
      <t xml:space="preserve">분 재관측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작업지시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알림 메일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수업용 메일함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일을 눌러 받은 값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넘긴 값 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지표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정의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한 건</t>
    </r>
    <r>
      <rPr>
        <sz val="10"/>
        <rFont val="Arial"/>
        <family val="0"/>
        <charset val="1"/>
      </rPr>
      <t xml:space="preserve">(BT1) · </t>
    </r>
    <r>
      <rPr>
        <sz val="10"/>
        <rFont val="Noto Sans CJK KR"/>
        <family val="2"/>
      </rPr>
      <t xml:space="preserve">효과 확인</t>
    </r>
    <r>
      <rPr>
        <sz val="10"/>
        <rFont val="Arial"/>
        <family val="0"/>
        <charset val="1"/>
      </rPr>
      <t xml:space="preserve">(BT5) · </t>
    </r>
    <r>
      <rPr>
        <sz val="10"/>
        <rFont val="Noto Sans CJK KR"/>
        <family val="2"/>
      </rPr>
      <t xml:space="preserve">바통</t>
    </r>
    <r>
      <rPr>
        <sz val="10"/>
        <rFont val="Arial"/>
        <family val="0"/>
        <charset val="1"/>
      </rPr>
      <t xml:space="preserve">(BT2)</t>
    </r>
  </si>
  <si>
    <t xml:space="preserve">BP3</t>
  </si>
  <si>
    <r>
      <rPr>
        <sz val="10"/>
        <rFont val="Noto Sans CJK KR"/>
        <family val="2"/>
      </rPr>
      <t xml:space="preserve">펌프 정비 계획 흐름 — 바로 세우지 않고 예약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교체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효율 확인으로 닫는다 </t>
    </r>
    <r>
      <rPr>
        <sz val="10"/>
        <rFont val="Arial"/>
        <family val="0"/>
        <charset val="1"/>
      </rPr>
      <t xml:space="preserve">(B, </t>
    </r>
    <r>
      <rPr>
        <sz val="10"/>
        <rFont val="Noto Sans CJK KR"/>
        <family val="2"/>
      </rPr>
      <t xml:space="preserve">빠르게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</si>
  <si>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두 번째</t>
    </r>
    <r>
      <rPr>
        <sz val="10"/>
        <rFont val="Arial"/>
        <family val="0"/>
        <charset val="1"/>
      </rPr>
      <t xml:space="preserve">. A </t>
    </r>
    <r>
      <rPr>
        <sz val="10"/>
        <rFont val="Noto Sans CJK KR"/>
        <family val="2"/>
      </rPr>
      <t xml:space="preserve">그림을 복사해 바꾸기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정비 실행 부품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매핑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조기 경보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예약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공지 메일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정비창 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교체 모사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효율 재관측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기다림</t>
    </r>
    <r>
      <rPr>
        <sz val="10"/>
        <rFont val="Arial"/>
        <family val="0"/>
        <charset val="1"/>
      </rPr>
      <t xml:space="preserve">(BT4) · </t>
    </r>
    <r>
      <rPr>
        <sz val="10"/>
        <rFont val="Noto Sans CJK KR"/>
        <family val="2"/>
      </rPr>
      <t xml:space="preserve">압력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유량 회복이 닫힘의 조건</t>
    </r>
    <r>
      <rPr>
        <sz val="10"/>
        <rFont val="Arial"/>
        <family val="0"/>
        <charset val="1"/>
      </rPr>
      <t xml:space="preserve">(BT5)</t>
    </r>
  </si>
  <si>
    <t xml:space="preserve">복사해 바꾸기를 출발본으로</t>
  </si>
  <si>
    <t xml:space="preserve">W4 · WAITB · REOBS</t>
  </si>
  <si>
    <t xml:space="preserve">BP4</t>
  </si>
  <si>
    <r>
      <rPr>
        <sz val="10"/>
        <rFont val="Noto Sans CJK KR"/>
        <family val="2"/>
      </rPr>
      <t xml:space="preserve">예비품 구매 흐름 — 금액이 기준을 넘으면 팀장이 한 번 더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입고가 확인되어야 닫힌다 </t>
    </r>
    <r>
      <rPr>
        <sz val="10"/>
        <rFont val="Arial"/>
        <family val="0"/>
        <charset val="1"/>
      </rPr>
      <t xml:space="preserve">(C · </t>
    </r>
    <r>
      <rPr>
        <sz val="10"/>
        <rFont val="Noto Sans CJK KR"/>
        <family val="2"/>
      </rPr>
      <t xml:space="preserve">세 처리 건 나란히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</si>
  <si>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세 번째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갈림길 </t>
    </r>
    <r>
      <rPr>
        <sz val="10"/>
        <rFont val="Arial"/>
        <family val="0"/>
        <charset val="1"/>
      </rPr>
      <t xml:space="preserve">2: </t>
    </r>
    <r>
      <rPr>
        <sz val="10"/>
        <rFont val="Noto Sans CJK KR"/>
        <family val="2"/>
      </rPr>
      <t xml:space="preserve">금액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매핑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재고 경보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구매 담당 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발주서 확정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팀장 추가 승인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반려 가지도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발주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메일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입고 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세 처리 건 지표 나란히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금액 전결</t>
    </r>
    <r>
      <rPr>
        <sz val="10"/>
        <rFont val="Arial"/>
        <family val="0"/>
        <charset val="1"/>
      </rPr>
      <t xml:space="preserve">(BT3) · </t>
    </r>
    <r>
      <rPr>
        <sz val="10"/>
        <rFont val="Noto Sans CJK KR"/>
        <family val="2"/>
      </rPr>
      <t xml:space="preserve">갈림길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입고가 닫힘의 조건</t>
    </r>
    <r>
      <rPr>
        <sz val="10"/>
        <rFont val="Arial"/>
        <family val="0"/>
        <charset val="1"/>
      </rPr>
      <t xml:space="preserve">(BT5)</t>
    </r>
  </si>
  <si>
    <t xml:space="preserve">반려 가지를 말로만</t>
  </si>
  <si>
    <t xml:space="preserve">W4 · WAITB</t>
  </si>
  <si>
    <t xml:space="preserve">BL1</t>
  </si>
  <si>
    <r>
      <rPr>
        <sz val="10"/>
        <rFont val="Noto Sans CJK KR"/>
        <family val="2"/>
      </rPr>
      <t xml:space="preserve">말로 설명한 대응 흐름을 그림 파일로 만들고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포털 사전 검사를 통과할 때까지 고친다</t>
    </r>
  </si>
  <si>
    <r>
      <rPr>
        <sz val="10"/>
        <rFont val="Arial"/>
        <family val="0"/>
        <charset val="1"/>
      </rPr>
      <t xml:space="preserve">L25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거절 사유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칸 위치</t>
    </r>
    <r>
      <rPr>
        <sz val="10"/>
        <rFont val="Arial"/>
        <family val="0"/>
        <charset val="1"/>
      </rPr>
      <t xml:space="preserve">) → </t>
    </r>
    <r>
      <rPr>
        <sz val="10"/>
        <rFont val="Noto Sans CJK KR"/>
        <family val="2"/>
      </rPr>
      <t xml:space="preserve">고쳐 통과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흐름 가져오기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사전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A </t>
    </r>
    <r>
      <rPr>
        <sz val="10"/>
        <rFont val="Noto Sans CJK KR"/>
        <family val="2"/>
      </rPr>
      <t xml:space="preserve">흐름 설명 문장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견본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기호</t>
    </r>
    <r>
      <rPr>
        <sz val="10"/>
        <rFont val="Arial"/>
        <family val="0"/>
        <charset val="1"/>
      </rPr>
      <t xml:space="preserve">(BT1) · </t>
    </r>
    <r>
      <rPr>
        <sz val="10"/>
        <rFont val="Noto Sans CJK KR"/>
        <family val="2"/>
      </rPr>
      <t xml:space="preserve">칸</t>
    </r>
    <r>
      <rPr>
        <sz val="10"/>
        <rFont val="Arial"/>
        <family val="0"/>
        <charset val="1"/>
      </rPr>
      <t xml:space="preserve">(BT2)</t>
    </r>
  </si>
  <si>
    <t xml:space="preserve">그림 확인을 짧게</t>
  </si>
  <si>
    <t xml:space="preserve">BL2</t>
  </si>
  <si>
    <t xml:space="preserve">사람이 승인하기 전에는 실행이 한 번도 일어나지 않는 승인 단계를 만든다</t>
  </si>
  <si>
    <r>
      <rPr>
        <sz val="10"/>
        <rFont val="Arial"/>
        <family val="0"/>
        <charset val="1"/>
      </rPr>
      <t xml:space="preserve">L20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승인 전 실행 </t>
    </r>
    <r>
      <rPr>
        <sz val="10"/>
        <rFont val="Arial"/>
        <family val="0"/>
        <charset val="1"/>
      </rPr>
      <t xml:space="preserve">0</t>
    </r>
    <r>
      <rPr>
        <sz val="10"/>
        <rFont val="Noto Sans CJK KR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권한 없는 승인 거절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내 작업함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승인 단계 뼈대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제안과 실행 나누기</t>
    </r>
    <r>
      <rPr>
        <sz val="10"/>
        <rFont val="Arial"/>
        <family val="0"/>
        <charset val="1"/>
      </rPr>
      <t xml:space="preserve">(BT3) · </t>
    </r>
    <r>
      <rPr>
        <sz val="10"/>
        <rFont val="Noto Sans CJK KR"/>
        <family val="2"/>
      </rPr>
      <t xml:space="preserve">읽기만</t>
    </r>
    <r>
      <rPr>
        <sz val="10"/>
        <rFont val="Arial"/>
        <family val="0"/>
        <charset val="1"/>
      </rPr>
      <t xml:space="preserve">(AT4)</t>
    </r>
  </si>
  <si>
    <t xml:space="preserve">BL3</t>
  </si>
  <si>
    <t xml:space="preserve">승인이 기한 안에 오지 않으면 상급자에게 넘긴다</t>
  </si>
  <si>
    <r>
      <rPr>
        <sz val="10"/>
        <rFont val="Arial"/>
        <family val="0"/>
        <charset val="1"/>
      </rPr>
      <t xml:space="preserve">L21 · BL2 </t>
    </r>
    <r>
      <rPr>
        <sz val="10"/>
        <rFont val="Noto Sans CJK KR"/>
        <family val="2"/>
      </rPr>
      <t xml:space="preserve">결과 위에 짧게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타이머 뒤 상급자 단계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실행 </t>
    </r>
    <r>
      <rPr>
        <sz val="10"/>
        <rFont val="Arial"/>
        <family val="0"/>
        <charset val="1"/>
      </rPr>
      <t xml:space="preserve">0</t>
    </r>
    <r>
      <rPr>
        <sz val="10"/>
        <rFont val="Noto Sans CJK KR"/>
        <family val="2"/>
      </rPr>
      <t xml:space="preserve">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상급자 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기한 초과</t>
    </r>
    <r>
      <rPr>
        <sz val="10"/>
        <rFont val="Arial"/>
        <family val="0"/>
        <charset val="1"/>
      </rPr>
      <t xml:space="preserve">(BT4)</t>
    </r>
  </si>
  <si>
    <t xml:space="preserve">확인을 짧게</t>
  </si>
  <si>
    <t xml:space="preserve">BL4</t>
  </si>
  <si>
    <t xml:space="preserve">신호가 오면 서버가 내 일꾼을 불러 진단을 맡긴다</t>
  </si>
  <si>
    <r>
      <rPr>
        <sz val="10"/>
        <rFont val="Arial"/>
        <family val="0"/>
        <charset val="1"/>
      </rPr>
      <t xml:space="preserve">L22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포털 일과 콘솔 도구 호출이 같음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AI </t>
    </r>
    <r>
      <rPr>
        <sz val="10"/>
        <rFont val="Noto Sans CJK KR"/>
        <family val="2"/>
      </rPr>
      <t xml:space="preserve">일꾼 현황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일 처리 과정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신호 예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일꾼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자동 시작</t>
    </r>
    <r>
      <rPr>
        <sz val="10"/>
        <rFont val="Arial"/>
        <family val="0"/>
        <charset val="1"/>
      </rPr>
      <t xml:space="preserve">(BT4) · </t>
    </r>
    <r>
      <rPr>
        <sz val="10"/>
        <rFont val="Noto Sans CJK KR"/>
        <family val="2"/>
      </rPr>
      <t xml:space="preserve">되풀이 고리</t>
    </r>
    <r>
      <rPr>
        <sz val="10"/>
        <rFont val="Arial"/>
        <family val="0"/>
        <charset val="1"/>
      </rPr>
      <t xml:space="preserve">(AT2)</t>
    </r>
  </si>
  <si>
    <t xml:space="preserve">BL5</t>
  </si>
  <si>
    <t xml:space="preserve">신호 → 진단 → 승인 → 실행 → 효과 확인을 한 줄로 잇고 닫는다</t>
  </si>
  <si>
    <r>
      <rPr>
        <sz val="10"/>
        <rFont val="Arial"/>
        <family val="0"/>
        <charset val="1"/>
      </rPr>
      <t xml:space="preserve">L23 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앞 일의 출력이 다음 입력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확인 뒤 종결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처리 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BL2 · BL4 </t>
    </r>
    <r>
      <rPr>
        <sz val="10"/>
        <rFont val="Noto Sans CJK KR"/>
        <family val="2"/>
      </rPr>
      <t xml:space="preserve">결과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바통</t>
    </r>
    <r>
      <rPr>
        <sz val="10"/>
        <rFont val="Arial"/>
        <family val="0"/>
        <charset val="1"/>
      </rPr>
      <t xml:space="preserve">(BT2) · </t>
    </r>
    <r>
      <rPr>
        <sz val="10"/>
        <rFont val="Noto Sans CJK KR"/>
        <family val="2"/>
      </rPr>
      <t xml:space="preserve">닫기</t>
    </r>
    <r>
      <rPr>
        <sz val="10"/>
        <rFont val="Arial"/>
        <family val="0"/>
        <charset val="1"/>
      </rPr>
      <t xml:space="preserve">(BT5)</t>
    </r>
  </si>
  <si>
    <r>
      <rPr>
        <sz val="10"/>
        <rFont val="Noto Sans CJK KR"/>
        <family val="2"/>
      </rPr>
      <t xml:space="preserve">바꿀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바꾸면 안 될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완료 조건을 먼저 적고 새 검사 규칙을 더한다 — 기존 흐름은 그대로</t>
    </r>
  </si>
  <si>
    <r>
      <rPr>
        <sz val="10"/>
        <rFont val="Arial"/>
        <family val="0"/>
        <charset val="1"/>
      </rPr>
      <t xml:space="preserve">L24(</t>
    </r>
    <r>
      <rPr>
        <sz val="10"/>
        <rFont val="Noto Sans CJK KR"/>
        <family val="2"/>
      </rPr>
      <t xml:space="preserve">재정의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마지막 랩업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명세 먼저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새 규칙이 잘못된 그림을 잡고 기존 시험은 그대로 통과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사전 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사전 검사 작은판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시험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다시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명세 세 줄</t>
    </r>
    <r>
      <rPr>
        <sz val="10"/>
        <rFont val="Arial"/>
        <family val="0"/>
        <charset val="1"/>
      </rPr>
      <t xml:space="preserve">(BT6)</t>
    </r>
  </si>
  <si>
    <t xml:space="preserve">명세를 짧게</t>
  </si>
  <si>
    <t xml:space="preserve">마무리</t>
  </si>
  <si>
    <t xml:space="preserve">E1</t>
  </si>
  <si>
    <r>
      <rPr>
        <sz val="10"/>
        <rFont val="Noto Sans CJK KR"/>
        <family val="2"/>
      </rPr>
      <t xml:space="preserve">내가 만든 것이 실제 제품에서는 어디에 있나 — </t>
    </r>
    <r>
      <rPr>
        <sz val="10"/>
        <rFont val="Arial"/>
        <family val="0"/>
        <charset val="1"/>
      </rPr>
      <t xml:space="preserve">ProcessGPT</t>
    </r>
    <r>
      <rPr>
        <sz val="10"/>
        <rFont val="Noto Sans CJK KR"/>
        <family val="2"/>
      </rPr>
      <t xml:space="preserve">로 같은 사건을 처음부터 끝까지</t>
    </r>
  </si>
  <si>
    <r>
      <rPr>
        <sz val="10"/>
        <rFont val="Noto Sans CJK KR"/>
        <family val="2"/>
      </rPr>
      <t xml:space="preserve">같은 세 사건을 제품으로</t>
    </r>
    <r>
      <rPr>
        <sz val="10"/>
        <rFont val="Arial"/>
        <family val="0"/>
        <charset val="1"/>
      </rPr>
      <t xml:space="preserve">(A </t>
    </r>
    <r>
      <rPr>
        <sz val="10"/>
        <rFont val="Noto Sans CJK KR"/>
        <family val="2"/>
      </rPr>
      <t xml:space="preserve">끝까지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내가 만든 것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지식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흐름</t>
    </r>
    <r>
      <rPr>
        <sz val="10"/>
        <rFont val="Arial"/>
        <family val="0"/>
        <charset val="1"/>
      </rPr>
      <t xml:space="preserve">)</t>
    </r>
    <r>
      <rPr>
        <sz val="10"/>
        <rFont val="Noto Sans CJK KR"/>
        <family val="2"/>
      </rPr>
      <t xml:space="preserve">이 제품의 어디에 있나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제품에만 있는 것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흐름 그리기 화면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말로 일꾼 만들기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피드백 순환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데이터 패브릭</t>
    </r>
    <r>
      <rPr>
        <sz val="10"/>
        <rFont val="Arial"/>
        <family val="0"/>
        <charset val="1"/>
      </rPr>
      <t xml:space="preserve">) · </t>
    </r>
    <r>
      <rPr>
        <sz val="10"/>
        <rFont val="Noto Sans CJK KR"/>
        <family val="2"/>
      </rPr>
      <t xml:space="preserve">질문</t>
    </r>
  </si>
  <si>
    <t xml:space="preserve">합계</t>
  </si>
  <si>
    <t xml:space="preserve">행 수</t>
  </si>
  <si>
    <t xml:space="preserve">통합 영상</t>
  </si>
  <si>
    <t xml:space="preserve">통합 오프</t>
  </si>
  <si>
    <t xml:space="preserve">실전 영상</t>
  </si>
  <si>
    <t xml:space="preserve">실전 오프</t>
  </si>
  <si>
    <t xml:space="preserve">고정 합계</t>
  </si>
  <si>
    <r>
      <rPr>
        <b val="true"/>
        <sz val="10"/>
        <rFont val="Noto Sans CJK KR"/>
        <family val="2"/>
      </rPr>
      <t xml:space="preserve">차이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KR"/>
        <family val="2"/>
      </rPr>
      <t xml:space="preserve">합계 − 고정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</si>
  <si>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KR"/>
        <family val="2"/>
      </rPr>
      <t xml:space="preserve">세 막 비율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KR"/>
        <family val="2"/>
      </rPr>
      <t xml:space="preserve">목표 온톨로지 </t>
    </r>
    <r>
      <rPr>
        <b val="true"/>
        <sz val="10"/>
        <rFont val="Arial"/>
        <family val="0"/>
        <charset val="1"/>
      </rPr>
      <t xml:space="preserve">40 : </t>
    </r>
    <r>
      <rPr>
        <b val="true"/>
        <sz val="10"/>
        <rFont val="Noto Sans CJK KR"/>
        <family val="2"/>
      </rPr>
      <t xml:space="preserve">에이전트 </t>
    </r>
    <r>
      <rPr>
        <b val="true"/>
        <sz val="10"/>
        <rFont val="Arial"/>
        <family val="0"/>
        <charset val="1"/>
      </rPr>
      <t xml:space="preserve">35 : BPMN 25)</t>
    </r>
  </si>
  <si>
    <t xml:space="preserve">부품</t>
  </si>
  <si>
    <r>
      <rPr>
        <sz val="10"/>
        <rFont val="Noto Sans CJK KR"/>
        <family val="2"/>
      </rPr>
      <t xml:space="preserve">지식 자산화가 왜 필요한가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사례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</si>
  <si>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Notion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로그인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화면 둘러보기</t>
    </r>
  </si>
  <si>
    <r>
      <rPr>
        <sz val="10"/>
        <rFont val="Noto Sans CJK KR"/>
        <family val="2"/>
      </rPr>
      <t xml:space="preserve">노트 틀 복제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칸 설명 따라 하기</t>
    </r>
  </si>
  <si>
    <t xml:space="preserve">첫 기록 써 보기</t>
  </si>
  <si>
    <t xml:space="preserve">막마다 노트 쓰는 법</t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</si>
  <si>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계정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초대 문제 풀기</t>
    </r>
  </si>
  <si>
    <t xml:space="preserve">정리</t>
  </si>
  <si>
    <t xml:space="preserve">앞 과정 지도 되짚기</t>
  </si>
  <si>
    <r>
      <rPr>
        <sz val="10"/>
        <rFont val="Arial"/>
        <family val="0"/>
        <charset val="1"/>
      </rPr>
      <t xml:space="preserve">SCADA </t>
    </r>
    <r>
      <rPr>
        <sz val="10"/>
        <rFont val="Noto Sans CJK KR"/>
        <family val="2"/>
      </rPr>
      <t xml:space="preserve">화면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실시간 모니터링에서 같은 값 찾기</t>
    </r>
  </si>
  <si>
    <t xml:space="preserve">우리 공장 센서와 세 사건 잇기</t>
  </si>
  <si>
    <t xml:space="preserve">정리 퀴즈</t>
  </si>
  <si>
    <t xml:space="preserve">건물 층 비유로 보는 포털 구조</t>
  </si>
  <si>
    <t xml:space="preserve">층마다 이번 과정의 어느 막인지</t>
  </si>
  <si>
    <t xml:space="preserve">층 사이에 오가는 것</t>
  </si>
  <si>
    <t xml:space="preserve">세 사건이 층을 지나가는 모습</t>
  </si>
  <si>
    <t xml:space="preserve">택배 송장 비유</t>
  </si>
  <si>
    <t xml:space="preserve">출생 → 변환 → 저장 → 소비</t>
  </si>
  <si>
    <r>
      <rPr>
        <sz val="10"/>
        <rFont val="Arial"/>
        <family val="0"/>
        <charset val="1"/>
      </rPr>
      <t xml:space="preserve">TS1 </t>
    </r>
    <r>
      <rPr>
        <sz val="10"/>
        <rFont val="Noto Sans CJK KR"/>
        <family val="2"/>
      </rPr>
      <t xml:space="preserve">하나의 길 따라가기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짝으로 종이에 그리기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</si>
  <si>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실패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분기</t>
    </r>
  </si>
  <si>
    <t xml:space="preserve">세 사건 한 줄 이야기</t>
  </si>
  <si>
    <r>
      <rPr>
        <sz val="10"/>
        <rFont val="Noto Sans CJK KR"/>
        <family val="2"/>
      </rPr>
      <t xml:space="preserve">시연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결함 주입 → 경보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</si>
  <si>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단계 진행 동안 화면 설명</t>
    </r>
  </si>
  <si>
    <r>
      <rPr>
        <sz val="10"/>
        <rFont val="Noto Sans CJK KR"/>
        <family val="2"/>
      </rPr>
      <t xml:space="preserve">제안 카드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</t>
    </r>
  </si>
  <si>
    <r>
      <rPr>
        <sz val="10"/>
        <rFont val="Noto Sans CJK KR"/>
        <family val="2"/>
      </rPr>
      <t xml:space="preserve">명령 → 재관측 → 작업지시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종결</t>
    </r>
  </si>
  <si>
    <r>
      <rPr>
        <sz val="10"/>
        <rFont val="Noto Sans CJK KR"/>
        <family val="2"/>
      </rPr>
      <t xml:space="preserve">포털 메뉴 둘러보기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학생 </t>
    </r>
    <r>
      <rPr>
        <sz val="10"/>
        <rFont val="Arial"/>
        <family val="0"/>
        <charset val="1"/>
      </rPr>
      <t xml:space="preserve">PC</t>
    </r>
    <r>
      <rPr>
        <sz val="10"/>
        <rFont val="Noto Sans CJK KR"/>
        <family val="2"/>
      </rPr>
      <t xml:space="preserve">에서 함께</t>
    </r>
    <r>
      <rPr>
        <sz val="10"/>
        <rFont val="Arial"/>
        <family val="0"/>
        <charset val="1"/>
      </rPr>
      <t xml:space="preserve">)</t>
    </r>
  </si>
  <si>
    <t xml:space="preserve">기준으로 되돌리기</t>
  </si>
  <si>
    <t xml:space="preserve">이번 과정에서 할 일</t>
  </si>
  <si>
    <t xml:space="preserve">막 여는 이야기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</si>
  <si>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책을 많이 읽은 신입</t>
    </r>
  </si>
  <si>
    <r>
      <rPr>
        <sz val="10"/>
        <rFont val="Noto Sans CJK KR"/>
        <family val="2"/>
      </rPr>
      <t xml:space="preserve">무엇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다음 말 맞히기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배운 것만 안다</t>
    </r>
  </si>
  <si>
    <t xml:space="preserve">왜 그럴듯하게 틀리나 — 사례 화면</t>
  </si>
  <si>
    <r>
      <rPr>
        <sz val="10"/>
        <rFont val="Noto Sans CJK KR"/>
        <family val="2"/>
      </rPr>
      <t xml:space="preserve">공장에 주는 뜻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정리</t>
    </r>
  </si>
  <si>
    <t xml:space="preserve">질문 받기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</si>
  <si>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도서관 사서</t>
    </r>
  </si>
  <si>
    <r>
      <rPr>
        <sz val="10"/>
        <rFont val="Noto Sans CJK KR"/>
        <family val="2"/>
      </rPr>
      <t xml:space="preserve">뜻이 가까운 글 찾기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그림</t>
    </r>
    <r>
      <rPr>
        <sz val="10"/>
        <rFont val="Arial"/>
        <family val="0"/>
        <charset val="1"/>
      </rPr>
      <t xml:space="preserve">)</t>
    </r>
  </si>
  <si>
    <t xml:space="preserve">찾아 붙여 답하는 순서</t>
  </si>
  <si>
    <t xml:space="preserve">근거 인용과 한계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</si>
  <si>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지하철 노선도</t>
    </r>
  </si>
  <si>
    <r>
      <rPr>
        <sz val="10"/>
        <rFont val="Noto Sans CJK KR"/>
        <family val="2"/>
      </rPr>
      <t xml:space="preserve">무엇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지도</t>
    </r>
  </si>
  <si>
    <r>
      <rPr>
        <sz val="10"/>
        <rFont val="Noto Sans CJK KR"/>
        <family val="2"/>
      </rPr>
      <t xml:space="preserve">문서 검색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지도 비교 예</t>
    </r>
  </si>
  <si>
    <t xml:space="preserve">공장에 쓰면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</si>
  <si>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주소록 양식</t>
    </r>
  </si>
  <si>
    <r>
      <rPr>
        <sz val="10"/>
        <rFont val="Noto Sans CJK KR"/>
        <family val="2"/>
      </rPr>
      <t xml:space="preserve">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틀과 내용</t>
    </r>
  </si>
  <si>
    <r>
      <rPr>
        <sz val="10"/>
        <rFont val="Arial"/>
        <family val="0"/>
        <charset val="1"/>
      </rPr>
      <t xml:space="preserve">arrows.app </t>
    </r>
    <r>
      <rPr>
        <sz val="10"/>
        <rFont val="Noto Sans CJK KR"/>
        <family val="2"/>
      </rPr>
      <t xml:space="preserve">첫 사용 따라 하기</t>
    </r>
  </si>
  <si>
    <r>
      <rPr>
        <sz val="10"/>
        <rFont val="Noto Sans CJK KR"/>
        <family val="2"/>
      </rPr>
      <t xml:space="preserve">카페 관계도 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</si>
  <si>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속성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관계</t>
    </r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</si>
  <si>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그리기 막힌 학생 돕기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</si>
  <si>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길찾기 앱</t>
    </r>
  </si>
  <si>
    <r>
      <rPr>
        <sz val="10"/>
        <rFont val="Noto Sans CJK KR"/>
        <family val="2"/>
      </rPr>
      <t xml:space="preserve">질문의 모양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그림으로 묻기</t>
    </r>
  </si>
  <si>
    <r>
      <rPr>
        <sz val="10"/>
        <rFont val="Noto Sans CJK KR"/>
        <family val="2"/>
      </rPr>
      <t xml:space="preserve">내 관계도에서 질문 따라가기</t>
    </r>
    <r>
      <rPr>
        <sz val="10"/>
        <rFont val="Arial"/>
        <family val="0"/>
        <charset val="1"/>
      </rPr>
      <t xml:space="preserve">(arrows.app)</t>
    </r>
  </si>
  <si>
    <t xml:space="preserve">표로 찾을 때와 비교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</si>
  <si>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병원 진료</t>
    </r>
  </si>
  <si>
    <r>
      <rPr>
        <sz val="10"/>
        <rFont val="Noto Sans CJK KR"/>
        <family val="2"/>
      </rPr>
      <t xml:space="preserve">다섯 단계와 증상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조치</t>
    </r>
  </si>
  <si>
    <r>
      <rPr>
        <sz val="10"/>
        <rFont val="Noto Sans CJK KR"/>
        <family val="2"/>
      </rPr>
      <t xml:space="preserve">미리 알아채기와 정비 종류 셋 </t>
    </r>
    <r>
      <rPr>
        <sz val="10"/>
        <rFont val="Arial"/>
        <family val="0"/>
        <charset val="1"/>
      </rPr>
      <t xml:space="preserve">= A · B · C</t>
    </r>
  </si>
  <si>
    <r>
      <rPr>
        <sz val="10"/>
        <rFont val="Noto Sans CJK KR"/>
        <family val="2"/>
      </rPr>
      <t xml:space="preserve">자전거 카드 놓기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시연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모둠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</si>
  <si>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발표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정리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</si>
  <si>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레시피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할인표</t>
    </r>
  </si>
  <si>
    <t xml:space="preserve">절차의 모양</t>
  </si>
  <si>
    <t xml:space="preserve">규칙표의 모양</t>
  </si>
  <si>
    <r>
      <rPr>
        <sz val="10"/>
        <rFont val="Arial"/>
        <family val="0"/>
        <charset val="1"/>
      </rPr>
      <t xml:space="preserve">demo.bpmn.io DMN </t>
    </r>
    <r>
      <rPr>
        <sz val="10"/>
        <rFont val="Noto Sans CJK KR"/>
        <family val="2"/>
      </rPr>
      <t xml:space="preserve">첫 사용</t>
    </r>
  </si>
  <si>
    <t xml:space="preserve">카페 할인표 세 줄</t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</si>
  <si>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표 만들기 막힘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</si>
  <si>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건강검진</t>
    </r>
  </si>
  <si>
    <t xml:space="preserve">네 관점과 화살표</t>
  </si>
  <si>
    <t xml:space="preserve">카페 전략맵 읽기</t>
  </si>
  <si>
    <r>
      <rPr>
        <sz val="10"/>
        <rFont val="Noto Sans CJK KR"/>
        <family val="2"/>
      </rPr>
      <t xml:space="preserve">종이 전략맵 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모둠</t>
    </r>
    <r>
      <rPr>
        <sz val="10"/>
        <rFont val="Arial"/>
        <family val="0"/>
        <charset val="1"/>
      </rPr>
      <t xml:space="preserve">)</t>
    </r>
  </si>
  <si>
    <t xml:space="preserve">상충 찾기</t>
  </si>
  <si>
    <t xml:space="preserve">공장 지표 미리보기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</si>
  <si>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레시피 카드</t>
    </r>
  </si>
  <si>
    <t xml:space="preserve">다섯 단계</t>
  </si>
  <si>
    <t xml:space="preserve">왜 나누나</t>
  </si>
  <si>
    <r>
      <rPr>
        <sz val="10"/>
        <rFont val="Noto Sans CJK KR"/>
        <family val="2"/>
      </rPr>
      <t xml:space="preserve">형광펜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시연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개인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</si>
  <si>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뽑힌 표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원문 대조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종이 연습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</si>
  <si>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정리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사람 확인</t>
    </r>
  </si>
  <si>
    <r>
      <rPr>
        <sz val="10"/>
        <rFont val="Noto Sans CJK KR"/>
        <family val="2"/>
      </rPr>
      <t xml:space="preserve">값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자리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색인 카드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</si>
  <si>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주문표 칸 찾기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</t>
    </r>
  </si>
  <si>
    <t xml:space="preserve">꼭 답할 질문 먼저 쓰기</t>
  </si>
  <si>
    <r>
      <rPr>
        <sz val="10"/>
        <rFont val="Noto Sans CJK KR"/>
        <family val="2"/>
      </rPr>
      <t xml:space="preserve">관계 하나 지우면 답이 바뀌나</t>
    </r>
    <r>
      <rPr>
        <sz val="10"/>
        <rFont val="Arial"/>
        <family val="0"/>
        <charset val="1"/>
      </rPr>
      <t xml:space="preserve">(arrows.app)</t>
    </r>
  </si>
  <si>
    <t xml:space="preserve">되짚기</t>
  </si>
  <si>
    <t xml:space="preserve">지식 관리 화면 안내</t>
  </si>
  <si>
    <r>
      <rPr>
        <sz val="10"/>
        <rFont val="Noto Sans CJK KR"/>
        <family val="2"/>
      </rPr>
      <t xml:space="preserve">적재 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경보 일으키기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보류 사유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</si>
  <si>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근거가 없으면 왜 멈추나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</si>
  <si>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문서 함께 읽기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</si>
  <si>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문서의 증상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원인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절차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금지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틀의 칸</t>
    </r>
  </si>
  <si>
    <r>
      <rPr>
        <sz val="10"/>
        <rFont val="Noto Sans CJK KR"/>
        <family val="2"/>
      </rPr>
      <t xml:space="preserve">넣기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출처 선택</t>
    </r>
  </si>
  <si>
    <r>
      <rPr>
        <sz val="10"/>
        <rFont val="Noto Sans CJK KR"/>
        <family val="2"/>
      </rPr>
      <t xml:space="preserve">추출 대기 동안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나누기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뽑기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틀 검사 화면</t>
    </r>
  </si>
  <si>
    <r>
      <rPr>
        <sz val="10"/>
        <rFont val="Noto Sans CJK KR"/>
        <family val="2"/>
      </rPr>
      <t xml:space="preserve">검토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자동 표시 항목만 원문 대조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약 </t>
    </r>
    <r>
      <rPr>
        <sz val="10"/>
        <rFont val="Arial"/>
        <family val="0"/>
        <charset val="1"/>
      </rPr>
      <t xml:space="preserve">6</t>
    </r>
    <r>
      <rPr>
        <sz val="10"/>
        <rFont val="Noto Sans CJK KR"/>
        <family val="2"/>
      </rPr>
      <t xml:space="preserve">항목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</si>
  <si>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사람이 확인하는 이유</t>
    </r>
  </si>
  <si>
    <r>
      <rPr>
        <sz val="10"/>
        <rFont val="Noto Sans CJK KR"/>
        <family val="2"/>
      </rPr>
      <t xml:space="preserve">등록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새 노드 확인</t>
    </r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</si>
  <si>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화면 따라오기 맞추기</t>
    </r>
  </si>
  <si>
    <t xml:space="preserve">지식 지도 조작법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</si>
  <si>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노드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클래스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관계</t>
    </r>
  </si>
  <si>
    <t xml:space="preserve">경보 → 증상 → 원인 → 증거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</si>
  <si>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진료 순서로 다시</t>
    </r>
  </si>
  <si>
    <t xml:space="preserve">조치 → 명령 값 → 지표 → 영업이익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</si>
  <si>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전략맵 화살표</t>
    </r>
  </si>
  <si>
    <r>
      <rPr>
        <sz val="10"/>
        <rFont val="Noto Sans CJK KR"/>
        <family val="2"/>
      </rPr>
      <t xml:space="preserve">꼭 답할 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넣기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읽기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</si>
  <si>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질문이 검사가 되는 이유</t>
    </r>
  </si>
  <si>
    <t xml:space="preserve">노트 기록</t>
  </si>
  <si>
    <t xml:space="preserve">여유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</si>
  <si>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KR"/>
        <family val="2"/>
      </rPr>
      <t xml:space="preserve">문서 읽기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</si>
  <si>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P</t>
    </r>
    <r>
      <rPr>
        <sz val="10"/>
        <rFont val="Noto Sans CJK KR"/>
        <family val="2"/>
      </rPr>
      <t xml:space="preserve">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남은 시간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리드타임</t>
    </r>
  </si>
  <si>
    <r>
      <rPr>
        <sz val="10"/>
        <rFont val="Noto Sans CJK KR"/>
        <family val="2"/>
      </rPr>
      <t xml:space="preserve">넣기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추출 대기</t>
    </r>
  </si>
  <si>
    <r>
      <rPr>
        <sz val="10"/>
        <rFont val="Noto Sans CJK KR"/>
        <family val="2"/>
      </rPr>
      <t xml:space="preserve">검토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금지 규칙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</si>
  <si>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금지 규칙</t>
    </r>
  </si>
  <si>
    <t xml:space="preserve">등록</t>
  </si>
  <si>
    <r>
      <rPr>
        <sz val="10"/>
        <rFont val="Noto Sans CJK KR"/>
        <family val="2"/>
      </rPr>
      <t xml:space="preserve">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증상 → 원인 → 부품 → 규칙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</si>
  <si>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정비창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리드타임 값은 업무 </t>
    </r>
    <r>
      <rPr>
        <sz val="10"/>
        <rFont val="Arial"/>
        <family val="0"/>
        <charset val="1"/>
      </rPr>
      <t xml:space="preserve">DB </t>
    </r>
    <r>
      <rPr>
        <sz val="10"/>
        <rFont val="Noto Sans CJK KR"/>
        <family val="2"/>
      </rPr>
      <t xml:space="preserve">자리만</t>
    </r>
  </si>
  <si>
    <t xml:space="preserve">꼭 답할 질문</t>
  </si>
  <si>
    <t xml:space="preserve">기록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</si>
  <si>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KR"/>
        <family val="2"/>
      </rPr>
      <t xml:space="preserve">문서 읽기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</si>
  <si>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재주문점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승인 공급사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전결</t>
    </r>
  </si>
  <si>
    <r>
      <rPr>
        <sz val="10"/>
        <rFont val="Noto Sans CJK KR"/>
        <family val="2"/>
      </rPr>
      <t xml:space="preserve">넣기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대기</t>
    </r>
  </si>
  <si>
    <t xml:space="preserve">검토</t>
  </si>
  <si>
    <r>
      <rPr>
        <sz val="10"/>
        <rFont val="Noto Sans CJK KR"/>
        <family val="2"/>
      </rPr>
      <t xml:space="preserve">길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부품 → 설비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고장 → 공급사 → 상충 → 규정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</si>
  <si>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상충</t>
    </r>
  </si>
  <si>
    <t xml:space="preserve">세 지식 나란히 — 틀은 같고 내용이 다르다</t>
  </si>
  <si>
    <r>
      <rPr>
        <sz val="10"/>
        <rFont val="Noto Sans CJK KR"/>
        <family val="2"/>
      </rPr>
      <t xml:space="preserve">왜 만들어 보나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포털의 기능이 이렇게 만들어진다</t>
    </r>
  </si>
  <si>
    <r>
      <rPr>
        <sz val="10"/>
        <rFont val="Arial"/>
        <family val="0"/>
        <charset val="1"/>
      </rPr>
      <t xml:space="preserve">VS Code </t>
    </r>
    <r>
      <rPr>
        <sz val="10"/>
        <rFont val="Noto Sans CJK KR"/>
        <family val="2"/>
      </rPr>
      <t xml:space="preserve">화면 둘러보기</t>
    </r>
  </si>
  <si>
    <r>
      <rPr>
        <sz val="10"/>
        <rFont val="Noto Sans CJK KR"/>
        <family val="2"/>
      </rPr>
      <t xml:space="preserve">터미널 </t>
    </r>
    <r>
      <rPr>
        <sz val="10"/>
        <rFont val="Arial"/>
        <family val="0"/>
        <charset val="1"/>
      </rPr>
      <t xml:space="preserve">· Claude Code </t>
    </r>
    <r>
      <rPr>
        <sz val="10"/>
        <rFont val="Noto Sans CJK KR"/>
        <family val="2"/>
      </rPr>
      <t xml:space="preserve">시작 </t>
    </r>
    <r>
      <rPr>
        <sz val="10"/>
        <rFont val="Arial"/>
        <family val="0"/>
        <charset val="1"/>
      </rPr>
      <t xml:space="preserve">· API </t>
    </r>
    <r>
      <rPr>
        <sz val="10"/>
        <rFont val="Noto Sans CJK KR"/>
        <family val="2"/>
      </rPr>
      <t xml:space="preserve">키 확인</t>
    </r>
  </si>
  <si>
    <t xml:space="preserve">첫 지시 → 대기 → 읽기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</si>
  <si>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KR"/>
        <family val="2"/>
      </rPr>
      <t xml:space="preserve">고쳐도 되나</t>
    </r>
    <r>
      <rPr>
        <sz val="10"/>
        <rFont val="Arial"/>
        <family val="0"/>
        <charset val="1"/>
      </rPr>
      <t xml:space="preserve">" </t>
    </r>
    <r>
      <rPr>
        <sz val="10"/>
        <rFont val="Noto Sans CJK KR"/>
        <family val="2"/>
      </rPr>
      <t xml:space="preserve">물음 읽는 법</t>
    </r>
  </si>
  <si>
    <r>
      <rPr>
        <sz val="10"/>
        <rFont val="Noto Sans CJK KR"/>
        <family val="2"/>
      </rPr>
      <t xml:space="preserve">되돌리는 법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출발본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</si>
  <si>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실수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복구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처음 막히는 곳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키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폴더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권한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</si>
  <si>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만들 것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볼 결과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포털의 어느 기능인가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</si>
  <si>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이 랩업에서 다시 짚는 개념</t>
    </r>
  </si>
  <si>
    <r>
      <rPr>
        <sz val="10"/>
        <rFont val="Noto Sans CJK KR"/>
        <family val="2"/>
      </rPr>
      <t xml:space="preserve">강사 시연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지시문을 왜 이렇게 쓰나</t>
    </r>
  </si>
  <si>
    <r>
      <rPr>
        <sz val="10"/>
        <rFont val="Arial"/>
        <family val="0"/>
        <charset val="1"/>
      </rPr>
      <t xml:space="preserve">Claude Code </t>
    </r>
    <r>
      <rPr>
        <sz val="10"/>
        <rFont val="Noto Sans CJK KR"/>
        <family val="2"/>
      </rPr>
      <t xml:space="preserve">생성 대기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지시 </t>
    </r>
    <r>
      <rPr>
        <sz val="10"/>
        <rFont val="Arial"/>
        <family val="0"/>
        <charset val="1"/>
      </rPr>
      <t xml:space="preserve">1~2</t>
    </r>
    <r>
      <rPr>
        <sz val="10"/>
        <rFont val="Noto Sans CJK KR"/>
        <family val="2"/>
      </rPr>
      <t xml:space="preserve">번</t>
    </r>
    <r>
      <rPr>
        <sz val="10"/>
        <rFont val="Arial"/>
        <family val="0"/>
        <charset val="1"/>
      </rPr>
      <t xml:space="preserve">)</t>
    </r>
  </si>
  <si>
    <t xml:space="preserve">만들어진 것을 쉬운 말로 읽기</t>
  </si>
  <si>
    <t xml:space="preserve">실행 결과 확인</t>
  </si>
  <si>
    <r>
      <rPr>
        <sz val="10"/>
        <rFont val="Noto Sans CJK KR"/>
        <family val="2"/>
      </rPr>
      <t xml:space="preserve">학생 따라 만들기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멈추고 해 보기 지점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기대 화면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함께 입력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강사 설명 계속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</si>
  <si>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실수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복구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틀린 지시 → 출발본으로 되돌려 고치기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자주 틀리는 곳 장면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학생 오류 풀기</t>
    </r>
    <r>
      <rPr>
        <sz val="10"/>
        <rFont val="Arial"/>
        <family val="0"/>
        <charset val="1"/>
      </rPr>
      <t xml:space="preserve">)</t>
    </r>
  </si>
  <si>
    <t xml:space="preserve">포털의 같은 기능과 대조</t>
  </si>
  <si>
    <r>
      <rPr>
        <sz val="10"/>
        <rFont val="Noto Sans CJK KR"/>
        <family val="2"/>
      </rPr>
      <t xml:space="preserve">정리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노트</t>
    </r>
  </si>
  <si>
    <r>
      <rPr>
        <sz val="10"/>
        <rFont val="Arial"/>
        <family val="0"/>
        <charset val="1"/>
      </rPr>
      <t xml:space="preserve">Neo4j Browser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접속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그림 보기</t>
    </r>
  </si>
  <si>
    <r>
      <rPr>
        <sz val="10"/>
        <rFont val="Noto Sans CJK KR"/>
        <family val="2"/>
      </rPr>
      <t xml:space="preserve">실물 </t>
    </r>
    <r>
      <rPr>
        <sz val="10"/>
        <rFont val="Arial"/>
        <family val="0"/>
        <charset val="1"/>
      </rPr>
      <t xml:space="preserve">80</t>
    </r>
    <r>
      <rPr>
        <sz val="10"/>
        <rFont val="Noto Sans CJK KR"/>
        <family val="2"/>
      </rPr>
      <t xml:space="preserve">쪽 매뉴얼이 나뉘는 모습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녹화 압축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</si>
  <si>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추출 대기 추가</t>
    </r>
    <r>
      <rPr>
        <sz val="10"/>
        <rFont val="Arial"/>
        <family val="0"/>
        <charset val="1"/>
      </rPr>
      <t xml:space="preserve">(1</t>
    </r>
    <r>
      <rPr>
        <sz val="10"/>
        <rFont val="Noto Sans CJK KR"/>
        <family val="2"/>
      </rPr>
      <t xml:space="preserve">쪽 </t>
    </r>
    <r>
      <rPr>
        <sz val="10"/>
        <rFont val="Arial"/>
        <family val="0"/>
        <charset val="1"/>
      </rPr>
      <t xml:space="preserve">2</t>
    </r>
    <r>
      <rPr>
        <sz val="10"/>
        <rFont val="Noto Sans CJK KR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</si>
  <si>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트랙 한눈에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처음부터 만든 것 정리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</si>
  <si>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일하는 비서</t>
    </r>
  </si>
  <si>
    <t xml:space="preserve">네 부분</t>
  </si>
  <si>
    <r>
      <rPr>
        <sz val="10"/>
        <rFont val="Noto Sans CJK KR"/>
        <family val="2"/>
      </rPr>
      <t xml:space="preserve">답만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도구 부르기 사례 그림</t>
    </r>
  </si>
  <si>
    <r>
      <rPr>
        <sz val="10"/>
        <rFont val="Noto Sans CJK KR"/>
        <family val="2"/>
      </rPr>
      <t xml:space="preserve">공장에 필요한 이유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정리</t>
    </r>
  </si>
  <si>
    <t xml:space="preserve">되풀이 고리 설명</t>
  </si>
  <si>
    <r>
      <rPr>
        <sz val="10"/>
        <rFont val="Noto Sans CJK KR"/>
        <family val="2"/>
      </rPr>
      <t xml:space="preserve">역할극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녹화 보기</t>
    </r>
    <r>
      <rPr>
        <sz val="10"/>
        <rFont val="Arial"/>
        <family val="0"/>
        <charset val="1"/>
      </rPr>
      <t xml:space="preserve">)</t>
    </r>
  </si>
  <si>
    <t xml:space="preserve">역할극 준비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</si>
  <si>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라운드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</si>
  <si>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KR"/>
        <family val="2"/>
      </rPr>
      <t xml:space="preserve">라운드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도구 하나 빼기</t>
    </r>
  </si>
  <si>
    <r>
      <rPr>
        <sz val="10"/>
        <rFont val="Noto Sans CJK KR"/>
        <family val="2"/>
      </rPr>
      <t xml:space="preserve">기록지 읽기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발표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</si>
  <si>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콘센트 규격</t>
    </r>
  </si>
  <si>
    <t xml:space="preserve">도구 네 칸</t>
  </si>
  <si>
    <t xml:space="preserve">규격이 필요한 이유</t>
  </si>
  <si>
    <t xml:space="preserve">연결 모양 그림</t>
  </si>
  <si>
    <r>
      <rPr>
        <sz val="10"/>
        <rFont val="Noto Sans CJK KR"/>
        <family val="2"/>
      </rPr>
      <t xml:space="preserve">도구 카드 쓰기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</si>
  <si>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냉장고</t>
    </r>
  </si>
  <si>
    <r>
      <rPr>
        <sz val="10"/>
        <rFont val="Noto Sans CJK KR"/>
        <family val="2"/>
      </rPr>
      <t xml:space="preserve">고정 지식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지금 값</t>
    </r>
  </si>
  <si>
    <r>
      <rPr>
        <sz val="10"/>
        <rFont val="Noto Sans CJK KR"/>
        <family val="2"/>
      </rPr>
      <t xml:space="preserve">읽기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바꾸기</t>
    </r>
  </si>
  <si>
    <r>
      <rPr>
        <sz val="10"/>
        <rFont val="Noto Sans CJK KR"/>
        <family val="2"/>
      </rPr>
      <t xml:space="preserve">원천 고르기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</si>
  <si>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체크리스트</t>
    </r>
  </si>
  <si>
    <r>
      <rPr>
        <sz val="10"/>
        <rFont val="Noto Sans CJK KR"/>
        <family val="2"/>
      </rPr>
      <t xml:space="preserve">요령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도구</t>
    </r>
  </si>
  <si>
    <r>
      <rPr>
        <sz val="10"/>
        <rFont val="Noto Sans CJK KR"/>
        <family val="2"/>
      </rPr>
      <t xml:space="preserve">순서가 바뀌는 예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그림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</si>
  <si>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다섯 줄 쓰기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시연 </t>
    </r>
    <r>
      <rPr>
        <sz val="10"/>
        <rFont val="Arial"/>
        <family val="0"/>
        <charset val="1"/>
      </rPr>
      <t xml:space="preserve">/ </t>
    </r>
    <r>
      <rPr>
        <sz val="10"/>
        <rFont val="Noto Sans CJK KR"/>
        <family val="2"/>
      </rPr>
      <t xml:space="preserve">오프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개인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</si>
  <si>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정리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발표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</si>
  <si>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신호등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경비 규정</t>
    </r>
  </si>
  <si>
    <r>
      <rPr>
        <sz val="10"/>
        <rFont val="Noto Sans CJK KR"/>
        <family val="2"/>
      </rPr>
      <t xml:space="preserve">규칙과 </t>
    </r>
    <r>
      <rPr>
        <sz val="10"/>
        <rFont val="Arial"/>
        <family val="0"/>
        <charset val="1"/>
      </rPr>
      <t xml:space="preserve">AI</t>
    </r>
    <r>
      <rPr>
        <sz val="10"/>
        <rFont val="Noto Sans CJK KR"/>
        <family val="2"/>
      </rPr>
      <t xml:space="preserve">의 역할</t>
    </r>
  </si>
  <si>
    <r>
      <rPr>
        <sz val="10"/>
        <rFont val="Noto Sans CJK KR"/>
        <family val="2"/>
      </rPr>
      <t xml:space="preserve">금지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감점</t>
    </r>
  </si>
  <si>
    <t xml:space="preserve">근거 없으면 멈추기</t>
  </si>
  <si>
    <r>
      <rPr>
        <sz val="10"/>
        <rFont val="Arial"/>
        <family val="0"/>
        <charset val="1"/>
      </rPr>
      <t xml:space="preserve">DMN </t>
    </r>
    <r>
      <rPr>
        <sz val="10"/>
        <rFont val="Noto Sans CJK KR"/>
        <family val="2"/>
      </rPr>
      <t xml:space="preserve">한 줄 더하기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</si>
  <si>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내비 경로</t>
    </r>
  </si>
  <si>
    <t xml:space="preserve">돈으로 비교</t>
  </si>
  <si>
    <t xml:space="preserve">예측</t>
  </si>
  <si>
    <r>
      <rPr>
        <sz val="10"/>
        <rFont val="Noto Sans CJK KR"/>
        <family val="2"/>
      </rPr>
      <t xml:space="preserve">경계값 찾기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 계산</t>
    </r>
    <r>
      <rPr>
        <sz val="10"/>
        <rFont val="Arial"/>
        <family val="0"/>
        <charset val="1"/>
      </rPr>
      <t xml:space="preserve">)</t>
    </r>
  </si>
  <si>
    <t xml:space="preserve">흔들림 사례 그림</t>
  </si>
  <si>
    <t xml:space="preserve">왜 흔들리나</t>
  </si>
  <si>
    <t xml:space="preserve">정답표 쓰기</t>
  </si>
  <si>
    <t xml:space="preserve">에이전트 화면 안내</t>
  </si>
  <si>
    <t xml:space="preserve">기본 복제</t>
  </si>
  <si>
    <r>
      <rPr>
        <sz val="10"/>
        <rFont val="Noto Sans CJK KR"/>
        <family val="2"/>
      </rPr>
      <t xml:space="preserve">이름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역할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목표 입력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</si>
  <si>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네 부분</t>
    </r>
  </si>
  <si>
    <r>
      <rPr>
        <sz val="10"/>
        <rFont val="Noto Sans CJK KR"/>
        <family val="2"/>
      </rPr>
      <t xml:space="preserve">도구 서버 고르기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검사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</si>
  <si>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규격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읽기만</t>
    </r>
  </si>
  <si>
    <t xml:space="preserve">요령 붙이기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</si>
  <si>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체크리스트</t>
    </r>
  </si>
  <si>
    <r>
      <rPr>
        <sz val="10"/>
        <rFont val="Noto Sans CJK KR"/>
        <family val="2"/>
      </rPr>
      <t xml:space="preserve">질문하기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입력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대기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도구 호출 보기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</si>
  <si>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되풀이 고리</t>
    </r>
  </si>
  <si>
    <r>
      <rPr>
        <sz val="10"/>
        <rFont val="Noto Sans CJK KR"/>
        <family val="2"/>
      </rPr>
      <t xml:space="preserve">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되돌리기 안내</t>
    </r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</si>
  <si>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입력 맞추기</t>
    </r>
  </si>
  <si>
    <t xml:space="preserve">시험 실행 시작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</si>
  <si>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단계 대기 동안 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진단 → 후보 → 규정 → 순위</t>
    </r>
  </si>
  <si>
    <t xml:space="preserve">제안 카드 읽기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</si>
  <si>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돈으로 비교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지는 대안</t>
    </r>
  </si>
  <si>
    <r>
      <rPr>
        <sz val="10"/>
        <rFont val="Arial"/>
        <family val="0"/>
        <charset val="1"/>
      </rPr>
      <t xml:space="preserve">What-if: </t>
    </r>
    <r>
      <rPr>
        <sz val="10"/>
        <rFont val="Noto Sans CJK KR"/>
        <family val="2"/>
      </rPr>
      <t xml:space="preserve">부하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납기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</si>
  <si>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경계값</t>
    </r>
  </si>
  <si>
    <t xml:space="preserve">정답표 넣고 채점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</si>
  <si>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흔들림</t>
    </r>
  </si>
  <si>
    <t xml:space="preserve">대기 편차</t>
  </si>
  <si>
    <t xml:space="preserve">일꾼 복제해 바꾸기</t>
  </si>
  <si>
    <t xml:space="preserve">질문 하나</t>
  </si>
  <si>
    <t xml:space="preserve">시험 실행 대기</t>
  </si>
  <si>
    <t xml:space="preserve">카드 읽기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</si>
  <si>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남은 시간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리드타임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정비창</t>
    </r>
  </si>
  <si>
    <r>
      <rPr>
        <sz val="10"/>
        <rFont val="Arial"/>
        <family val="0"/>
        <charset val="1"/>
      </rPr>
      <t xml:space="preserve">What-if: </t>
    </r>
    <r>
      <rPr>
        <sz val="10"/>
        <rFont val="Noto Sans CJK KR"/>
        <family val="2"/>
      </rPr>
      <t xml:space="preserve">리드타임</t>
    </r>
  </si>
  <si>
    <t xml:space="preserve">일꾼 만들기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</si>
  <si>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총비용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단가 </t>
    </r>
    <r>
      <rPr>
        <sz val="10"/>
        <rFont val="Arial"/>
        <family val="0"/>
        <charset val="1"/>
      </rPr>
      <t xml:space="preserve">+ </t>
    </r>
    <r>
      <rPr>
        <sz val="10"/>
        <rFont val="Noto Sans CJK KR"/>
        <family val="2"/>
      </rPr>
      <t xml:space="preserve">불량 비용</t>
    </r>
  </si>
  <si>
    <r>
      <rPr>
        <sz val="10"/>
        <rFont val="Arial"/>
        <family val="0"/>
        <charset val="1"/>
      </rPr>
      <t xml:space="preserve">What-if: </t>
    </r>
    <r>
      <rPr>
        <sz val="10"/>
        <rFont val="Noto Sans CJK KR"/>
        <family val="2"/>
      </rPr>
      <t xml:space="preserve">단가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불량률</t>
    </r>
  </si>
  <si>
    <t xml:space="preserve">세 일꾼 나란히</t>
  </si>
  <si>
    <t xml:space="preserve">콘솔 기록 읽는 법</t>
  </si>
  <si>
    <r>
      <rPr>
        <sz val="10"/>
        <rFont val="Noto Sans CJK KR"/>
        <family val="2"/>
      </rPr>
      <t xml:space="preserve">연결 설정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확인</t>
    </r>
  </si>
  <si>
    <r>
      <rPr>
        <sz val="10"/>
        <rFont val="Noto Sans CJK KR"/>
        <family val="2"/>
      </rPr>
      <t xml:space="preserve">포털에 등록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연결 검사</t>
    </r>
  </si>
  <si>
    <t xml:space="preserve">트랙 한눈에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</si>
  <si>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레시피 </t>
    </r>
    <r>
      <rPr>
        <sz val="10"/>
        <rFont val="Arial"/>
        <family val="0"/>
        <charset val="1"/>
      </rPr>
      <t xml:space="preserve">vs </t>
    </r>
    <r>
      <rPr>
        <sz val="10"/>
        <rFont val="Noto Sans CJK KR"/>
        <family val="2"/>
      </rPr>
      <t xml:space="preserve">요리</t>
    </r>
  </si>
  <si>
    <t xml:space="preserve">정의와 실제 한 건</t>
  </si>
  <si>
    <t xml:space="preserve">기호 다섯 개</t>
  </si>
  <si>
    <r>
      <rPr>
        <sz val="10"/>
        <rFont val="Arial"/>
        <family val="0"/>
        <charset val="1"/>
      </rPr>
      <t xml:space="preserve">demo.bpmn.io </t>
    </r>
    <r>
      <rPr>
        <sz val="10"/>
        <rFont val="Noto Sans CJK KR"/>
        <family val="2"/>
      </rPr>
      <t xml:space="preserve">첫 사용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카페 주문 흐름</t>
    </r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</si>
  <si>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그리기 막힘</t>
    </r>
  </si>
  <si>
    <r>
      <rPr>
        <sz val="10"/>
        <rFont val="Noto Sans CJK KR"/>
        <family val="2"/>
      </rPr>
      <t xml:space="preserve">무엇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왜</t>
    </r>
  </si>
  <si>
    <t xml:space="preserve">배달 주문 사건 붙이기</t>
  </si>
  <si>
    <r>
      <rPr>
        <sz val="10"/>
        <rFont val="Noto Sans CJK KR"/>
        <family val="2"/>
      </rPr>
      <t xml:space="preserve">담당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넘기는 것</t>
    </r>
  </si>
  <si>
    <t xml:space="preserve">발표</t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</si>
  <si>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결재 도장</t>
    </r>
  </si>
  <si>
    <t xml:space="preserve">제안과 실행 나누기</t>
  </si>
  <si>
    <r>
      <rPr>
        <sz val="10"/>
        <rFont val="Noto Sans CJK KR"/>
        <family val="2"/>
      </rPr>
      <t xml:space="preserve">권한 단계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금액 전결</t>
    </r>
  </si>
  <si>
    <r>
      <rPr>
        <sz val="10"/>
        <rFont val="Noto Sans CJK KR"/>
        <family val="2"/>
      </rPr>
      <t xml:space="preserve">휴가 결재 흐름 보기</t>
    </r>
    <r>
      <rPr>
        <sz val="10"/>
        <rFont val="Arial"/>
        <family val="0"/>
        <charset val="1"/>
      </rPr>
      <t xml:space="preserve">(bpmn.io)</t>
    </r>
  </si>
  <si>
    <r>
      <rPr>
        <sz val="10"/>
        <rFont val="Noto Sans CJK KR"/>
        <family val="2"/>
      </rPr>
      <t xml:space="preserve">역할극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영상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녹화</t>
    </r>
    <r>
      <rPr>
        <sz val="10"/>
        <rFont val="Arial"/>
        <family val="0"/>
        <charset val="1"/>
      </rPr>
      <t xml:space="preserve">)</t>
    </r>
  </si>
  <si>
    <t xml:space="preserve">시작 종류</t>
  </si>
  <si>
    <t xml:space="preserve">기한 초과</t>
  </si>
  <si>
    <t xml:space="preserve">확인 실패 가지</t>
  </si>
  <si>
    <t xml:space="preserve">기다림</t>
  </si>
  <si>
    <r>
      <rPr>
        <sz val="10"/>
        <rFont val="Arial"/>
        <family val="0"/>
        <charset val="1"/>
      </rPr>
      <t xml:space="preserve">bpmn.io </t>
    </r>
    <r>
      <rPr>
        <sz val="10"/>
        <rFont val="Noto Sans CJK KR"/>
        <family val="2"/>
      </rPr>
      <t xml:space="preserve">타이머 그리기</t>
    </r>
  </si>
  <si>
    <r>
      <rPr>
        <sz val="10"/>
        <rFont val="Noto Sans CJK KR"/>
        <family val="2"/>
      </rPr>
      <t xml:space="preserve">비유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수령 확인</t>
    </r>
  </si>
  <si>
    <t xml:space="preserve">세 가지 확인</t>
  </si>
  <si>
    <t xml:space="preserve">지표</t>
  </si>
  <si>
    <r>
      <rPr>
        <sz val="10"/>
        <rFont val="Noto Sans CJK KR"/>
        <family val="2"/>
      </rPr>
      <t xml:space="preserve">매출표에서 미달 원인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</t>
    </r>
  </si>
  <si>
    <t xml:space="preserve">판본 비유</t>
  </si>
  <si>
    <r>
      <rPr>
        <sz val="10"/>
        <rFont val="Noto Sans CJK KR"/>
        <family val="2"/>
      </rPr>
      <t xml:space="preserve">배포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되돌리기</t>
    </r>
  </si>
  <si>
    <r>
      <rPr>
        <sz val="10"/>
        <rFont val="Noto Sans CJK KR"/>
        <family val="2"/>
      </rPr>
      <t xml:space="preserve">명세 세 줄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종이</t>
    </r>
    <r>
      <rPr>
        <sz val="10"/>
        <rFont val="Arial"/>
        <family val="0"/>
        <charset val="1"/>
      </rPr>
      <t xml:space="preserve">)</t>
    </r>
  </si>
  <si>
    <t xml:space="preserve">우리 사건을 말로 펼치기</t>
  </si>
  <si>
    <r>
      <rPr>
        <sz val="10"/>
        <rFont val="Arial"/>
        <family val="0"/>
        <charset val="1"/>
      </rPr>
      <t xml:space="preserve">bpmn.io</t>
    </r>
    <r>
      <rPr>
        <sz val="10"/>
        <rFont val="Noto Sans CJK KR"/>
        <family val="2"/>
      </rPr>
      <t xml:space="preserve">에 </t>
    </r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그리기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</si>
  <si>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칸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담당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타이머</t>
    </r>
  </si>
  <si>
    <r>
      <rPr>
        <sz val="10"/>
        <rFont val="Noto Sans CJK KR"/>
        <family val="2"/>
      </rPr>
      <t xml:space="preserve">내보내기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가져오기</t>
    </r>
  </si>
  <si>
    <r>
      <rPr>
        <sz val="10"/>
        <rFont val="Noto Sans CJK KR"/>
        <family val="2"/>
      </rPr>
      <t xml:space="preserve">일마다 부품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담당 정하기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</si>
  <si>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에이전트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사람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시스템 일</t>
    </r>
  </si>
  <si>
    <t xml:space="preserve">사전 검사 거절 → 고치기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</si>
  <si>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승인 없이는 실행 못 하게</t>
    </r>
  </si>
  <si>
    <t xml:space="preserve">배포</t>
  </si>
  <si>
    <r>
      <rPr>
        <sz val="10"/>
        <rFont val="Noto Sans CJK KR"/>
        <family val="2"/>
      </rPr>
      <t xml:space="preserve">여유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그리기 막힌 학생</t>
    </r>
  </si>
  <si>
    <r>
      <rPr>
        <sz val="10"/>
        <rFont val="Noto Sans CJK KR"/>
        <family val="2"/>
      </rPr>
      <t xml:space="preserve">사건 일으키기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경보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</si>
  <si>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일꾼 진행 보기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</si>
  <si>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한 건 </t>
    </r>
    <r>
      <rPr>
        <sz val="10"/>
        <rFont val="Arial"/>
        <family val="0"/>
        <charset val="1"/>
      </rPr>
      <t xml:space="preserve">= </t>
    </r>
    <r>
      <rPr>
        <sz val="10"/>
        <rFont val="Noto Sans CJK KR"/>
        <family val="2"/>
      </rPr>
      <t xml:space="preserve">처리 건</t>
    </r>
  </si>
  <si>
    <t xml:space="preserve">내 작업함에서 승인</t>
  </si>
  <si>
    <r>
      <rPr>
        <sz val="10"/>
        <rFont val="Noto Sans CJK KR"/>
        <family val="2"/>
      </rPr>
      <t xml:space="preserve">명령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재관측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</si>
  <si>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효과 확인</t>
    </r>
  </si>
  <si>
    <r>
      <rPr>
        <sz val="10"/>
        <rFont val="Noto Sans CJK KR"/>
        <family val="2"/>
      </rPr>
      <t xml:space="preserve">작업지시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알림 메일</t>
    </r>
  </si>
  <si>
    <r>
      <rPr>
        <sz val="10"/>
        <rFont val="Noto Sans CJK KR"/>
        <family val="2"/>
      </rPr>
      <t xml:space="preserve">일을 눌러 받은 값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넘긴 값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</si>
  <si>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바통</t>
    </r>
  </si>
  <si>
    <r>
      <rPr>
        <sz val="10"/>
        <rFont val="Noto Sans CJK KR"/>
        <family val="2"/>
      </rPr>
      <t xml:space="preserve">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되돌리기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</si>
  <si>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그림 복사해 바꾸기</t>
    </r>
  </si>
  <si>
    <r>
      <rPr>
        <sz val="10"/>
        <rFont val="Noto Sans CJK KR"/>
        <family val="2"/>
      </rPr>
      <t xml:space="preserve">매핑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검사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배포</t>
    </r>
  </si>
  <si>
    <r>
      <rPr>
        <sz val="10"/>
        <rFont val="Noto Sans CJK KR"/>
        <family val="2"/>
      </rPr>
      <t xml:space="preserve">조기 경보 </t>
    </r>
    <r>
      <rPr>
        <sz val="10"/>
        <rFont val="Arial"/>
        <family val="0"/>
        <charset val="1"/>
      </rPr>
      <t xml:space="preserve">· AI </t>
    </r>
    <r>
      <rPr>
        <sz val="10"/>
        <rFont val="Noto Sans CJK KR"/>
        <family val="2"/>
      </rPr>
      <t xml:space="preserve">일꾼 대기</t>
    </r>
  </si>
  <si>
    <t xml:space="preserve">승인</t>
  </si>
  <si>
    <r>
      <rPr>
        <sz val="10"/>
        <rFont val="Noto Sans CJK KR"/>
        <family val="2"/>
      </rPr>
      <t xml:space="preserve">예약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공지 메일</t>
    </r>
  </si>
  <si>
    <t xml:space="preserve">정비창 대기</t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</si>
  <si>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기다림과 닫힘 조건</t>
    </r>
  </si>
  <si>
    <r>
      <rPr>
        <sz val="10"/>
        <rFont val="Noto Sans CJK KR"/>
        <family val="2"/>
      </rPr>
      <t xml:space="preserve">교체 모사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효율 재관측</t>
    </r>
  </si>
  <si>
    <t xml:space="preserve">결과</t>
  </si>
  <si>
    <r>
      <rPr>
        <sz val="10"/>
        <rFont val="Noto Sans CJK KR"/>
        <family val="2"/>
      </rPr>
      <t xml:space="preserve">그리기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갈림길 </t>
    </r>
    <r>
      <rPr>
        <sz val="10"/>
        <rFont val="Arial"/>
        <family val="0"/>
        <charset val="1"/>
      </rPr>
      <t xml:space="preserve">2)</t>
    </r>
  </si>
  <si>
    <r>
      <rPr>
        <sz val="10"/>
        <rFont val="Noto Sans CJK KR"/>
        <family val="2"/>
      </rPr>
      <t xml:space="preserve">재고 경보 </t>
    </r>
    <r>
      <rPr>
        <sz val="10"/>
        <rFont val="Arial"/>
        <family val="0"/>
        <charset val="1"/>
      </rPr>
      <t xml:space="preserve">· AI </t>
    </r>
    <r>
      <rPr>
        <sz val="10"/>
        <rFont val="Noto Sans CJK KR"/>
        <family val="2"/>
      </rPr>
      <t xml:space="preserve">일꾼 대기</t>
    </r>
  </si>
  <si>
    <t xml:space="preserve">구매 담당 승인</t>
  </si>
  <si>
    <t xml:space="preserve">발주서 확정</t>
  </si>
  <si>
    <r>
      <rPr>
        <sz val="10"/>
        <rFont val="Noto Sans CJK KR"/>
        <family val="2"/>
      </rPr>
      <t xml:space="preserve">팀장 추가 승인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반려 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</si>
  <si>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KR"/>
        <family val="2"/>
      </rPr>
      <t xml:space="preserve">설명</t>
    </r>
    <r>
      <rPr>
        <sz val="10"/>
        <rFont val="Arial"/>
        <family val="0"/>
        <charset val="1"/>
      </rPr>
      <t xml:space="preserve">: </t>
    </r>
    <r>
      <rPr>
        <sz val="10"/>
        <rFont val="Noto Sans CJK KR"/>
        <family val="2"/>
      </rPr>
      <t xml:space="preserve">금액 전결</t>
    </r>
  </si>
  <si>
    <r>
      <rPr>
        <sz val="10"/>
        <rFont val="Noto Sans CJK KR"/>
        <family val="2"/>
      </rPr>
      <t xml:space="preserve">발주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메일</t>
    </r>
  </si>
  <si>
    <t xml:space="preserve">입고 대기</t>
  </si>
  <si>
    <t xml:space="preserve">세 처리 건 지표 나란히</t>
  </si>
  <si>
    <r>
      <rPr>
        <sz val="10"/>
        <rFont val="Arial"/>
        <family val="0"/>
        <charset val="1"/>
      </rPr>
      <t xml:space="preserve">bpmn.io</t>
    </r>
    <r>
      <rPr>
        <sz val="10"/>
        <rFont val="Noto Sans CJK KR"/>
        <family val="2"/>
      </rPr>
      <t xml:space="preserve">로 열어 그림 확인</t>
    </r>
  </si>
  <si>
    <t xml:space="preserve">만들 것</t>
  </si>
  <si>
    <r>
      <rPr>
        <sz val="10"/>
        <rFont val="Noto Sans CJK KR"/>
        <family val="2"/>
      </rPr>
      <t xml:space="preserve">시연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생성 대기</t>
    </r>
  </si>
  <si>
    <r>
      <rPr>
        <sz val="10"/>
        <rFont val="Noto Sans CJK KR"/>
        <family val="2"/>
      </rPr>
      <t xml:space="preserve">타이머 뒤 상급자 단계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실행 </t>
    </r>
    <r>
      <rPr>
        <sz val="10"/>
        <rFont val="Arial"/>
        <family val="0"/>
        <charset val="1"/>
      </rPr>
      <t xml:space="preserve">0</t>
    </r>
    <r>
      <rPr>
        <sz val="10"/>
        <rFont val="Noto Sans CJK KR"/>
        <family val="2"/>
      </rPr>
      <t xml:space="preserve">회 확인</t>
    </r>
  </si>
  <si>
    <t xml:space="preserve">학생 따라 만들기</t>
  </si>
  <si>
    <r>
      <rPr>
        <sz val="10"/>
        <rFont val="Noto Sans CJK KR"/>
        <family val="2"/>
      </rPr>
      <t xml:space="preserve">실수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KR"/>
        <family val="2"/>
      </rPr>
      <t xml:space="preserve">복구</t>
    </r>
  </si>
  <si>
    <t xml:space="preserve">포털 대조</t>
  </si>
  <si>
    <t xml:space="preserve">명세 먼저 쓰기</t>
  </si>
  <si>
    <r>
      <rPr>
        <sz val="10"/>
        <rFont val="Noto Sans CJK KR"/>
        <family val="2"/>
      </rPr>
      <t xml:space="preserve">제품으로 </t>
    </r>
    <r>
      <rPr>
        <sz val="10"/>
        <rFont val="Arial"/>
        <family val="0"/>
        <charset val="1"/>
      </rPr>
      <t xml:space="preserve">A </t>
    </r>
    <r>
      <rPr>
        <sz val="10"/>
        <rFont val="Noto Sans CJK KR"/>
        <family val="2"/>
      </rPr>
      <t xml:space="preserve">끝까지</t>
    </r>
  </si>
  <si>
    <t xml:space="preserve">내가 만든 것의 자리</t>
  </si>
  <si>
    <t xml:space="preserve">제품에만 있는 것</t>
  </si>
  <si>
    <t xml:space="preserve">질문</t>
  </si>
  <si>
    <t xml:space="preserve">약칭</t>
  </si>
  <si>
    <t xml:space="preserve">출처</t>
  </si>
  <si>
    <t xml:space="preserve">RAISE</t>
  </si>
  <si>
    <r>
      <rPr>
        <sz val="10"/>
        <rFont val="Noto Sans CJK KR"/>
        <family val="2"/>
      </rPr>
      <t xml:space="preserve">경보 발생 </t>
    </r>
    <r>
      <rPr>
        <sz val="10"/>
        <rFont val="Arial"/>
        <family val="0"/>
        <charset val="1"/>
      </rPr>
      <t xml:space="preserve">16~33 s, </t>
    </r>
    <r>
      <rPr>
        <sz val="10"/>
        <rFont val="Noto Sans CJK KR"/>
        <family val="2"/>
      </rPr>
      <t xml:space="preserve">쿨러 </t>
    </r>
    <r>
      <rPr>
        <sz val="10"/>
        <rFont val="Arial"/>
        <family val="0"/>
        <charset val="1"/>
      </rPr>
      <t xml:space="preserve">32.7 s — HANDOFF.md A128(10-07~08)</t>
    </r>
  </si>
  <si>
    <r>
      <rPr>
        <sz val="10"/>
        <rFont val="Noto Sans CJK KR"/>
        <family val="2"/>
      </rPr>
      <t xml:space="preserve">실제 </t>
    </r>
    <r>
      <rPr>
        <sz val="10"/>
        <rFont val="Arial"/>
        <family val="0"/>
        <charset val="1"/>
      </rPr>
      <t xml:space="preserve">AI 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단계 </t>
    </r>
    <r>
      <rPr>
        <sz val="10"/>
        <rFont val="Arial"/>
        <family val="0"/>
        <charset val="1"/>
      </rPr>
      <t xml:space="preserve">3~4</t>
    </r>
    <r>
      <rPr>
        <sz val="10"/>
        <rFont val="Noto Sans CJK KR"/>
        <family val="2"/>
      </rPr>
      <t xml:space="preserve">분 — </t>
    </r>
    <r>
      <rPr>
        <sz val="10"/>
        <rFont val="Arial"/>
        <family val="0"/>
        <charset val="1"/>
      </rPr>
      <t xml:space="preserve">HANDOFF.md A158(.evidence/a158/scenarios/)</t>
    </r>
  </si>
  <si>
    <t xml:space="preserve">CASE</t>
  </si>
  <si>
    <r>
      <rPr>
        <sz val="10"/>
        <rFont val="Noto Sans CJK KR"/>
        <family val="2"/>
      </rPr>
      <t xml:space="preserve">쿨러 처리 건 전체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일꾼 </t>
    </r>
    <r>
      <rPr>
        <sz val="10"/>
        <rFont val="Arial"/>
        <family val="0"/>
        <charset val="1"/>
      </rPr>
      <t xml:space="preserve">4</t>
    </r>
    <r>
      <rPr>
        <sz val="10"/>
        <rFont val="Noto Sans CJK KR"/>
        <family val="2"/>
      </rPr>
      <t xml:space="preserve">작업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승인</t>
    </r>
    <r>
      <rPr>
        <sz val="10"/>
        <rFont val="Arial"/>
        <family val="0"/>
        <charset val="1"/>
      </rPr>
      <t xml:space="preserve">·PLC·</t>
    </r>
    <r>
      <rPr>
        <sz val="10"/>
        <rFont val="Noto Sans CJK KR"/>
        <family val="2"/>
      </rPr>
      <t xml:space="preserve">작업지시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종결</t>
    </r>
    <r>
      <rPr>
        <sz val="10"/>
        <rFont val="Arial"/>
        <family val="0"/>
        <charset val="1"/>
      </rPr>
      <t xml:space="preserve">) 4</t>
    </r>
    <r>
      <rPr>
        <sz val="10"/>
        <rFont val="Noto Sans CJK KR"/>
        <family val="2"/>
      </rPr>
      <t xml:space="preserve">분 </t>
    </r>
    <r>
      <rPr>
        <sz val="10"/>
        <rFont val="Arial"/>
        <family val="0"/>
        <charset val="1"/>
      </rPr>
      <t xml:space="preserve">55</t>
    </r>
    <r>
      <rPr>
        <sz val="10"/>
        <rFont val="Noto Sans CJK KR"/>
        <family val="2"/>
      </rPr>
      <t xml:space="preserve">초 — </t>
    </r>
    <r>
      <rPr>
        <sz val="10"/>
        <rFont val="Arial"/>
        <family val="0"/>
        <charset val="1"/>
      </rPr>
      <t xml:space="preserve">HANDOFF.md A154 0.4(.evidence/cloud0/)</t>
    </r>
  </si>
  <si>
    <t xml:space="preserve">EXT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</si>
  <si>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쪽 문서 추출 </t>
    </r>
    <r>
      <rPr>
        <sz val="10"/>
        <rFont val="Arial"/>
        <family val="0"/>
        <charset val="1"/>
      </rPr>
      <t xml:space="preserve">Claude Code 127~158 s — HANDOFF.md A098, MANUAL_INGESTION.md:14(A128, .evidence/sessions/09/live/)</t>
    </r>
  </si>
  <si>
    <r>
      <rPr>
        <sz val="10"/>
        <rFont val="Noto Sans CJK KR"/>
        <family val="2"/>
      </rPr>
      <t xml:space="preserve">꼭 답할 질문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개 일꾼 답 </t>
    </r>
    <r>
      <rPr>
        <sz val="10"/>
        <rFont val="Arial"/>
        <family val="0"/>
        <charset val="1"/>
      </rPr>
      <t xml:space="preserve">45 s — HANDOFF.md A118</t>
    </r>
  </si>
  <si>
    <t xml:space="preserve">LONG</t>
  </si>
  <si>
    <r>
      <rPr>
        <sz val="10"/>
        <rFont val="Arial"/>
        <family val="0"/>
        <charset val="1"/>
      </rPr>
      <t xml:space="preserve">80</t>
    </r>
    <r>
      <rPr>
        <sz val="10"/>
        <rFont val="Noto Sans CJK KR"/>
        <family val="2"/>
      </rPr>
      <t xml:space="preserve">쪽 실물 매뉴얼 </t>
    </r>
    <r>
      <rPr>
        <sz val="10"/>
        <rFont val="Arial"/>
        <family val="0"/>
        <charset val="1"/>
      </rPr>
      <t xml:space="preserve">612 s·</t>
    </r>
    <r>
      <rPr>
        <sz val="10"/>
        <rFont val="Noto Sans CJK KR"/>
        <family val="2"/>
      </rPr>
      <t xml:space="preserve">구간 </t>
    </r>
    <r>
      <rPr>
        <sz val="10"/>
        <rFont val="Arial"/>
        <family val="0"/>
        <charset val="1"/>
      </rPr>
      <t xml:space="preserve">2 — MANUAL_INGESTION.md:13·54(A119)</t>
    </r>
  </si>
  <si>
    <t xml:space="preserve">MCP</t>
  </si>
  <si>
    <r>
      <rPr>
        <sz val="10"/>
        <rFont val="Arial"/>
        <family val="0"/>
        <charset val="1"/>
      </rPr>
      <t xml:space="preserve">MCP </t>
    </r>
    <r>
      <rPr>
        <sz val="10"/>
        <rFont val="Noto Sans CJK KR"/>
        <family val="2"/>
      </rPr>
      <t xml:space="preserve">서버 시작</t>
    </r>
    <r>
      <rPr>
        <sz val="10"/>
        <rFont val="Arial"/>
        <family val="0"/>
        <charset val="1"/>
      </rPr>
      <t xml:space="preserve">(stdio initialize) 17.18 s — HANDOFF.md A032(a032-neo4j-stdio.json)</t>
    </r>
  </si>
  <si>
    <t xml:space="preserve">OIL</t>
  </si>
  <si>
    <r>
      <rPr>
        <sz val="10"/>
        <rFont val="Noto Sans CJK KR"/>
        <family val="2"/>
      </rPr>
      <t xml:space="preserve">사람 입력 근거 진단 </t>
    </r>
    <r>
      <rPr>
        <sz val="10"/>
        <rFont val="Arial"/>
        <family val="0"/>
        <charset val="1"/>
      </rPr>
      <t xml:space="preserve">1</t>
    </r>
    <r>
      <rPr>
        <sz val="10"/>
        <rFont val="Noto Sans CJK KR"/>
        <family val="2"/>
      </rPr>
      <t xml:space="preserve">단계 </t>
    </r>
    <r>
      <rPr>
        <sz val="10"/>
        <rFont val="Arial"/>
        <family val="0"/>
        <charset val="1"/>
      </rPr>
      <t xml:space="preserve">49 s — HANDOFF.md B7 </t>
    </r>
    <r>
      <rPr>
        <sz val="10"/>
        <rFont val="Noto Sans CJK KR"/>
        <family val="2"/>
      </rPr>
      <t xml:space="preserve">라이브</t>
    </r>
    <r>
      <rPr>
        <sz val="10"/>
        <rFont val="Arial"/>
        <family val="0"/>
        <charset val="1"/>
      </rPr>
      <t xml:space="preserve">(A160 </t>
    </r>
    <r>
      <rPr>
        <sz val="10"/>
        <rFont val="Noto Sans CJK KR"/>
        <family val="2"/>
      </rPr>
      <t xml:space="preserve">앞</t>
    </r>
    <r>
      <rPr>
        <sz val="10"/>
        <rFont val="Arial"/>
        <family val="0"/>
        <charset val="1"/>
      </rPr>
      <t xml:space="preserve">)</t>
    </r>
  </si>
  <si>
    <t xml:space="preserve">REOBS</t>
  </si>
  <si>
    <r>
      <rPr>
        <sz val="10"/>
        <rFont val="Noto Sans CJK KR"/>
        <family val="2"/>
      </rPr>
      <t xml:space="preserve">재관측 </t>
    </r>
    <r>
      <rPr>
        <sz val="10"/>
        <rFont val="Arial"/>
        <family val="0"/>
        <charset val="1"/>
      </rPr>
      <t xml:space="preserve">15</t>
    </r>
    <r>
      <rPr>
        <sz val="10"/>
        <rFont val="Noto Sans CJK KR"/>
        <family val="2"/>
      </rPr>
      <t xml:space="preserve">분 </t>
    </r>
    <r>
      <rPr>
        <sz val="10"/>
        <rFont val="Arial"/>
        <family val="0"/>
        <charset val="1"/>
      </rPr>
      <t xml:space="preserve">÷ </t>
    </r>
    <r>
      <rPr>
        <sz val="10"/>
        <rFont val="Noto Sans CJK KR"/>
        <family val="2"/>
      </rPr>
      <t xml:space="preserve">배속 </t>
    </r>
    <r>
      <rPr>
        <sz val="10"/>
        <rFont val="Arial"/>
        <family val="0"/>
        <charset val="1"/>
      </rPr>
      <t xml:space="preserve">20 = 45 s — CLAUDE.md §3, scenario-research.md §9</t>
    </r>
  </si>
  <si>
    <t xml:space="preserve">WAITB</t>
  </si>
  <si>
    <r>
      <rPr>
        <sz val="10"/>
        <rFont val="Noto Sans CJK KR"/>
        <family val="2"/>
      </rPr>
      <t xml:space="preserve">정비창</t>
    </r>
    <r>
      <rPr>
        <sz val="10"/>
        <rFont val="Arial"/>
        <family val="0"/>
        <charset val="1"/>
      </rPr>
      <t xml:space="preserve">·</t>
    </r>
    <r>
      <rPr>
        <sz val="10"/>
        <rFont val="Noto Sans CJK KR"/>
        <family val="2"/>
      </rPr>
      <t xml:space="preserve">입고 대기</t>
    </r>
    <r>
      <rPr>
        <sz val="10"/>
        <rFont val="Arial"/>
        <family val="0"/>
        <charset val="1"/>
      </rPr>
      <t xml:space="preserve">: 20</t>
    </r>
    <r>
      <rPr>
        <sz val="10"/>
        <rFont val="Noto Sans CJK KR"/>
        <family val="2"/>
      </rPr>
      <t xml:space="preserve">배속에서도 정비창 </t>
    </r>
    <r>
      <rPr>
        <sz val="10"/>
        <rFont val="Arial"/>
        <family val="0"/>
        <charset val="1"/>
      </rPr>
      <t xml:space="preserve">2 h → 6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리드타임 </t>
    </r>
    <r>
      <rPr>
        <sz val="10"/>
        <rFont val="Arial"/>
        <family val="0"/>
        <charset val="1"/>
      </rPr>
      <t xml:space="preserve">2</t>
    </r>
    <r>
      <rPr>
        <sz val="10"/>
        <rFont val="Noto Sans CJK KR"/>
        <family val="2"/>
      </rPr>
      <t xml:space="preserve">일 → </t>
    </r>
    <r>
      <rPr>
        <sz val="10"/>
        <rFont val="Arial"/>
        <family val="0"/>
        <charset val="1"/>
      </rPr>
      <t xml:space="preserve">2.4 h — scenario-research.md §9. </t>
    </r>
    <r>
      <rPr>
        <sz val="10"/>
        <rFont val="Noto Sans CJK KR"/>
        <family val="2"/>
      </rPr>
      <t xml:space="preserve">수업 압축 </t>
    </r>
    <r>
      <rPr>
        <sz val="10"/>
        <rFont val="Arial"/>
        <family val="0"/>
        <charset val="1"/>
      </rPr>
      <t xml:space="preserve">3</t>
    </r>
    <r>
      <rPr>
        <sz val="10"/>
        <rFont val="Noto Sans CJK KR"/>
        <family val="2"/>
      </rPr>
      <t xml:space="preserve">분 가정</t>
    </r>
    <r>
      <rPr>
        <sz val="10"/>
        <rFont val="Arial"/>
        <family val="0"/>
        <charset val="1"/>
      </rPr>
      <t xml:space="preserve">(</t>
    </r>
    <r>
      <rPr>
        <sz val="10"/>
        <rFont val="Noto Sans CJK KR"/>
        <family val="2"/>
      </rPr>
      <t xml:space="preserve">결정 </t>
    </r>
    <r>
      <rPr>
        <sz val="10"/>
        <rFont val="Arial"/>
        <family val="0"/>
        <charset val="1"/>
      </rPr>
      <t xml:space="preserve">4 </t>
    </r>
    <r>
      <rPr>
        <sz val="10"/>
        <rFont val="Noto Sans CJK KR"/>
        <family val="2"/>
      </rPr>
      <t xml:space="preserve">미정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</si>
  <si>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Claude Code </t>
    </r>
    <r>
      <rPr>
        <sz val="10"/>
        <rFont val="Noto Sans CJK KR"/>
        <family val="2"/>
      </rPr>
      <t xml:space="preserve">작은 생성 </t>
    </r>
    <r>
      <rPr>
        <sz val="10"/>
        <rFont val="Arial"/>
        <family val="0"/>
        <charset val="1"/>
      </rPr>
      <t xml:space="preserve">1~3</t>
    </r>
    <r>
      <rPr>
        <sz val="10"/>
        <rFont val="Noto Sans CJK KR"/>
        <family val="2"/>
      </rPr>
      <t xml:space="preserve">분</t>
    </r>
    <r>
      <rPr>
        <sz val="10"/>
        <rFont val="Arial"/>
        <family val="0"/>
        <charset val="1"/>
      </rPr>
      <t xml:space="preserve">/</t>
    </r>
    <r>
      <rPr>
        <sz val="10"/>
        <rFont val="Noto Sans CJK KR"/>
        <family val="2"/>
      </rPr>
      <t xml:space="preserve">지시 — 실측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KR"/>
        <family val="2"/>
      </rPr>
      <t xml:space="preserve">가까운 근거</t>
    </r>
    <r>
      <rPr>
        <sz val="10"/>
        <rFont val="Arial"/>
        <family val="0"/>
        <charset val="1"/>
      </rPr>
      <t xml:space="preserve">: 1</t>
    </r>
    <r>
      <rPr>
        <sz val="10"/>
        <rFont val="Noto Sans CJK KR"/>
        <family val="2"/>
      </rPr>
      <t xml:space="preserve">쪽 추출 </t>
    </r>
    <r>
      <rPr>
        <sz val="10"/>
        <rFont val="Arial"/>
        <family val="0"/>
        <charset val="1"/>
      </rPr>
      <t xml:space="preserve">127~158 s(A098·A128), </t>
    </r>
    <r>
      <rPr>
        <sz val="10"/>
        <rFont val="Noto Sans CJK KR"/>
        <family val="2"/>
      </rPr>
      <t xml:space="preserve">질문 답 </t>
    </r>
    <r>
      <rPr>
        <sz val="10"/>
        <rFont val="Arial"/>
        <family val="0"/>
        <charset val="1"/>
      </rPr>
      <t xml:space="preserve">45 s(A118)</t>
    </r>
  </si>
  <si>
    <t xml:space="preserve">BOOT</t>
  </si>
  <si>
    <r>
      <rPr>
        <sz val="10"/>
        <rFont val="Noto Sans CJK KR"/>
        <family val="2"/>
      </rPr>
      <t xml:space="preserve">스택 기동 </t>
    </r>
    <r>
      <rPr>
        <sz val="10"/>
        <rFont val="Arial"/>
        <family val="0"/>
        <charset val="1"/>
      </rPr>
      <t xml:space="preserve">268 s — HANDOFF.md A148(</t>
    </r>
    <r>
      <rPr>
        <sz val="10"/>
        <rFont val="Noto Sans CJK KR"/>
        <family val="2"/>
      </rPr>
      <t xml:space="preserve">학생은 미리 켜 둔 상태로 시작</t>
    </r>
    <r>
      <rPr>
        <sz val="10"/>
        <rFont val="Arial"/>
        <family val="0"/>
        <charset val="1"/>
      </rPr>
      <t xml:space="preserve">, </t>
    </r>
    <r>
      <rPr>
        <sz val="10"/>
        <rFont val="Noto Sans CJK KR"/>
        <family val="2"/>
      </rPr>
      <t xml:space="preserve">수업 시간에 안 넣음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</si>
</sst>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KR"/>
      <family val="2"/>
    </font>
    <font>
      <b val="true"/>
      <sz val="14"/>
      <name val="Arial"/>
      <family val="0"/>
      <charset val="1"/>
    </font>
    <font>
      <sz val="10"/>
      <name val="Noto Sans CJK KR"/>
      <family val="2"/>
    </font>
    <font>
      <sz val="10"/>
      <name val="Arial"/>
      <family val="0"/>
      <charset val="1"/>
    </font>
    <font>
      <b val="true"/>
      <sz val="10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theme="1"/>
      <name val="Arial"/>
      <family val="0"/>
      <charset val="1"/>
    </font>
    <font>
      <sz val="10"/>
      <color theme="1"/>
      <name val="Noto Sans CJK KR"/>
      <family val="2"/>
    </font>
  </fonts>
  <fills count="7">
    <fill>
      <patternFill patternType="none"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F2F2F2"/>
        <bgColor rgb="FFEAF2FB"/>
      </patternFill>
    </fill>
    <fill>
      <patternFill patternType="solid">
        <fgColor rgb="FFEAF2FB"/>
        <bgColor rgb="FFF2F2F2"/>
      </patternFill>
    </fill>
    <fill>
      <patternFill patternType="solid">
        <fgColor rgb="FFEAF7EE"/>
        <bgColor rgb="FFEAF2FB"/>
      </patternFill>
    </fill>
    <fill>
      <patternFill patternType="solid">
        <fgColor rgb="FFFFF4E5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4858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EAF7E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AF7E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B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18.2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8.19"/>
    <col collapsed="false" customWidth="true" hidden="false" outlineLevel="0" max="4" min="3" style="0" width="6.37"/>
    <col collapsed="false" customWidth="true" hidden="false" outlineLevel="0" max="5" min="5" style="0" width="38.21"/>
    <col collapsed="false" customWidth="true" hidden="false" outlineLevel="0" max="6" min="6" style="0" width="63.69"/>
    <col collapsed="false" customWidth="true" hidden="false" outlineLevel="0" max="7" min="7" style="0" width="14.56"/>
    <col collapsed="false" customWidth="true" hidden="false" outlineLevel="0" max="11" min="8" style="0" width="9.1"/>
    <col collapsed="false" customWidth="true" hidden="false" outlineLevel="0" max="12" min="12" style="0" width="23.66"/>
    <col collapsed="false" customWidth="true" hidden="false" outlineLevel="0" max="13" min="13" style="0" width="20.01"/>
  </cols>
  <sheetData>
    <row r="1" customFormat="false" ht="29.85" hidden="false" customHeight="false" outlineLevel="0" collapsed="false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4" t="s">
        <v>26</v>
      </c>
    </row>
    <row r="2" customFormat="false" ht="29.85" hidden="false" customHeight="false" outlineLevel="0" collapsed="false">
      <c r="A2" s="6" t="n">
        <v>1</v>
      </c>
      <c r="B2" s="7" t="s">
        <v>27</v>
      </c>
      <c r="C2" s="7" t="s">
        <v>27</v>
      </c>
      <c r="D2" s="6" t="s">
        <v>28</v>
      </c>
      <c r="E2" s="8" t="s">
        <v>29</v>
      </c>
      <c r="F2" s="8" t="s">
        <v>30</v>
      </c>
      <c r="G2" s="8"/>
      <c r="H2" s="9" t="n">
        <f aca="false">SUMIF('시간 근거'!$A$2:$A$546,D2,'시간 근거'!$E$2:$E$546)</f>
        <v>30</v>
      </c>
      <c r="I2" s="9" t="n">
        <f aca="false">SUMIF('시간 근거'!$A$2:$A$546,D2,'시간 근거'!$F$2:$F$546)</f>
        <v>40</v>
      </c>
      <c r="J2" s="10" t="n">
        <v>25</v>
      </c>
      <c r="K2" s="10" t="n">
        <v>35</v>
      </c>
      <c r="L2" s="8" t="s">
        <v>31</v>
      </c>
      <c r="M2" s="8"/>
    </row>
    <row r="3" customFormat="false" ht="44" hidden="false" customHeight="false" outlineLevel="0" collapsed="false">
      <c r="A3" s="7" t="n">
        <v>2</v>
      </c>
      <c r="B3" s="7" t="s">
        <v>27</v>
      </c>
      <c r="C3" s="7" t="s">
        <v>27</v>
      </c>
      <c r="D3" s="6" t="s">
        <v>32</v>
      </c>
      <c r="E3" s="8" t="s">
        <v>33</v>
      </c>
      <c r="F3" s="8" t="s">
        <v>34</v>
      </c>
      <c r="G3" s="8"/>
      <c r="H3" s="9" t="n">
        <f aca="false">SUMIF('시간 근거'!$A$2:$A$546,D3,'시간 근거'!$E$2:$E$546)</f>
        <v>30</v>
      </c>
      <c r="I3" s="9" t="n">
        <f aca="false">SUMIF('시간 근거'!$A$2:$A$546,D3,'시간 근거'!$F$2:$F$546)</f>
        <v>30</v>
      </c>
      <c r="J3" s="10" t="n">
        <v>25</v>
      </c>
      <c r="K3" s="10" t="n">
        <v>25</v>
      </c>
      <c r="L3" s="8" t="s">
        <v>35</v>
      </c>
      <c r="M3" s="8"/>
    </row>
    <row r="4" customFormat="false" ht="29.85" hidden="false" customHeight="false" outlineLevel="0" collapsed="false">
      <c r="A4" s="7" t="n">
        <v>3</v>
      </c>
      <c r="B4" s="7" t="s">
        <v>27</v>
      </c>
      <c r="C4" s="7" t="s">
        <v>27</v>
      </c>
      <c r="D4" s="6" t="s">
        <v>36</v>
      </c>
      <c r="E4" s="8" t="s">
        <v>37</v>
      </c>
      <c r="F4" s="8" t="s">
        <v>38</v>
      </c>
      <c r="G4" s="8"/>
      <c r="H4" s="9" t="n">
        <f aca="false">SUMIF('시간 근거'!$A$2:$A$546,D4,'시간 근거'!$E$2:$E$546)</f>
        <v>30</v>
      </c>
      <c r="I4" s="9" t="n">
        <f aca="false">SUMIF('시간 근거'!$A$2:$A$546,D4,'시간 근거'!$F$2:$F$546)</f>
        <v>25</v>
      </c>
      <c r="J4" s="10" t="n">
        <v>25</v>
      </c>
      <c r="K4" s="10" t="n">
        <v>25</v>
      </c>
      <c r="L4" s="8" t="s">
        <v>39</v>
      </c>
      <c r="M4" s="8"/>
    </row>
    <row r="5" customFormat="false" ht="29.85" hidden="false" customHeight="false" outlineLevel="0" collapsed="false">
      <c r="A5" s="7" t="n">
        <v>4</v>
      </c>
      <c r="B5" s="7" t="s">
        <v>27</v>
      </c>
      <c r="C5" s="7" t="s">
        <v>27</v>
      </c>
      <c r="D5" s="6" t="s">
        <v>40</v>
      </c>
      <c r="E5" s="8" t="s">
        <v>41</v>
      </c>
      <c r="F5" s="8" t="s">
        <v>42</v>
      </c>
      <c r="G5" s="8"/>
      <c r="H5" s="9" t="n">
        <f aca="false">SUMIF('시간 근거'!$A$2:$A$546,D5,'시간 근거'!$E$2:$E$546)</f>
        <v>30</v>
      </c>
      <c r="I5" s="9" t="n">
        <f aca="false">SUMIF('시간 근거'!$A$2:$A$546,D5,'시간 근거'!$F$2:$F$546)</f>
        <v>30</v>
      </c>
      <c r="J5" s="10" t="n">
        <v>25</v>
      </c>
      <c r="K5" s="10" t="n">
        <v>25</v>
      </c>
      <c r="L5" s="8" t="s">
        <v>43</v>
      </c>
      <c r="M5" s="8"/>
    </row>
    <row r="6" customFormat="false" ht="29.85" hidden="false" customHeight="false" outlineLevel="0" collapsed="false">
      <c r="A6" s="7" t="n">
        <v>5</v>
      </c>
      <c r="B6" s="7" t="s">
        <v>27</v>
      </c>
      <c r="C6" s="7" t="s">
        <v>27</v>
      </c>
      <c r="D6" s="6" t="s">
        <v>44</v>
      </c>
      <c r="E6" s="8" t="s">
        <v>45</v>
      </c>
      <c r="F6" s="8" t="s">
        <v>46</v>
      </c>
      <c r="G6" s="8"/>
      <c r="H6" s="9" t="n">
        <f aca="false">SUMIF('시간 근거'!$A$2:$A$546,D6,'시간 근거'!$E$2:$E$546)</f>
        <v>30</v>
      </c>
      <c r="I6" s="9" t="n">
        <f aca="false">SUMIF('시간 근거'!$A$2:$A$546,D6,'시간 근거'!$F$2:$F$546)</f>
        <v>35</v>
      </c>
      <c r="J6" s="10" t="n">
        <v>25</v>
      </c>
      <c r="K6" s="10" t="n">
        <v>30</v>
      </c>
      <c r="L6" s="8" t="s">
        <v>47</v>
      </c>
      <c r="M6" s="11" t="s">
        <v>48</v>
      </c>
    </row>
    <row r="7" customFormat="false" ht="44" hidden="false" customHeight="false" outlineLevel="0" collapsed="false">
      <c r="A7" s="12" t="n">
        <v>6</v>
      </c>
      <c r="B7" s="13" t="s">
        <v>49</v>
      </c>
      <c r="C7" s="13" t="s">
        <v>50</v>
      </c>
      <c r="D7" s="12" t="s">
        <v>51</v>
      </c>
      <c r="E7" s="11" t="s">
        <v>52</v>
      </c>
      <c r="F7" s="8" t="s">
        <v>53</v>
      </c>
      <c r="G7" s="11" t="s">
        <v>54</v>
      </c>
      <c r="H7" s="9" t="n">
        <f aca="false">SUMIF('시간 근거'!$A$2:$A$546,D7,'시간 근거'!$E$2:$E$546)</f>
        <v>30</v>
      </c>
      <c r="I7" s="9" t="n">
        <f aca="false">SUMIF('시간 근거'!$A$2:$A$546,D7,'시간 근거'!$F$2:$F$546)</f>
        <v>30</v>
      </c>
      <c r="J7" s="10" t="n">
        <v>25</v>
      </c>
      <c r="K7" s="10" t="n">
        <v>25</v>
      </c>
      <c r="L7" s="8" t="s">
        <v>55</v>
      </c>
      <c r="M7" s="8"/>
    </row>
    <row r="8" customFormat="false" ht="29.85" hidden="false" customHeight="false" outlineLevel="0" collapsed="false">
      <c r="A8" s="13" t="n">
        <v>7</v>
      </c>
      <c r="B8" s="13" t="s">
        <v>49</v>
      </c>
      <c r="C8" s="13" t="s">
        <v>50</v>
      </c>
      <c r="D8" s="12" t="s">
        <v>56</v>
      </c>
      <c r="E8" s="8" t="s">
        <v>57</v>
      </c>
      <c r="F8" s="8" t="s">
        <v>58</v>
      </c>
      <c r="G8" s="11" t="s">
        <v>59</v>
      </c>
      <c r="H8" s="9" t="n">
        <f aca="false">SUMIF('시간 근거'!$A$2:$A$546,D8,'시간 근거'!$E$2:$E$546)</f>
        <v>30</v>
      </c>
      <c r="I8" s="9" t="n">
        <f aca="false">SUMIF('시간 근거'!$A$2:$A$546,D8,'시간 근거'!$F$2:$F$546)</f>
        <v>30</v>
      </c>
      <c r="J8" s="10" t="n">
        <v>25</v>
      </c>
      <c r="K8" s="10" t="n">
        <v>25</v>
      </c>
      <c r="L8" s="8" t="s">
        <v>60</v>
      </c>
      <c r="M8" s="8"/>
    </row>
    <row r="9" customFormat="false" ht="29.85" hidden="false" customHeight="false" outlineLevel="0" collapsed="false">
      <c r="A9" s="13" t="n">
        <v>8</v>
      </c>
      <c r="B9" s="13" t="s">
        <v>49</v>
      </c>
      <c r="C9" s="13" t="s">
        <v>50</v>
      </c>
      <c r="D9" s="12" t="s">
        <v>61</v>
      </c>
      <c r="E9" s="8" t="s">
        <v>62</v>
      </c>
      <c r="F9" s="8" t="s">
        <v>63</v>
      </c>
      <c r="G9" s="11" t="s">
        <v>64</v>
      </c>
      <c r="H9" s="9" t="n">
        <f aca="false">SUMIF('시간 근거'!$A$2:$A$546,D9,'시간 근거'!$E$2:$E$546)</f>
        <v>30</v>
      </c>
      <c r="I9" s="9" t="n">
        <f aca="false">SUMIF('시간 근거'!$A$2:$A$546,D9,'시간 근거'!$F$2:$F$546)</f>
        <v>30</v>
      </c>
      <c r="J9" s="10" t="n">
        <v>25</v>
      </c>
      <c r="K9" s="10" t="n">
        <v>25</v>
      </c>
      <c r="L9" s="8" t="s">
        <v>65</v>
      </c>
      <c r="M9" s="8"/>
    </row>
    <row r="10" customFormat="false" ht="44" hidden="false" customHeight="false" outlineLevel="0" collapsed="false">
      <c r="A10" s="13" t="n">
        <v>9</v>
      </c>
      <c r="B10" s="13" t="s">
        <v>49</v>
      </c>
      <c r="C10" s="13" t="s">
        <v>50</v>
      </c>
      <c r="D10" s="12" t="s">
        <v>66</v>
      </c>
      <c r="E10" s="8" t="s">
        <v>67</v>
      </c>
      <c r="F10" s="8" t="s">
        <v>68</v>
      </c>
      <c r="G10" s="11" t="s">
        <v>69</v>
      </c>
      <c r="H10" s="9" t="n">
        <f aca="false">SUMIF('시간 근거'!$A$2:$A$546,D10,'시간 근거'!$E$2:$E$546)</f>
        <v>30</v>
      </c>
      <c r="I10" s="9" t="n">
        <f aca="false">SUMIF('시간 근거'!$A$2:$A$546,D10,'시간 근거'!$F$2:$F$546)</f>
        <v>50</v>
      </c>
      <c r="J10" s="10" t="n">
        <v>25</v>
      </c>
      <c r="K10" s="10" t="n">
        <v>40</v>
      </c>
      <c r="L10" s="11" t="s">
        <v>70</v>
      </c>
      <c r="M10" s="8"/>
    </row>
    <row r="11" customFormat="false" ht="29.85" hidden="false" customHeight="false" outlineLevel="0" collapsed="false">
      <c r="A11" s="13" t="n">
        <v>10</v>
      </c>
      <c r="B11" s="13" t="s">
        <v>49</v>
      </c>
      <c r="C11" s="13" t="s">
        <v>50</v>
      </c>
      <c r="D11" s="12" t="s">
        <v>71</v>
      </c>
      <c r="E11" s="8" t="s">
        <v>72</v>
      </c>
      <c r="F11" s="8" t="s">
        <v>73</v>
      </c>
      <c r="G11" s="11" t="s">
        <v>74</v>
      </c>
      <c r="H11" s="9" t="n">
        <f aca="false">SUMIF('시간 근거'!$A$2:$A$546,D11,'시간 근거'!$E$2:$E$546)</f>
        <v>30</v>
      </c>
      <c r="I11" s="9" t="n">
        <f aca="false">SUMIF('시간 근거'!$A$2:$A$546,D11,'시간 근거'!$F$2:$F$546)</f>
        <v>35</v>
      </c>
      <c r="J11" s="10" t="n">
        <v>20</v>
      </c>
      <c r="K11" s="10" t="n">
        <v>30</v>
      </c>
      <c r="L11" s="8" t="s">
        <v>75</v>
      </c>
      <c r="M11" s="8"/>
    </row>
    <row r="12" customFormat="false" ht="44" hidden="false" customHeight="false" outlineLevel="0" collapsed="false">
      <c r="A12" s="13" t="n">
        <v>11</v>
      </c>
      <c r="B12" s="13" t="s">
        <v>49</v>
      </c>
      <c r="C12" s="13" t="s">
        <v>50</v>
      </c>
      <c r="D12" s="12" t="s">
        <v>76</v>
      </c>
      <c r="E12" s="8" t="s">
        <v>77</v>
      </c>
      <c r="F12" s="8" t="s">
        <v>78</v>
      </c>
      <c r="G12" s="11" t="s">
        <v>79</v>
      </c>
      <c r="H12" s="9" t="n">
        <f aca="false">SUMIF('시간 근거'!$A$2:$A$546,D12,'시간 근거'!$E$2:$E$546)</f>
        <v>30</v>
      </c>
      <c r="I12" s="9" t="n">
        <f aca="false">SUMIF('시간 근거'!$A$2:$A$546,D12,'시간 근거'!$F$2:$F$546)</f>
        <v>40</v>
      </c>
      <c r="J12" s="10" t="n">
        <v>25</v>
      </c>
      <c r="K12" s="10" t="n">
        <v>35</v>
      </c>
      <c r="L12" s="8" t="s">
        <v>80</v>
      </c>
      <c r="M12" s="8"/>
    </row>
    <row r="13" customFormat="false" ht="29.85" hidden="false" customHeight="false" outlineLevel="0" collapsed="false">
      <c r="A13" s="13" t="n">
        <v>12</v>
      </c>
      <c r="B13" s="13" t="s">
        <v>49</v>
      </c>
      <c r="C13" s="13" t="s">
        <v>50</v>
      </c>
      <c r="D13" s="12" t="s">
        <v>81</v>
      </c>
      <c r="E13" s="8" t="s">
        <v>82</v>
      </c>
      <c r="F13" s="8" t="s">
        <v>83</v>
      </c>
      <c r="G13" s="11" t="s">
        <v>84</v>
      </c>
      <c r="H13" s="9" t="n">
        <f aca="false">SUMIF('시간 근거'!$A$2:$A$546,D13,'시간 근거'!$E$2:$E$546)</f>
        <v>30</v>
      </c>
      <c r="I13" s="9" t="n">
        <f aca="false">SUMIF('시간 근거'!$A$2:$A$546,D13,'시간 근거'!$F$2:$F$546)</f>
        <v>45</v>
      </c>
      <c r="J13" s="10" t="n">
        <v>25</v>
      </c>
      <c r="K13" s="10" t="n">
        <v>40</v>
      </c>
      <c r="L13" s="8" t="s">
        <v>85</v>
      </c>
      <c r="M13" s="8"/>
    </row>
    <row r="14" customFormat="false" ht="44" hidden="false" customHeight="false" outlineLevel="0" collapsed="false">
      <c r="A14" s="13" t="n">
        <v>13</v>
      </c>
      <c r="B14" s="13" t="s">
        <v>49</v>
      </c>
      <c r="C14" s="13" t="s">
        <v>50</v>
      </c>
      <c r="D14" s="12" t="s">
        <v>86</v>
      </c>
      <c r="E14" s="8" t="s">
        <v>87</v>
      </c>
      <c r="F14" s="8" t="s">
        <v>88</v>
      </c>
      <c r="G14" s="11" t="s">
        <v>89</v>
      </c>
      <c r="H14" s="9" t="n">
        <f aca="false">SUMIF('시간 근거'!$A$2:$A$546,D14,'시간 근거'!$E$2:$E$546)</f>
        <v>30</v>
      </c>
      <c r="I14" s="9" t="n">
        <f aca="false">SUMIF('시간 근거'!$A$2:$A$546,D14,'시간 근거'!$F$2:$F$546)</f>
        <v>50</v>
      </c>
      <c r="J14" s="10" t="n">
        <v>25</v>
      </c>
      <c r="K14" s="10" t="n">
        <v>40</v>
      </c>
      <c r="L14" s="8" t="s">
        <v>90</v>
      </c>
      <c r="M14" s="8"/>
    </row>
    <row r="15" customFormat="false" ht="44" hidden="false" customHeight="false" outlineLevel="0" collapsed="false">
      <c r="A15" s="13" t="n">
        <v>14</v>
      </c>
      <c r="B15" s="13" t="s">
        <v>49</v>
      </c>
      <c r="C15" s="13" t="s">
        <v>50</v>
      </c>
      <c r="D15" s="12" t="s">
        <v>91</v>
      </c>
      <c r="E15" s="8" t="s">
        <v>92</v>
      </c>
      <c r="F15" s="8" t="s">
        <v>93</v>
      </c>
      <c r="G15" s="11" t="s">
        <v>94</v>
      </c>
      <c r="H15" s="9" t="n">
        <f aca="false">SUMIF('시간 근거'!$A$2:$A$546,D15,'시간 근거'!$E$2:$E$546)</f>
        <v>30</v>
      </c>
      <c r="I15" s="9" t="n">
        <f aca="false">SUMIF('시간 근거'!$A$2:$A$546,D15,'시간 근거'!$F$2:$F$546)</f>
        <v>45</v>
      </c>
      <c r="J15" s="10" t="n">
        <v>25</v>
      </c>
      <c r="K15" s="10" t="n">
        <v>40</v>
      </c>
      <c r="L15" s="8" t="s">
        <v>95</v>
      </c>
      <c r="M15" s="8"/>
    </row>
    <row r="16" customFormat="false" ht="44" hidden="false" customHeight="false" outlineLevel="0" collapsed="false">
      <c r="A16" s="13" t="n">
        <v>15</v>
      </c>
      <c r="B16" s="13" t="s">
        <v>49</v>
      </c>
      <c r="C16" s="13" t="s">
        <v>50</v>
      </c>
      <c r="D16" s="12" t="s">
        <v>96</v>
      </c>
      <c r="E16" s="8" t="s">
        <v>97</v>
      </c>
      <c r="F16" s="8" t="s">
        <v>98</v>
      </c>
      <c r="G16" s="11" t="s">
        <v>99</v>
      </c>
      <c r="H16" s="9" t="n">
        <f aca="false">SUMIF('시간 근거'!$A$2:$A$546,D16,'시간 근거'!$E$2:$E$546)</f>
        <v>30</v>
      </c>
      <c r="I16" s="9" t="n">
        <f aca="false">SUMIF('시간 근거'!$A$2:$A$546,D16,'시간 근거'!$F$2:$F$546)</f>
        <v>35</v>
      </c>
      <c r="J16" s="10" t="n">
        <v>25</v>
      </c>
      <c r="K16" s="10" t="n">
        <v>30</v>
      </c>
      <c r="L16" s="8" t="s">
        <v>100</v>
      </c>
      <c r="M16" s="8"/>
    </row>
    <row r="17" customFormat="false" ht="15" hidden="false" customHeight="false" outlineLevel="0" collapsed="false">
      <c r="A17" s="13" t="n">
        <v>16</v>
      </c>
      <c r="B17" s="13" t="s">
        <v>49</v>
      </c>
      <c r="C17" s="13" t="s">
        <v>50</v>
      </c>
      <c r="D17" s="12" t="s">
        <v>101</v>
      </c>
      <c r="E17" s="8" t="s">
        <v>102</v>
      </c>
      <c r="F17" s="8" t="s">
        <v>103</v>
      </c>
      <c r="G17" s="8"/>
      <c r="H17" s="9" t="n">
        <f aca="false">SUMIF('시간 근거'!$A$2:$A$546,D17,'시간 근거'!$E$2:$E$546)</f>
        <v>10</v>
      </c>
      <c r="I17" s="9" t="n">
        <f aca="false">SUMIF('시간 근거'!$A$2:$A$546,D17,'시간 근거'!$F$2:$F$546)</f>
        <v>10</v>
      </c>
      <c r="J17" s="10" t="n">
        <v>10</v>
      </c>
      <c r="K17" s="10" t="n">
        <v>10</v>
      </c>
      <c r="L17" s="8" t="s">
        <v>104</v>
      </c>
      <c r="M17" s="8"/>
    </row>
    <row r="18" customFormat="false" ht="58.2" hidden="false" customHeight="false" outlineLevel="0" collapsed="false">
      <c r="A18" s="14" t="n">
        <v>17</v>
      </c>
      <c r="B18" s="15" t="s">
        <v>49</v>
      </c>
      <c r="C18" s="15" t="s">
        <v>105</v>
      </c>
      <c r="D18" s="14" t="s">
        <v>106</v>
      </c>
      <c r="E18" s="8" t="s">
        <v>107</v>
      </c>
      <c r="F18" s="11" t="s">
        <v>108</v>
      </c>
      <c r="G18" s="8"/>
      <c r="H18" s="9" t="n">
        <f aca="false">SUMIF('시간 근거'!$A$2:$A$546,D18,'시간 근거'!$E$2:$E$546)</f>
        <v>30</v>
      </c>
      <c r="I18" s="9" t="n">
        <f aca="false">SUMIF('시간 근거'!$A$2:$A$546,D18,'시간 근거'!$F$2:$F$546)</f>
        <v>40</v>
      </c>
      <c r="J18" s="10" t="n">
        <v>25</v>
      </c>
      <c r="K18" s="10" t="n">
        <v>35</v>
      </c>
      <c r="L18" s="8" t="s">
        <v>109</v>
      </c>
      <c r="M18" s="11" t="s">
        <v>110</v>
      </c>
    </row>
    <row r="19" customFormat="false" ht="44" hidden="false" customHeight="false" outlineLevel="0" collapsed="false">
      <c r="A19" s="15" t="n">
        <v>18</v>
      </c>
      <c r="B19" s="15" t="s">
        <v>49</v>
      </c>
      <c r="C19" s="15" t="s">
        <v>105</v>
      </c>
      <c r="D19" s="14" t="s">
        <v>111</v>
      </c>
      <c r="E19" s="8" t="s">
        <v>112</v>
      </c>
      <c r="F19" s="8" t="s">
        <v>113</v>
      </c>
      <c r="G19" s="8"/>
      <c r="H19" s="9" t="n">
        <f aca="false">SUMIF('시간 근거'!$A$2:$A$546,D19,'시간 근거'!$E$2:$E$546)</f>
        <v>30</v>
      </c>
      <c r="I19" s="9" t="n">
        <f aca="false">SUMIF('시간 근거'!$A$2:$A$546,D19,'시간 근거'!$F$2:$F$546)</f>
        <v>35</v>
      </c>
      <c r="J19" s="10" t="n">
        <v>25</v>
      </c>
      <c r="K19" s="10" t="n">
        <v>30</v>
      </c>
      <c r="L19" s="8" t="s">
        <v>114</v>
      </c>
      <c r="M19" s="11" t="s">
        <v>115</v>
      </c>
    </row>
    <row r="20" customFormat="false" ht="44" hidden="false" customHeight="false" outlineLevel="0" collapsed="false">
      <c r="A20" s="15" t="n">
        <v>19</v>
      </c>
      <c r="B20" s="15" t="s">
        <v>49</v>
      </c>
      <c r="C20" s="15" t="s">
        <v>105</v>
      </c>
      <c r="D20" s="14" t="s">
        <v>116</v>
      </c>
      <c r="E20" s="8" t="s">
        <v>117</v>
      </c>
      <c r="F20" s="8" t="s">
        <v>118</v>
      </c>
      <c r="G20" s="8"/>
      <c r="H20" s="9" t="n">
        <f aca="false">SUMIF('시간 근거'!$A$2:$A$546,D20,'시간 근거'!$E$2:$E$546)</f>
        <v>30</v>
      </c>
      <c r="I20" s="9" t="n">
        <f aca="false">SUMIF('시간 근거'!$A$2:$A$546,D20,'시간 근거'!$F$2:$F$546)</f>
        <v>35</v>
      </c>
      <c r="J20" s="10" t="n">
        <v>25</v>
      </c>
      <c r="K20" s="10" t="n">
        <v>30</v>
      </c>
      <c r="L20" s="8" t="s">
        <v>119</v>
      </c>
      <c r="M20" s="11" t="s">
        <v>120</v>
      </c>
    </row>
    <row r="21" customFormat="false" ht="44" hidden="false" customHeight="false" outlineLevel="0" collapsed="false">
      <c r="A21" s="15" t="n">
        <v>20</v>
      </c>
      <c r="B21" s="15" t="s">
        <v>49</v>
      </c>
      <c r="C21" s="15" t="s">
        <v>105</v>
      </c>
      <c r="D21" s="14" t="s">
        <v>121</v>
      </c>
      <c r="E21" s="8" t="s">
        <v>122</v>
      </c>
      <c r="F21" s="8" t="s">
        <v>123</v>
      </c>
      <c r="G21" s="8"/>
      <c r="H21" s="9" t="n">
        <f aca="false">SUMIF('시간 근거'!$A$2:$A$546,D21,'시간 근거'!$E$2:$E$546)</f>
        <v>30</v>
      </c>
      <c r="I21" s="9" t="n">
        <f aca="false">SUMIF('시간 근거'!$A$2:$A$546,D21,'시간 근거'!$F$2:$F$546)</f>
        <v>35</v>
      </c>
      <c r="J21" s="10" t="n">
        <v>25</v>
      </c>
      <c r="K21" s="10" t="n">
        <v>30</v>
      </c>
      <c r="L21" s="8" t="s">
        <v>124</v>
      </c>
      <c r="M21" s="11" t="s">
        <v>120</v>
      </c>
    </row>
    <row r="22" customFormat="false" ht="44" hidden="false" customHeight="false" outlineLevel="0" collapsed="false">
      <c r="A22" s="16" t="n">
        <v>21</v>
      </c>
      <c r="B22" s="17" t="s">
        <v>49</v>
      </c>
      <c r="C22" s="17" t="s">
        <v>125</v>
      </c>
      <c r="D22" s="16" t="s">
        <v>126</v>
      </c>
      <c r="E22" s="8" t="s">
        <v>127</v>
      </c>
      <c r="F22" s="8" t="s">
        <v>128</v>
      </c>
      <c r="G22" s="8"/>
      <c r="H22" s="9" t="n">
        <f aca="false">SUMIF('시간 근거'!$A$2:$A$546,D22,'시간 근거'!$E$2:$E$546)</f>
        <v>45</v>
      </c>
      <c r="I22" s="9" t="n">
        <f aca="false">SUMIF('시간 근거'!$A$2:$A$546,D22,'시간 근거'!$F$2:$F$546)</f>
        <v>50</v>
      </c>
      <c r="J22" s="10" t="n">
        <v>40</v>
      </c>
      <c r="K22" s="10" t="n">
        <v>45</v>
      </c>
      <c r="L22" s="8" t="s">
        <v>129</v>
      </c>
      <c r="M22" s="11" t="s">
        <v>130</v>
      </c>
    </row>
    <row r="23" customFormat="false" ht="44" hidden="false" customHeight="false" outlineLevel="0" collapsed="false">
      <c r="A23" s="17" t="n">
        <v>22</v>
      </c>
      <c r="B23" s="17" t="s">
        <v>49</v>
      </c>
      <c r="C23" s="17" t="s">
        <v>125</v>
      </c>
      <c r="D23" s="16" t="s">
        <v>131</v>
      </c>
      <c r="E23" s="8" t="s">
        <v>132</v>
      </c>
      <c r="F23" s="11" t="s">
        <v>133</v>
      </c>
      <c r="G23" s="8"/>
      <c r="H23" s="9" t="n">
        <f aca="false">SUMIF('시간 근거'!$A$2:$A$546,D23,'시간 근거'!$E$2:$E$546)</f>
        <v>40</v>
      </c>
      <c r="I23" s="9" t="n">
        <f aca="false">SUMIF('시간 근거'!$A$2:$A$546,D23,'시간 근거'!$F$2:$F$546)</f>
        <v>45</v>
      </c>
      <c r="J23" s="10" t="n">
        <v>35</v>
      </c>
      <c r="K23" s="10" t="n">
        <v>40</v>
      </c>
      <c r="L23" s="8" t="s">
        <v>134</v>
      </c>
      <c r="M23" s="11" t="s">
        <v>135</v>
      </c>
    </row>
    <row r="24" customFormat="false" ht="44" hidden="false" customHeight="false" outlineLevel="0" collapsed="false">
      <c r="A24" s="17" t="n">
        <v>23</v>
      </c>
      <c r="B24" s="17" t="s">
        <v>49</v>
      </c>
      <c r="C24" s="17" t="s">
        <v>125</v>
      </c>
      <c r="D24" s="16" t="s">
        <v>136</v>
      </c>
      <c r="E24" s="8" t="s">
        <v>137</v>
      </c>
      <c r="F24" s="11" t="s">
        <v>138</v>
      </c>
      <c r="G24" s="8"/>
      <c r="H24" s="9" t="n">
        <f aca="false">SUMIF('시간 근거'!$A$2:$A$546,D24,'시간 근거'!$E$2:$E$546)</f>
        <v>45</v>
      </c>
      <c r="I24" s="9" t="n">
        <f aca="false">SUMIF('시간 근거'!$A$2:$A$546,D24,'시간 근거'!$F$2:$F$546)</f>
        <v>50</v>
      </c>
      <c r="J24" s="10" t="n">
        <v>40</v>
      </c>
      <c r="K24" s="10" t="n">
        <v>45</v>
      </c>
      <c r="L24" s="11" t="s">
        <v>139</v>
      </c>
      <c r="M24" s="11" t="s">
        <v>130</v>
      </c>
    </row>
    <row r="25" customFormat="false" ht="29.85" hidden="false" customHeight="false" outlineLevel="0" collapsed="false">
      <c r="A25" s="17" t="n">
        <v>24</v>
      </c>
      <c r="B25" s="17" t="s">
        <v>49</v>
      </c>
      <c r="C25" s="17" t="s">
        <v>125</v>
      </c>
      <c r="D25" s="16" t="s">
        <v>140</v>
      </c>
      <c r="E25" s="8" t="s">
        <v>141</v>
      </c>
      <c r="F25" s="11" t="s">
        <v>142</v>
      </c>
      <c r="G25" s="8"/>
      <c r="H25" s="9" t="n">
        <f aca="false">SUMIF('시간 근거'!$A$2:$A$546,D25,'시간 근거'!$E$2:$E$546)</f>
        <v>40</v>
      </c>
      <c r="I25" s="9" t="n">
        <f aca="false">SUMIF('시간 근거'!$A$2:$A$546,D25,'시간 근거'!$F$2:$F$546)</f>
        <v>45</v>
      </c>
      <c r="J25" s="10" t="n">
        <v>35</v>
      </c>
      <c r="K25" s="10" t="n">
        <v>40</v>
      </c>
      <c r="L25" s="8" t="s">
        <v>143</v>
      </c>
      <c r="M25" s="11" t="s">
        <v>130</v>
      </c>
    </row>
    <row r="26" customFormat="false" ht="41" hidden="false" customHeight="false" outlineLevel="0" collapsed="false">
      <c r="A26" s="17" t="n">
        <v>25</v>
      </c>
      <c r="B26" s="17" t="s">
        <v>49</v>
      </c>
      <c r="C26" s="17" t="s">
        <v>125</v>
      </c>
      <c r="D26" s="16" t="s">
        <v>144</v>
      </c>
      <c r="E26" s="8" t="s">
        <v>145</v>
      </c>
      <c r="F26" s="11" t="s">
        <v>146</v>
      </c>
      <c r="G26" s="8"/>
      <c r="H26" s="9" t="n">
        <f aca="false">SUMIF('시간 근거'!$A$2:$A$546,D26,'시간 근거'!$E$2:$E$546)</f>
        <v>45</v>
      </c>
      <c r="I26" s="9" t="n">
        <f aca="false">SUMIF('시간 근거'!$A$2:$A$546,D26,'시간 근거'!$F$2:$F$546)</f>
        <v>50</v>
      </c>
      <c r="J26" s="10" t="n">
        <v>40</v>
      </c>
      <c r="K26" s="10" t="n">
        <v>45</v>
      </c>
      <c r="L26" s="11" t="s">
        <v>147</v>
      </c>
      <c r="M26" s="11" t="s">
        <v>148</v>
      </c>
    </row>
    <row r="27" customFormat="false" ht="29.85" hidden="false" customHeight="false" outlineLevel="0" collapsed="false">
      <c r="A27" s="17" t="n">
        <v>26</v>
      </c>
      <c r="B27" s="17" t="s">
        <v>49</v>
      </c>
      <c r="C27" s="17" t="s">
        <v>125</v>
      </c>
      <c r="D27" s="16" t="s">
        <v>149</v>
      </c>
      <c r="E27" s="8" t="s">
        <v>150</v>
      </c>
      <c r="F27" s="11" t="s">
        <v>151</v>
      </c>
      <c r="G27" s="8"/>
      <c r="H27" s="9" t="n">
        <f aca="false">SUMIF('시간 근거'!$A$2:$A$546,D27,'시간 근거'!$E$2:$E$546)</f>
        <v>45</v>
      </c>
      <c r="I27" s="9" t="n">
        <f aca="false">SUMIF('시간 근거'!$A$2:$A$546,D27,'시간 근거'!$F$2:$F$546)</f>
        <v>50</v>
      </c>
      <c r="J27" s="10" t="n">
        <v>40</v>
      </c>
      <c r="K27" s="10" t="n">
        <v>45</v>
      </c>
      <c r="L27" s="8" t="s">
        <v>152</v>
      </c>
      <c r="M27" s="11" t="s">
        <v>153</v>
      </c>
    </row>
    <row r="28" customFormat="false" ht="44" hidden="false" customHeight="false" outlineLevel="0" collapsed="false">
      <c r="A28" s="17" t="n">
        <v>27</v>
      </c>
      <c r="B28" s="17" t="s">
        <v>49</v>
      </c>
      <c r="C28" s="17" t="s">
        <v>125</v>
      </c>
      <c r="D28" s="16" t="s">
        <v>154</v>
      </c>
      <c r="E28" s="8" t="s">
        <v>155</v>
      </c>
      <c r="F28" s="8" t="s">
        <v>156</v>
      </c>
      <c r="G28" s="8"/>
      <c r="H28" s="9" t="n">
        <f aca="false">SUMIF('시간 근거'!$A$2:$A$546,D28,'시간 근거'!$E$2:$E$546)</f>
        <v>40</v>
      </c>
      <c r="I28" s="9" t="n">
        <f aca="false">SUMIF('시간 근거'!$A$2:$A$546,D28,'시간 근거'!$F$2:$F$546)</f>
        <v>45</v>
      </c>
      <c r="J28" s="10" t="n">
        <v>35</v>
      </c>
      <c r="K28" s="10" t="n">
        <v>40</v>
      </c>
      <c r="L28" s="8" t="s">
        <v>157</v>
      </c>
      <c r="M28" s="11" t="s">
        <v>130</v>
      </c>
    </row>
    <row r="29" customFormat="false" ht="44" hidden="false" customHeight="false" outlineLevel="0" collapsed="false">
      <c r="A29" s="17" t="n">
        <v>28</v>
      </c>
      <c r="B29" s="17" t="s">
        <v>49</v>
      </c>
      <c r="C29" s="17" t="s">
        <v>125</v>
      </c>
      <c r="D29" s="16" t="s">
        <v>158</v>
      </c>
      <c r="E29" s="8" t="s">
        <v>159</v>
      </c>
      <c r="F29" s="11" t="s">
        <v>160</v>
      </c>
      <c r="G29" s="8"/>
      <c r="H29" s="9" t="n">
        <f aca="false">SUMIF('시간 근거'!$A$2:$A$546,D29,'시간 근거'!$E$2:$E$546)</f>
        <v>40</v>
      </c>
      <c r="I29" s="9" t="n">
        <f aca="false">SUMIF('시간 근거'!$A$2:$A$546,D29,'시간 근거'!$F$2:$F$546)</f>
        <v>45</v>
      </c>
      <c r="J29" s="10" t="n">
        <v>35</v>
      </c>
      <c r="K29" s="10" t="n">
        <v>40</v>
      </c>
      <c r="L29" s="8" t="s">
        <v>157</v>
      </c>
      <c r="M29" s="11" t="s">
        <v>130</v>
      </c>
    </row>
    <row r="30" customFormat="false" ht="44" hidden="false" customHeight="false" outlineLevel="0" collapsed="false">
      <c r="A30" s="17" t="n">
        <v>29</v>
      </c>
      <c r="B30" s="17" t="s">
        <v>49</v>
      </c>
      <c r="C30" s="17" t="s">
        <v>125</v>
      </c>
      <c r="D30" s="16" t="s">
        <v>161</v>
      </c>
      <c r="E30" s="8" t="s">
        <v>162</v>
      </c>
      <c r="F30" s="11" t="s">
        <v>163</v>
      </c>
      <c r="G30" s="8"/>
      <c r="H30" s="9" t="n">
        <f aca="false">SUMIF('시간 근거'!$A$2:$A$546,D30,'시간 근거'!$E$2:$E$546)</f>
        <v>40</v>
      </c>
      <c r="I30" s="9" t="n">
        <f aca="false">SUMIF('시간 근거'!$A$2:$A$546,D30,'시간 근거'!$F$2:$F$546)</f>
        <v>45</v>
      </c>
      <c r="J30" s="10" t="n">
        <v>35</v>
      </c>
      <c r="K30" s="10" t="n">
        <v>40</v>
      </c>
      <c r="L30" s="8" t="s">
        <v>157</v>
      </c>
      <c r="M30" s="11" t="s">
        <v>130</v>
      </c>
    </row>
    <row r="31" customFormat="false" ht="44" hidden="false" customHeight="false" outlineLevel="0" collapsed="false">
      <c r="A31" s="17" t="n">
        <v>30</v>
      </c>
      <c r="B31" s="17" t="s">
        <v>49</v>
      </c>
      <c r="C31" s="17" t="s">
        <v>125</v>
      </c>
      <c r="D31" s="16" t="s">
        <v>164</v>
      </c>
      <c r="E31" s="8" t="s">
        <v>165</v>
      </c>
      <c r="F31" s="11" t="s">
        <v>166</v>
      </c>
      <c r="G31" s="8"/>
      <c r="H31" s="9" t="n">
        <f aca="false">SUMIF('시간 근거'!$A$2:$A$546,D31,'시간 근거'!$E$2:$E$546)</f>
        <v>45</v>
      </c>
      <c r="I31" s="9" t="n">
        <f aca="false">SUMIF('시간 근거'!$A$2:$A$546,D31,'시간 근거'!$F$2:$F$546)</f>
        <v>50</v>
      </c>
      <c r="J31" s="10" t="n">
        <v>40</v>
      </c>
      <c r="K31" s="10" t="n">
        <v>45</v>
      </c>
      <c r="L31" s="8" t="s">
        <v>167</v>
      </c>
      <c r="M31" s="11" t="s">
        <v>135</v>
      </c>
    </row>
    <row r="32" customFormat="false" ht="44" hidden="false" customHeight="false" outlineLevel="0" collapsed="false">
      <c r="A32" s="13" t="n">
        <v>31</v>
      </c>
      <c r="B32" s="13" t="s">
        <v>168</v>
      </c>
      <c r="C32" s="13" t="s">
        <v>50</v>
      </c>
      <c r="D32" s="12" t="s">
        <v>169</v>
      </c>
      <c r="E32" s="8" t="s">
        <v>170</v>
      </c>
      <c r="F32" s="8" t="s">
        <v>171</v>
      </c>
      <c r="G32" s="11" t="s">
        <v>172</v>
      </c>
      <c r="H32" s="9" t="n">
        <f aca="false">SUMIF('시간 근거'!$A$2:$A$546,D32,'시간 근거'!$E$2:$E$546)</f>
        <v>30</v>
      </c>
      <c r="I32" s="9" t="n">
        <f aca="false">SUMIF('시간 근거'!$A$2:$A$546,D32,'시간 근거'!$F$2:$F$546)</f>
        <v>30</v>
      </c>
      <c r="J32" s="10" t="n">
        <v>25</v>
      </c>
      <c r="K32" s="10" t="n">
        <v>25</v>
      </c>
      <c r="L32" s="8" t="s">
        <v>173</v>
      </c>
      <c r="M32" s="8"/>
    </row>
    <row r="33" customFormat="false" ht="29.85" hidden="false" customHeight="false" outlineLevel="0" collapsed="false">
      <c r="A33" s="13" t="n">
        <v>32</v>
      </c>
      <c r="B33" s="13" t="s">
        <v>168</v>
      </c>
      <c r="C33" s="13" t="s">
        <v>50</v>
      </c>
      <c r="D33" s="12" t="s">
        <v>174</v>
      </c>
      <c r="E33" s="8" t="s">
        <v>175</v>
      </c>
      <c r="F33" s="8" t="s">
        <v>176</v>
      </c>
      <c r="G33" s="11" t="s">
        <v>177</v>
      </c>
      <c r="H33" s="9" t="n">
        <f aca="false">SUMIF('시간 근거'!$A$2:$A$546,D33,'시간 근거'!$E$2:$E$546)</f>
        <v>30</v>
      </c>
      <c r="I33" s="9" t="n">
        <f aca="false">SUMIF('시간 근거'!$A$2:$A$546,D33,'시간 근거'!$F$2:$F$546)</f>
        <v>45</v>
      </c>
      <c r="J33" s="10" t="n">
        <v>25</v>
      </c>
      <c r="K33" s="10" t="n">
        <v>40</v>
      </c>
      <c r="L33" s="11" t="s">
        <v>178</v>
      </c>
      <c r="M33" s="8"/>
    </row>
    <row r="34" customFormat="false" ht="29.85" hidden="false" customHeight="false" outlineLevel="0" collapsed="false">
      <c r="A34" s="13" t="n">
        <v>33</v>
      </c>
      <c r="B34" s="13" t="s">
        <v>168</v>
      </c>
      <c r="C34" s="13" t="s">
        <v>50</v>
      </c>
      <c r="D34" s="12" t="s">
        <v>179</v>
      </c>
      <c r="E34" s="11" t="s">
        <v>180</v>
      </c>
      <c r="F34" s="8" t="s">
        <v>181</v>
      </c>
      <c r="G34" s="11" t="s">
        <v>182</v>
      </c>
      <c r="H34" s="9" t="n">
        <f aca="false">SUMIF('시간 근거'!$A$2:$A$546,D34,'시간 근거'!$E$2:$E$546)</f>
        <v>30</v>
      </c>
      <c r="I34" s="9" t="n">
        <f aca="false">SUMIF('시간 근거'!$A$2:$A$546,D34,'시간 근거'!$F$2:$F$546)</f>
        <v>35</v>
      </c>
      <c r="J34" s="10" t="n">
        <v>25</v>
      </c>
      <c r="K34" s="10" t="n">
        <v>30</v>
      </c>
      <c r="L34" s="8" t="s">
        <v>183</v>
      </c>
      <c r="M34" s="8"/>
    </row>
    <row r="35" customFormat="false" ht="29.85" hidden="false" customHeight="false" outlineLevel="0" collapsed="false">
      <c r="A35" s="13" t="n">
        <v>34</v>
      </c>
      <c r="B35" s="13" t="s">
        <v>168</v>
      </c>
      <c r="C35" s="13" t="s">
        <v>50</v>
      </c>
      <c r="D35" s="12" t="s">
        <v>184</v>
      </c>
      <c r="E35" s="8" t="s">
        <v>185</v>
      </c>
      <c r="F35" s="8" t="s">
        <v>186</v>
      </c>
      <c r="G35" s="11" t="s">
        <v>187</v>
      </c>
      <c r="H35" s="9" t="n">
        <f aca="false">SUMIF('시간 근거'!$A$2:$A$546,D35,'시간 근거'!$E$2:$E$546)</f>
        <v>25</v>
      </c>
      <c r="I35" s="9" t="n">
        <f aca="false">SUMIF('시간 근거'!$A$2:$A$546,D35,'시간 근거'!$F$2:$F$546)</f>
        <v>25</v>
      </c>
      <c r="J35" s="10" t="n">
        <v>20</v>
      </c>
      <c r="K35" s="10" t="n">
        <v>20</v>
      </c>
      <c r="L35" s="8" t="s">
        <v>188</v>
      </c>
      <c r="M35" s="8"/>
    </row>
    <row r="36" customFormat="false" ht="29.85" hidden="false" customHeight="false" outlineLevel="0" collapsed="false">
      <c r="A36" s="13" t="n">
        <v>35</v>
      </c>
      <c r="B36" s="13" t="s">
        <v>168</v>
      </c>
      <c r="C36" s="13" t="s">
        <v>50</v>
      </c>
      <c r="D36" s="12" t="s">
        <v>189</v>
      </c>
      <c r="E36" s="8" t="s">
        <v>190</v>
      </c>
      <c r="F36" s="8" t="s">
        <v>191</v>
      </c>
      <c r="G36" s="11" t="s">
        <v>192</v>
      </c>
      <c r="H36" s="9" t="n">
        <f aca="false">SUMIF('시간 근거'!$A$2:$A$546,D36,'시간 근거'!$E$2:$E$546)</f>
        <v>30</v>
      </c>
      <c r="I36" s="9" t="n">
        <f aca="false">SUMIF('시간 근거'!$A$2:$A$546,D36,'시간 근거'!$F$2:$F$546)</f>
        <v>30</v>
      </c>
      <c r="J36" s="10" t="n">
        <v>25</v>
      </c>
      <c r="K36" s="10" t="n">
        <v>25</v>
      </c>
      <c r="L36" s="8" t="s">
        <v>193</v>
      </c>
      <c r="M36" s="8"/>
    </row>
    <row r="37" customFormat="false" ht="29.85" hidden="false" customHeight="false" outlineLevel="0" collapsed="false">
      <c r="A37" s="13" t="n">
        <v>36</v>
      </c>
      <c r="B37" s="13" t="s">
        <v>168</v>
      </c>
      <c r="C37" s="13" t="s">
        <v>50</v>
      </c>
      <c r="D37" s="12" t="s">
        <v>194</v>
      </c>
      <c r="E37" s="8" t="s">
        <v>195</v>
      </c>
      <c r="F37" s="8" t="s">
        <v>196</v>
      </c>
      <c r="G37" s="11" t="s">
        <v>197</v>
      </c>
      <c r="H37" s="9" t="n">
        <f aca="false">SUMIF('시간 근거'!$A$2:$A$546,D37,'시간 근거'!$E$2:$E$546)</f>
        <v>30</v>
      </c>
      <c r="I37" s="9" t="n">
        <f aca="false">SUMIF('시간 근거'!$A$2:$A$546,D37,'시간 근거'!$F$2:$F$546)</f>
        <v>30</v>
      </c>
      <c r="J37" s="10" t="n">
        <v>25</v>
      </c>
      <c r="K37" s="10" t="n">
        <v>30</v>
      </c>
      <c r="L37" s="11" t="s">
        <v>198</v>
      </c>
      <c r="M37" s="8"/>
    </row>
    <row r="38" customFormat="false" ht="29.85" hidden="false" customHeight="false" outlineLevel="0" collapsed="false">
      <c r="A38" s="13" t="n">
        <v>37</v>
      </c>
      <c r="B38" s="13" t="s">
        <v>168</v>
      </c>
      <c r="C38" s="13" t="s">
        <v>50</v>
      </c>
      <c r="D38" s="12" t="s">
        <v>199</v>
      </c>
      <c r="E38" s="8" t="s">
        <v>200</v>
      </c>
      <c r="F38" s="8" t="s">
        <v>201</v>
      </c>
      <c r="G38" s="11" t="s">
        <v>202</v>
      </c>
      <c r="H38" s="9" t="n">
        <f aca="false">SUMIF('시간 근거'!$A$2:$A$546,D38,'시간 근거'!$E$2:$E$546)</f>
        <v>30</v>
      </c>
      <c r="I38" s="9" t="n">
        <f aca="false">SUMIF('시간 근거'!$A$2:$A$546,D38,'시간 근거'!$F$2:$F$546)</f>
        <v>30</v>
      </c>
      <c r="J38" s="10" t="n">
        <v>25</v>
      </c>
      <c r="K38" s="10" t="n">
        <v>25</v>
      </c>
      <c r="L38" s="8" t="s">
        <v>203</v>
      </c>
      <c r="M38" s="8"/>
    </row>
    <row r="39" customFormat="false" ht="29.85" hidden="false" customHeight="false" outlineLevel="0" collapsed="false">
      <c r="A39" s="13" t="n">
        <v>38</v>
      </c>
      <c r="B39" s="13" t="s">
        <v>168</v>
      </c>
      <c r="C39" s="13" t="s">
        <v>50</v>
      </c>
      <c r="D39" s="12" t="s">
        <v>204</v>
      </c>
      <c r="E39" s="11" t="s">
        <v>205</v>
      </c>
      <c r="F39" s="8" t="s">
        <v>206</v>
      </c>
      <c r="G39" s="11" t="s">
        <v>207</v>
      </c>
      <c r="H39" s="9" t="n">
        <f aca="false">SUMIF('시간 근거'!$A$2:$A$546,D39,'시간 근거'!$E$2:$E$546)</f>
        <v>25</v>
      </c>
      <c r="I39" s="9" t="n">
        <f aca="false">SUMIF('시간 근거'!$A$2:$A$546,D39,'시간 근거'!$F$2:$F$546)</f>
        <v>25</v>
      </c>
      <c r="J39" s="10" t="n">
        <v>20</v>
      </c>
      <c r="K39" s="10" t="n">
        <v>20</v>
      </c>
      <c r="L39" s="8" t="s">
        <v>173</v>
      </c>
      <c r="M39" s="8"/>
    </row>
    <row r="40" customFormat="false" ht="15" hidden="false" customHeight="false" outlineLevel="0" collapsed="false">
      <c r="A40" s="13" t="n">
        <v>39</v>
      </c>
      <c r="B40" s="13" t="s">
        <v>168</v>
      </c>
      <c r="C40" s="13" t="s">
        <v>50</v>
      </c>
      <c r="D40" s="12" t="s">
        <v>208</v>
      </c>
      <c r="E40" s="8" t="s">
        <v>102</v>
      </c>
      <c r="F40" s="8" t="s">
        <v>209</v>
      </c>
      <c r="G40" s="8"/>
      <c r="H40" s="9" t="n">
        <f aca="false">SUMIF('시간 근거'!$A$2:$A$546,D40,'시간 근거'!$E$2:$E$546)</f>
        <v>10</v>
      </c>
      <c r="I40" s="9" t="n">
        <f aca="false">SUMIF('시간 근거'!$A$2:$A$546,D40,'시간 근거'!$F$2:$F$546)</f>
        <v>10</v>
      </c>
      <c r="J40" s="10" t="n">
        <v>10</v>
      </c>
      <c r="K40" s="10" t="n">
        <v>10</v>
      </c>
      <c r="L40" s="8" t="s">
        <v>104</v>
      </c>
      <c r="M40" s="8"/>
    </row>
    <row r="41" customFormat="false" ht="58.2" hidden="false" customHeight="false" outlineLevel="0" collapsed="false">
      <c r="A41" s="15" t="n">
        <v>40</v>
      </c>
      <c r="B41" s="15" t="s">
        <v>168</v>
      </c>
      <c r="C41" s="15" t="s">
        <v>105</v>
      </c>
      <c r="D41" s="14" t="s">
        <v>210</v>
      </c>
      <c r="E41" s="8" t="s">
        <v>211</v>
      </c>
      <c r="F41" s="11" t="s">
        <v>212</v>
      </c>
      <c r="G41" s="8"/>
      <c r="H41" s="9" t="n">
        <f aca="false">SUMIF('시간 근거'!$A$2:$A$546,D41,'시간 근거'!$E$2:$E$546)</f>
        <v>30</v>
      </c>
      <c r="I41" s="9" t="n">
        <f aca="false">SUMIF('시간 근거'!$A$2:$A$546,D41,'시간 근거'!$F$2:$F$546)</f>
        <v>40</v>
      </c>
      <c r="J41" s="10" t="n">
        <v>25</v>
      </c>
      <c r="K41" s="10" t="n">
        <v>35</v>
      </c>
      <c r="L41" s="8" t="s">
        <v>213</v>
      </c>
      <c r="M41" s="11" t="s">
        <v>214</v>
      </c>
    </row>
    <row r="42" customFormat="false" ht="44" hidden="false" customHeight="false" outlineLevel="0" collapsed="false">
      <c r="A42" s="15" t="n">
        <v>41</v>
      </c>
      <c r="B42" s="15" t="s">
        <v>168</v>
      </c>
      <c r="C42" s="15" t="s">
        <v>105</v>
      </c>
      <c r="D42" s="14" t="s">
        <v>215</v>
      </c>
      <c r="E42" s="8" t="s">
        <v>216</v>
      </c>
      <c r="F42" s="8" t="s">
        <v>217</v>
      </c>
      <c r="G42" s="8"/>
      <c r="H42" s="9" t="n">
        <f aca="false">SUMIF('시간 근거'!$A$2:$A$546,D42,'시간 근거'!$E$2:$E$546)</f>
        <v>30</v>
      </c>
      <c r="I42" s="9" t="n">
        <f aca="false">SUMIF('시간 근거'!$A$2:$A$546,D42,'시간 근거'!$F$2:$F$546)</f>
        <v>40</v>
      </c>
      <c r="J42" s="10" t="n">
        <v>25</v>
      </c>
      <c r="K42" s="10" t="n">
        <v>35</v>
      </c>
      <c r="L42" s="8" t="s">
        <v>218</v>
      </c>
      <c r="M42" s="11" t="s">
        <v>219</v>
      </c>
    </row>
    <row r="43" customFormat="false" ht="44" hidden="false" customHeight="false" outlineLevel="0" collapsed="false">
      <c r="A43" s="15" t="n">
        <v>42</v>
      </c>
      <c r="B43" s="15" t="s">
        <v>168</v>
      </c>
      <c r="C43" s="15" t="s">
        <v>105</v>
      </c>
      <c r="D43" s="14" t="s">
        <v>220</v>
      </c>
      <c r="E43" s="8" t="s">
        <v>221</v>
      </c>
      <c r="F43" s="8" t="s">
        <v>222</v>
      </c>
      <c r="G43" s="8"/>
      <c r="H43" s="9" t="n">
        <f aca="false">SUMIF('시간 근거'!$A$2:$A$546,D43,'시간 근거'!$E$2:$E$546)</f>
        <v>30</v>
      </c>
      <c r="I43" s="9" t="n">
        <f aca="false">SUMIF('시간 근거'!$A$2:$A$546,D43,'시간 근거'!$F$2:$F$546)</f>
        <v>35</v>
      </c>
      <c r="J43" s="10" t="n">
        <v>25</v>
      </c>
      <c r="K43" s="10" t="n">
        <v>30</v>
      </c>
      <c r="L43" s="8" t="s">
        <v>223</v>
      </c>
      <c r="M43" s="11" t="s">
        <v>219</v>
      </c>
    </row>
    <row r="44" customFormat="false" ht="44" hidden="false" customHeight="false" outlineLevel="0" collapsed="false">
      <c r="A44" s="15" t="n">
        <v>43</v>
      </c>
      <c r="B44" s="15" t="s">
        <v>168</v>
      </c>
      <c r="C44" s="15" t="s">
        <v>105</v>
      </c>
      <c r="D44" s="14" t="s">
        <v>224</v>
      </c>
      <c r="E44" s="8" t="s">
        <v>225</v>
      </c>
      <c r="F44" s="8" t="s">
        <v>226</v>
      </c>
      <c r="G44" s="8"/>
      <c r="H44" s="9" t="n">
        <f aca="false">SUMIF('시간 근거'!$A$2:$A$546,D44,'시간 근거'!$E$2:$E$546)</f>
        <v>30</v>
      </c>
      <c r="I44" s="9" t="n">
        <f aca="false">SUMIF('시간 근거'!$A$2:$A$546,D44,'시간 근거'!$F$2:$F$546)</f>
        <v>35</v>
      </c>
      <c r="J44" s="10" t="n">
        <v>25</v>
      </c>
      <c r="K44" s="10" t="n">
        <v>30</v>
      </c>
      <c r="L44" s="8" t="s">
        <v>227</v>
      </c>
      <c r="M44" s="11" t="s">
        <v>219</v>
      </c>
    </row>
    <row r="45" customFormat="false" ht="44" hidden="false" customHeight="false" outlineLevel="0" collapsed="false">
      <c r="A45" s="17" t="n">
        <v>44</v>
      </c>
      <c r="B45" s="17" t="s">
        <v>168</v>
      </c>
      <c r="C45" s="17" t="s">
        <v>125</v>
      </c>
      <c r="D45" s="16" t="s">
        <v>228</v>
      </c>
      <c r="E45" s="8" t="s">
        <v>229</v>
      </c>
      <c r="F45" s="11" t="s">
        <v>230</v>
      </c>
      <c r="G45" s="8"/>
      <c r="H45" s="9" t="n">
        <f aca="false">SUMIF('시간 근거'!$A$2:$A$546,D45,'시간 근거'!$E$2:$E$546)</f>
        <v>45</v>
      </c>
      <c r="I45" s="9" t="n">
        <f aca="false">SUMIF('시간 근거'!$A$2:$A$546,D45,'시간 근거'!$F$2:$F$546)</f>
        <v>50</v>
      </c>
      <c r="J45" s="10" t="n">
        <v>40</v>
      </c>
      <c r="K45" s="10" t="n">
        <v>45</v>
      </c>
      <c r="L45" s="8" t="s">
        <v>231</v>
      </c>
      <c r="M45" s="11" t="s">
        <v>130</v>
      </c>
    </row>
    <row r="46" customFormat="false" ht="29.85" hidden="false" customHeight="false" outlineLevel="0" collapsed="false">
      <c r="A46" s="17" t="n">
        <v>45</v>
      </c>
      <c r="B46" s="17" t="s">
        <v>168</v>
      </c>
      <c r="C46" s="17" t="s">
        <v>125</v>
      </c>
      <c r="D46" s="16" t="s">
        <v>232</v>
      </c>
      <c r="E46" s="8" t="s">
        <v>233</v>
      </c>
      <c r="F46" s="11" t="s">
        <v>234</v>
      </c>
      <c r="G46" s="8"/>
      <c r="H46" s="9" t="n">
        <f aca="false">SUMIF('시간 근거'!$A$2:$A$546,D46,'시간 근거'!$E$2:$E$546)</f>
        <v>40</v>
      </c>
      <c r="I46" s="9" t="n">
        <f aca="false">SUMIF('시간 근거'!$A$2:$A$546,D46,'시간 근거'!$F$2:$F$546)</f>
        <v>45</v>
      </c>
      <c r="J46" s="10" t="n">
        <v>35</v>
      </c>
      <c r="K46" s="10" t="n">
        <v>40</v>
      </c>
      <c r="L46" s="8" t="s">
        <v>157</v>
      </c>
      <c r="M46" s="11" t="s">
        <v>130</v>
      </c>
    </row>
    <row r="47" customFormat="false" ht="29.85" hidden="false" customHeight="false" outlineLevel="0" collapsed="false">
      <c r="A47" s="17" t="n">
        <v>46</v>
      </c>
      <c r="B47" s="17" t="s">
        <v>168</v>
      </c>
      <c r="C47" s="17" t="s">
        <v>125</v>
      </c>
      <c r="D47" s="16" t="s">
        <v>235</v>
      </c>
      <c r="E47" s="8" t="s">
        <v>236</v>
      </c>
      <c r="F47" s="11" t="s">
        <v>237</v>
      </c>
      <c r="G47" s="8"/>
      <c r="H47" s="9" t="n">
        <f aca="false">SUMIF('시간 근거'!$A$2:$A$546,D47,'시간 근거'!$E$2:$E$546)</f>
        <v>45</v>
      </c>
      <c r="I47" s="9" t="n">
        <f aca="false">SUMIF('시간 근거'!$A$2:$A$546,D47,'시간 근거'!$F$2:$F$546)</f>
        <v>50</v>
      </c>
      <c r="J47" s="10" t="n">
        <v>40</v>
      </c>
      <c r="K47" s="10" t="n">
        <v>45</v>
      </c>
      <c r="L47" s="8" t="s">
        <v>238</v>
      </c>
      <c r="M47" s="11" t="s">
        <v>239</v>
      </c>
    </row>
    <row r="48" customFormat="false" ht="29.85" hidden="false" customHeight="false" outlineLevel="0" collapsed="false">
      <c r="A48" s="17" t="n">
        <v>47</v>
      </c>
      <c r="B48" s="17" t="s">
        <v>168</v>
      </c>
      <c r="C48" s="17" t="s">
        <v>125</v>
      </c>
      <c r="D48" s="16" t="s">
        <v>240</v>
      </c>
      <c r="E48" s="8" t="s">
        <v>241</v>
      </c>
      <c r="F48" s="11" t="s">
        <v>242</v>
      </c>
      <c r="G48" s="8"/>
      <c r="H48" s="9" t="n">
        <f aca="false">SUMIF('시간 근거'!$A$2:$A$546,D48,'시간 근거'!$E$2:$E$546)</f>
        <v>45</v>
      </c>
      <c r="I48" s="9" t="n">
        <f aca="false">SUMIF('시간 근거'!$A$2:$A$546,D48,'시간 근거'!$F$2:$F$546)</f>
        <v>50</v>
      </c>
      <c r="J48" s="10" t="n">
        <v>40</v>
      </c>
      <c r="K48" s="10" t="n">
        <v>45</v>
      </c>
      <c r="L48" s="8" t="s">
        <v>243</v>
      </c>
      <c r="M48" s="11" t="s">
        <v>239</v>
      </c>
    </row>
    <row r="49" customFormat="false" ht="29.85" hidden="false" customHeight="false" outlineLevel="0" collapsed="false">
      <c r="A49" s="17" t="n">
        <v>48</v>
      </c>
      <c r="B49" s="17" t="s">
        <v>168</v>
      </c>
      <c r="C49" s="17" t="s">
        <v>125</v>
      </c>
      <c r="D49" s="16" t="s">
        <v>244</v>
      </c>
      <c r="E49" s="8" t="s">
        <v>245</v>
      </c>
      <c r="F49" s="11" t="s">
        <v>246</v>
      </c>
      <c r="G49" s="8"/>
      <c r="H49" s="9" t="n">
        <f aca="false">SUMIF('시간 근거'!$A$2:$A$546,D49,'시간 근거'!$E$2:$E$546)</f>
        <v>40</v>
      </c>
      <c r="I49" s="9" t="n">
        <f aca="false">SUMIF('시간 근거'!$A$2:$A$546,D49,'시간 근거'!$F$2:$F$546)</f>
        <v>45</v>
      </c>
      <c r="J49" s="10" t="n">
        <v>35</v>
      </c>
      <c r="K49" s="10" t="n">
        <v>40</v>
      </c>
      <c r="L49" s="8" t="s">
        <v>157</v>
      </c>
      <c r="M49" s="11" t="s">
        <v>130</v>
      </c>
    </row>
    <row r="50" customFormat="false" ht="29.85" hidden="false" customHeight="false" outlineLevel="0" collapsed="false">
      <c r="A50" s="17" t="n">
        <v>49</v>
      </c>
      <c r="B50" s="17" t="s">
        <v>168</v>
      </c>
      <c r="C50" s="17" t="s">
        <v>125</v>
      </c>
      <c r="D50" s="16" t="s">
        <v>247</v>
      </c>
      <c r="E50" s="8" t="s">
        <v>248</v>
      </c>
      <c r="F50" s="11" t="s">
        <v>249</v>
      </c>
      <c r="G50" s="8"/>
      <c r="H50" s="9" t="n">
        <f aca="false">SUMIF('시간 근거'!$A$2:$A$546,D50,'시간 근거'!$E$2:$E$546)</f>
        <v>40</v>
      </c>
      <c r="I50" s="9" t="n">
        <f aca="false">SUMIF('시간 근거'!$A$2:$A$546,D50,'시간 근거'!$F$2:$F$546)</f>
        <v>45</v>
      </c>
      <c r="J50" s="10" t="n">
        <v>35</v>
      </c>
      <c r="K50" s="10" t="n">
        <v>40</v>
      </c>
      <c r="L50" s="8" t="s">
        <v>157</v>
      </c>
      <c r="M50" s="11" t="s">
        <v>130</v>
      </c>
    </row>
    <row r="51" customFormat="false" ht="29.85" hidden="false" customHeight="false" outlineLevel="0" collapsed="false">
      <c r="A51" s="17" t="n">
        <v>50</v>
      </c>
      <c r="B51" s="17" t="s">
        <v>168</v>
      </c>
      <c r="C51" s="17" t="s">
        <v>125</v>
      </c>
      <c r="D51" s="16" t="s">
        <v>250</v>
      </c>
      <c r="E51" s="8" t="s">
        <v>251</v>
      </c>
      <c r="F51" s="11" t="s">
        <v>252</v>
      </c>
      <c r="G51" s="8"/>
      <c r="H51" s="9" t="n">
        <f aca="false">SUMIF('시간 근거'!$A$2:$A$546,D51,'시간 근거'!$E$2:$E$546)</f>
        <v>40</v>
      </c>
      <c r="I51" s="9" t="n">
        <f aca="false">SUMIF('시간 근거'!$A$2:$A$546,D51,'시간 근거'!$F$2:$F$546)</f>
        <v>45</v>
      </c>
      <c r="J51" s="10" t="n">
        <v>35</v>
      </c>
      <c r="K51" s="10" t="n">
        <v>40</v>
      </c>
      <c r="L51" s="8" t="s">
        <v>157</v>
      </c>
      <c r="M51" s="11" t="s">
        <v>253</v>
      </c>
    </row>
    <row r="52" customFormat="false" ht="29.85" hidden="false" customHeight="false" outlineLevel="0" collapsed="false">
      <c r="A52" s="17" t="n">
        <v>51</v>
      </c>
      <c r="B52" s="17" t="s">
        <v>168</v>
      </c>
      <c r="C52" s="17" t="s">
        <v>125</v>
      </c>
      <c r="D52" s="16" t="s">
        <v>254</v>
      </c>
      <c r="E52" s="8" t="s">
        <v>255</v>
      </c>
      <c r="F52" s="11" t="s">
        <v>256</v>
      </c>
      <c r="G52" s="8"/>
      <c r="H52" s="9" t="n">
        <f aca="false">SUMIF('시간 근거'!$A$2:$A$546,D52,'시간 근거'!$E$2:$E$546)</f>
        <v>45</v>
      </c>
      <c r="I52" s="9" t="n">
        <f aca="false">SUMIF('시간 근거'!$A$2:$A$546,D52,'시간 근거'!$F$2:$F$546)</f>
        <v>50</v>
      </c>
      <c r="J52" s="10" t="n">
        <v>40</v>
      </c>
      <c r="K52" s="10" t="n">
        <v>45</v>
      </c>
      <c r="L52" s="8" t="s">
        <v>167</v>
      </c>
      <c r="M52" s="11" t="s">
        <v>253</v>
      </c>
    </row>
    <row r="53" customFormat="false" ht="44" hidden="false" customHeight="false" outlineLevel="0" collapsed="false">
      <c r="A53" s="13" t="n">
        <v>52</v>
      </c>
      <c r="B53" s="12" t="s">
        <v>257</v>
      </c>
      <c r="C53" s="13" t="s">
        <v>50</v>
      </c>
      <c r="D53" s="12" t="s">
        <v>258</v>
      </c>
      <c r="E53" s="8" t="s">
        <v>259</v>
      </c>
      <c r="F53" s="8" t="s">
        <v>260</v>
      </c>
      <c r="G53" s="11" t="s">
        <v>261</v>
      </c>
      <c r="H53" s="9" t="n">
        <f aca="false">SUMIF('시간 근거'!$A$2:$A$546,D53,'시간 근거'!$E$2:$E$546)</f>
        <v>30</v>
      </c>
      <c r="I53" s="9" t="n">
        <f aca="false">SUMIF('시간 근거'!$A$2:$A$546,D53,'시간 근거'!$F$2:$F$546)</f>
        <v>45</v>
      </c>
      <c r="J53" s="10" t="n">
        <v>25</v>
      </c>
      <c r="K53" s="10" t="n">
        <v>40</v>
      </c>
      <c r="L53" s="8" t="s">
        <v>262</v>
      </c>
      <c r="M53" s="8"/>
    </row>
    <row r="54" customFormat="false" ht="29.85" hidden="false" customHeight="false" outlineLevel="0" collapsed="false">
      <c r="A54" s="13" t="n">
        <v>53</v>
      </c>
      <c r="B54" s="12" t="s">
        <v>257</v>
      </c>
      <c r="C54" s="13" t="s">
        <v>50</v>
      </c>
      <c r="D54" s="12" t="s">
        <v>263</v>
      </c>
      <c r="E54" s="8" t="s">
        <v>264</v>
      </c>
      <c r="F54" s="8" t="s">
        <v>265</v>
      </c>
      <c r="G54" s="11" t="s">
        <v>266</v>
      </c>
      <c r="H54" s="9" t="n">
        <f aca="false">SUMIF('시간 근거'!$A$2:$A$546,D54,'시간 근거'!$E$2:$E$546)</f>
        <v>30</v>
      </c>
      <c r="I54" s="9" t="n">
        <f aca="false">SUMIF('시간 근거'!$A$2:$A$546,D54,'시간 근거'!$F$2:$F$546)</f>
        <v>45</v>
      </c>
      <c r="J54" s="10" t="n">
        <v>25</v>
      </c>
      <c r="K54" s="10" t="n">
        <v>40</v>
      </c>
      <c r="L54" s="8" t="s">
        <v>267</v>
      </c>
      <c r="M54" s="8"/>
    </row>
    <row r="55" customFormat="false" ht="29.85" hidden="false" customHeight="false" outlineLevel="0" collapsed="false">
      <c r="A55" s="13" t="n">
        <v>54</v>
      </c>
      <c r="B55" s="12" t="s">
        <v>257</v>
      </c>
      <c r="C55" s="13" t="s">
        <v>50</v>
      </c>
      <c r="D55" s="12" t="s">
        <v>268</v>
      </c>
      <c r="E55" s="11" t="s">
        <v>269</v>
      </c>
      <c r="F55" s="8" t="s">
        <v>270</v>
      </c>
      <c r="G55" s="11" t="s">
        <v>271</v>
      </c>
      <c r="H55" s="9" t="n">
        <f aca="false">SUMIF('시간 근거'!$A$2:$A$546,D55,'시간 근거'!$E$2:$E$546)</f>
        <v>30</v>
      </c>
      <c r="I55" s="9" t="n">
        <f aca="false">SUMIF('시간 근거'!$A$2:$A$546,D55,'시간 근거'!$F$2:$F$546)</f>
        <v>40</v>
      </c>
      <c r="J55" s="10" t="n">
        <v>25</v>
      </c>
      <c r="K55" s="10" t="n">
        <v>35</v>
      </c>
      <c r="L55" s="8" t="s">
        <v>272</v>
      </c>
      <c r="M55" s="8"/>
    </row>
    <row r="56" customFormat="false" ht="29.85" hidden="false" customHeight="false" outlineLevel="0" collapsed="false">
      <c r="A56" s="13" t="n">
        <v>55</v>
      </c>
      <c r="B56" s="12" t="s">
        <v>257</v>
      </c>
      <c r="C56" s="13" t="s">
        <v>50</v>
      </c>
      <c r="D56" s="12" t="s">
        <v>273</v>
      </c>
      <c r="E56" s="8" t="s">
        <v>274</v>
      </c>
      <c r="F56" s="8" t="s">
        <v>275</v>
      </c>
      <c r="G56" s="11" t="s">
        <v>276</v>
      </c>
      <c r="H56" s="9" t="n">
        <f aca="false">SUMIF('시간 근거'!$A$2:$A$546,D56,'시간 근거'!$E$2:$E$546)</f>
        <v>30</v>
      </c>
      <c r="I56" s="9" t="n">
        <f aca="false">SUMIF('시간 근거'!$A$2:$A$546,D56,'시간 근거'!$F$2:$F$546)</f>
        <v>40</v>
      </c>
      <c r="J56" s="10" t="n">
        <v>25</v>
      </c>
      <c r="K56" s="10" t="n">
        <v>35</v>
      </c>
      <c r="L56" s="8" t="s">
        <v>277</v>
      </c>
      <c r="M56" s="8"/>
    </row>
    <row r="57" customFormat="false" ht="29.85" hidden="false" customHeight="false" outlineLevel="0" collapsed="false">
      <c r="A57" s="13" t="n">
        <v>56</v>
      </c>
      <c r="B57" s="12" t="s">
        <v>257</v>
      </c>
      <c r="C57" s="13" t="s">
        <v>50</v>
      </c>
      <c r="D57" s="12" t="s">
        <v>278</v>
      </c>
      <c r="E57" s="8" t="s">
        <v>279</v>
      </c>
      <c r="F57" s="8" t="s">
        <v>280</v>
      </c>
      <c r="G57" s="11" t="s">
        <v>281</v>
      </c>
      <c r="H57" s="9" t="n">
        <f aca="false">SUMIF('시간 근거'!$A$2:$A$546,D57,'시간 근거'!$E$2:$E$546)</f>
        <v>30</v>
      </c>
      <c r="I57" s="9" t="n">
        <f aca="false">SUMIF('시간 근거'!$A$2:$A$546,D57,'시간 근거'!$F$2:$F$546)</f>
        <v>35</v>
      </c>
      <c r="J57" s="10" t="n">
        <v>25</v>
      </c>
      <c r="K57" s="10" t="n">
        <v>30</v>
      </c>
      <c r="L57" s="8" t="s">
        <v>282</v>
      </c>
      <c r="M57" s="8"/>
    </row>
    <row r="58" customFormat="false" ht="29.85" hidden="false" customHeight="false" outlineLevel="0" collapsed="false">
      <c r="A58" s="13" t="n">
        <v>57</v>
      </c>
      <c r="B58" s="12" t="s">
        <v>257</v>
      </c>
      <c r="C58" s="13" t="s">
        <v>50</v>
      </c>
      <c r="D58" s="12" t="s">
        <v>283</v>
      </c>
      <c r="E58" s="8" t="s">
        <v>284</v>
      </c>
      <c r="F58" s="8" t="s">
        <v>285</v>
      </c>
      <c r="G58" s="11" t="s">
        <v>286</v>
      </c>
      <c r="H58" s="9" t="n">
        <f aca="false">SUMIF('시간 근거'!$A$2:$A$546,D58,'시간 근거'!$E$2:$E$546)</f>
        <v>25</v>
      </c>
      <c r="I58" s="9" t="n">
        <f aca="false">SUMIF('시간 근거'!$A$2:$A$546,D58,'시간 근거'!$F$2:$F$546)</f>
        <v>25</v>
      </c>
      <c r="J58" s="10" t="n">
        <v>20</v>
      </c>
      <c r="K58" s="10" t="n">
        <v>20</v>
      </c>
      <c r="L58" s="8" t="s">
        <v>287</v>
      </c>
      <c r="M58" s="8"/>
    </row>
    <row r="59" customFormat="false" ht="15" hidden="false" customHeight="false" outlineLevel="0" collapsed="false">
      <c r="A59" s="13" t="n">
        <v>58</v>
      </c>
      <c r="B59" s="12" t="s">
        <v>257</v>
      </c>
      <c r="C59" s="13" t="s">
        <v>50</v>
      </c>
      <c r="D59" s="12" t="s">
        <v>288</v>
      </c>
      <c r="E59" s="8" t="s">
        <v>102</v>
      </c>
      <c r="F59" s="8" t="s">
        <v>289</v>
      </c>
      <c r="G59" s="8"/>
      <c r="H59" s="9" t="n">
        <f aca="false">SUMIF('시간 근거'!$A$2:$A$546,D59,'시간 근거'!$E$2:$E$546)</f>
        <v>10</v>
      </c>
      <c r="I59" s="9" t="n">
        <f aca="false">SUMIF('시간 근거'!$A$2:$A$546,D59,'시간 근거'!$F$2:$F$546)</f>
        <v>10</v>
      </c>
      <c r="J59" s="10" t="n">
        <v>10</v>
      </c>
      <c r="K59" s="10" t="n">
        <v>10</v>
      </c>
      <c r="L59" s="8" t="s">
        <v>104</v>
      </c>
      <c r="M59" s="8"/>
    </row>
    <row r="60" customFormat="false" ht="44" hidden="false" customHeight="false" outlineLevel="0" collapsed="false">
      <c r="A60" s="15" t="n">
        <v>59</v>
      </c>
      <c r="B60" s="14" t="s">
        <v>257</v>
      </c>
      <c r="C60" s="15" t="s">
        <v>105</v>
      </c>
      <c r="D60" s="14" t="s">
        <v>290</v>
      </c>
      <c r="E60" s="8" t="s">
        <v>291</v>
      </c>
      <c r="F60" s="11" t="s">
        <v>292</v>
      </c>
      <c r="G60" s="8"/>
      <c r="H60" s="9" t="n">
        <f aca="false">SUMIF('시간 근거'!$A$2:$A$546,D60,'시간 근거'!$E$2:$E$546)</f>
        <v>30</v>
      </c>
      <c r="I60" s="9" t="n">
        <f aca="false">SUMIF('시간 근거'!$A$2:$A$546,D60,'시간 근거'!$F$2:$F$546)</f>
        <v>45</v>
      </c>
      <c r="J60" s="10" t="n">
        <v>25</v>
      </c>
      <c r="K60" s="10" t="n">
        <v>40</v>
      </c>
      <c r="L60" s="8" t="s">
        <v>293</v>
      </c>
      <c r="M60" s="8"/>
    </row>
    <row r="61" customFormat="false" ht="44" hidden="false" customHeight="false" outlineLevel="0" collapsed="false">
      <c r="A61" s="15" t="n">
        <v>60</v>
      </c>
      <c r="B61" s="14" t="s">
        <v>257</v>
      </c>
      <c r="C61" s="15" t="s">
        <v>105</v>
      </c>
      <c r="D61" s="14" t="s">
        <v>294</v>
      </c>
      <c r="E61" s="8" t="s">
        <v>295</v>
      </c>
      <c r="F61" s="8" t="s">
        <v>296</v>
      </c>
      <c r="G61" s="8"/>
      <c r="H61" s="9" t="n">
        <f aca="false">SUMIF('시간 근거'!$A$2:$A$546,D61,'시간 근거'!$E$2:$E$546)</f>
        <v>30</v>
      </c>
      <c r="I61" s="9" t="n">
        <f aca="false">SUMIF('시간 근거'!$A$2:$A$546,D61,'시간 근거'!$F$2:$F$546)</f>
        <v>35</v>
      </c>
      <c r="J61" s="10" t="n">
        <v>25</v>
      </c>
      <c r="K61" s="10" t="n">
        <v>30</v>
      </c>
      <c r="L61" s="8" t="s">
        <v>114</v>
      </c>
      <c r="M61" s="11" t="s">
        <v>48</v>
      </c>
    </row>
    <row r="62" customFormat="false" ht="44" hidden="false" customHeight="false" outlineLevel="0" collapsed="false">
      <c r="A62" s="15" t="n">
        <v>61</v>
      </c>
      <c r="B62" s="14" t="s">
        <v>257</v>
      </c>
      <c r="C62" s="15" t="s">
        <v>105</v>
      </c>
      <c r="D62" s="14" t="s">
        <v>297</v>
      </c>
      <c r="E62" s="8" t="s">
        <v>298</v>
      </c>
      <c r="F62" s="8" t="s">
        <v>299</v>
      </c>
      <c r="G62" s="8"/>
      <c r="H62" s="9" t="n">
        <f aca="false">SUMIF('시간 근거'!$A$2:$A$546,D62,'시간 근거'!$E$2:$E$546)</f>
        <v>30</v>
      </c>
      <c r="I62" s="9" t="n">
        <f aca="false">SUMIF('시간 근거'!$A$2:$A$546,D62,'시간 근거'!$F$2:$F$546)</f>
        <v>40</v>
      </c>
      <c r="J62" s="10" t="n">
        <v>25</v>
      </c>
      <c r="K62" s="10" t="n">
        <v>35</v>
      </c>
      <c r="L62" s="8" t="s">
        <v>300</v>
      </c>
      <c r="M62" s="11" t="s">
        <v>301</v>
      </c>
    </row>
    <row r="63" customFormat="false" ht="44" hidden="false" customHeight="false" outlineLevel="0" collapsed="false">
      <c r="A63" s="15" t="n">
        <v>62</v>
      </c>
      <c r="B63" s="14" t="s">
        <v>257</v>
      </c>
      <c r="C63" s="15" t="s">
        <v>105</v>
      </c>
      <c r="D63" s="14" t="s">
        <v>302</v>
      </c>
      <c r="E63" s="8" t="s">
        <v>303</v>
      </c>
      <c r="F63" s="8" t="s">
        <v>304</v>
      </c>
      <c r="G63" s="8"/>
      <c r="H63" s="9" t="n">
        <f aca="false">SUMIF('시간 근거'!$A$2:$A$546,D63,'시간 근거'!$E$2:$E$546)</f>
        <v>30</v>
      </c>
      <c r="I63" s="9" t="n">
        <f aca="false">SUMIF('시간 근거'!$A$2:$A$546,D63,'시간 근거'!$F$2:$F$546)</f>
        <v>45</v>
      </c>
      <c r="J63" s="10" t="n">
        <v>25</v>
      </c>
      <c r="K63" s="10" t="n">
        <v>40</v>
      </c>
      <c r="L63" s="8" t="s">
        <v>305</v>
      </c>
      <c r="M63" s="11" t="s">
        <v>306</v>
      </c>
    </row>
    <row r="64" customFormat="false" ht="29.85" hidden="false" customHeight="false" outlineLevel="0" collapsed="false">
      <c r="A64" s="17" t="n">
        <v>63</v>
      </c>
      <c r="B64" s="16" t="s">
        <v>257</v>
      </c>
      <c r="C64" s="17" t="s">
        <v>125</v>
      </c>
      <c r="D64" s="16" t="s">
        <v>307</v>
      </c>
      <c r="E64" s="8" t="s">
        <v>308</v>
      </c>
      <c r="F64" s="11" t="s">
        <v>309</v>
      </c>
      <c r="G64" s="8"/>
      <c r="H64" s="9" t="n">
        <f aca="false">SUMIF('시간 근거'!$A$2:$A$546,D64,'시간 근거'!$E$2:$E$546)</f>
        <v>45</v>
      </c>
      <c r="I64" s="9" t="n">
        <f aca="false">SUMIF('시간 근거'!$A$2:$A$546,D64,'시간 근거'!$F$2:$F$546)</f>
        <v>50</v>
      </c>
      <c r="J64" s="10" t="n">
        <v>40</v>
      </c>
      <c r="K64" s="10" t="n">
        <v>45</v>
      </c>
      <c r="L64" s="8" t="s">
        <v>310</v>
      </c>
      <c r="M64" s="11" t="s">
        <v>130</v>
      </c>
    </row>
    <row r="65" customFormat="false" ht="29.85" hidden="false" customHeight="false" outlineLevel="0" collapsed="false">
      <c r="A65" s="17" t="n">
        <v>64</v>
      </c>
      <c r="B65" s="16" t="s">
        <v>257</v>
      </c>
      <c r="C65" s="17" t="s">
        <v>125</v>
      </c>
      <c r="D65" s="16" t="s">
        <v>311</v>
      </c>
      <c r="E65" s="8" t="s">
        <v>312</v>
      </c>
      <c r="F65" s="11" t="s">
        <v>313</v>
      </c>
      <c r="G65" s="8"/>
      <c r="H65" s="9" t="n">
        <f aca="false">SUMIF('시간 근거'!$A$2:$A$546,D65,'시간 근거'!$E$2:$E$546)</f>
        <v>40</v>
      </c>
      <c r="I65" s="9" t="n">
        <f aca="false">SUMIF('시간 근거'!$A$2:$A$546,D65,'시간 근거'!$F$2:$F$546)</f>
        <v>45</v>
      </c>
      <c r="J65" s="10" t="n">
        <v>35</v>
      </c>
      <c r="K65" s="10" t="n">
        <v>40</v>
      </c>
      <c r="L65" s="8" t="s">
        <v>157</v>
      </c>
      <c r="M65" s="11" t="s">
        <v>130</v>
      </c>
    </row>
    <row r="66" customFormat="false" ht="29.85" hidden="false" customHeight="false" outlineLevel="0" collapsed="false">
      <c r="A66" s="17" t="n">
        <v>65</v>
      </c>
      <c r="B66" s="16" t="s">
        <v>257</v>
      </c>
      <c r="C66" s="17" t="s">
        <v>125</v>
      </c>
      <c r="D66" s="16" t="s">
        <v>314</v>
      </c>
      <c r="E66" s="8" t="s">
        <v>315</v>
      </c>
      <c r="F66" s="11" t="s">
        <v>316</v>
      </c>
      <c r="G66" s="8"/>
      <c r="H66" s="9" t="n">
        <f aca="false">SUMIF('시간 근거'!$A$2:$A$546,D66,'시간 근거'!$E$2:$E$546)</f>
        <v>30</v>
      </c>
      <c r="I66" s="9" t="n">
        <f aca="false">SUMIF('시간 근거'!$A$2:$A$546,D66,'시간 근거'!$F$2:$F$546)</f>
        <v>35</v>
      </c>
      <c r="J66" s="10" t="n">
        <v>25</v>
      </c>
      <c r="K66" s="10" t="n">
        <v>30</v>
      </c>
      <c r="L66" s="8" t="s">
        <v>317</v>
      </c>
      <c r="M66" s="11" t="s">
        <v>130</v>
      </c>
    </row>
    <row r="67" customFormat="false" ht="29.85" hidden="false" customHeight="false" outlineLevel="0" collapsed="false">
      <c r="A67" s="17" t="n">
        <v>66</v>
      </c>
      <c r="B67" s="16" t="s">
        <v>257</v>
      </c>
      <c r="C67" s="17" t="s">
        <v>125</v>
      </c>
      <c r="D67" s="16" t="s">
        <v>318</v>
      </c>
      <c r="E67" s="8" t="s">
        <v>319</v>
      </c>
      <c r="F67" s="11" t="s">
        <v>320</v>
      </c>
      <c r="G67" s="8"/>
      <c r="H67" s="9" t="n">
        <f aca="false">SUMIF('시간 근거'!$A$2:$A$546,D67,'시간 근거'!$E$2:$E$546)</f>
        <v>40</v>
      </c>
      <c r="I67" s="9" t="n">
        <f aca="false">SUMIF('시간 근거'!$A$2:$A$546,D67,'시간 근거'!$F$2:$F$546)</f>
        <v>45</v>
      </c>
      <c r="J67" s="10" t="n">
        <v>35</v>
      </c>
      <c r="K67" s="10" t="n">
        <v>40</v>
      </c>
      <c r="L67" s="8" t="s">
        <v>157</v>
      </c>
      <c r="M67" s="11" t="s">
        <v>253</v>
      </c>
    </row>
    <row r="68" customFormat="false" ht="29.85" hidden="false" customHeight="false" outlineLevel="0" collapsed="false">
      <c r="A68" s="17" t="n">
        <v>67</v>
      </c>
      <c r="B68" s="16" t="s">
        <v>257</v>
      </c>
      <c r="C68" s="17" t="s">
        <v>125</v>
      </c>
      <c r="D68" s="16" t="s">
        <v>321</v>
      </c>
      <c r="E68" s="8" t="s">
        <v>322</v>
      </c>
      <c r="F68" s="11" t="s">
        <v>323</v>
      </c>
      <c r="G68" s="8"/>
      <c r="H68" s="9" t="n">
        <f aca="false">SUMIF('시간 근거'!$A$2:$A$546,D68,'시간 근거'!$E$2:$E$546)</f>
        <v>40</v>
      </c>
      <c r="I68" s="9" t="n">
        <f aca="false">SUMIF('시간 근거'!$A$2:$A$546,D68,'시간 근거'!$F$2:$F$546)</f>
        <v>45</v>
      </c>
      <c r="J68" s="10" t="n">
        <v>35</v>
      </c>
      <c r="K68" s="10" t="n">
        <v>40</v>
      </c>
      <c r="L68" s="8" t="s">
        <v>157</v>
      </c>
      <c r="M68" s="11" t="s">
        <v>130</v>
      </c>
    </row>
    <row r="69" customFormat="false" ht="29.85" hidden="false" customHeight="false" outlineLevel="0" collapsed="false">
      <c r="A69" s="17" t="n">
        <v>68</v>
      </c>
      <c r="B69" s="16" t="s">
        <v>257</v>
      </c>
      <c r="C69" s="17" t="s">
        <v>125</v>
      </c>
      <c r="D69" s="16" t="s">
        <v>286</v>
      </c>
      <c r="E69" s="8" t="s">
        <v>324</v>
      </c>
      <c r="F69" s="11" t="s">
        <v>325</v>
      </c>
      <c r="G69" s="8"/>
      <c r="H69" s="9" t="n">
        <f aca="false">SUMIF('시간 근거'!$A$2:$A$546,D69,'시간 근거'!$E$2:$E$546)</f>
        <v>45</v>
      </c>
      <c r="I69" s="9" t="n">
        <f aca="false">SUMIF('시간 근거'!$A$2:$A$546,D69,'시간 근거'!$F$2:$F$546)</f>
        <v>50</v>
      </c>
      <c r="J69" s="10" t="n">
        <v>40</v>
      </c>
      <c r="K69" s="10" t="n">
        <v>45</v>
      </c>
      <c r="L69" s="8" t="s">
        <v>326</v>
      </c>
      <c r="M69" s="11" t="s">
        <v>130</v>
      </c>
    </row>
    <row r="70" customFormat="false" ht="29.85" hidden="false" customHeight="false" outlineLevel="0" collapsed="false">
      <c r="A70" s="7" t="n">
        <v>69</v>
      </c>
      <c r="B70" s="7" t="s">
        <v>327</v>
      </c>
      <c r="C70" s="7" t="s">
        <v>327</v>
      </c>
      <c r="D70" s="6" t="s">
        <v>328</v>
      </c>
      <c r="E70" s="8" t="s">
        <v>329</v>
      </c>
      <c r="F70" s="8" t="s">
        <v>330</v>
      </c>
      <c r="G70" s="8"/>
      <c r="H70" s="9" t="n">
        <f aca="false">SUMIF('시간 근거'!$A$2:$A$546,D70,'시간 근거'!$E$2:$E$546)</f>
        <v>50</v>
      </c>
      <c r="I70" s="9" t="n">
        <f aca="false">SUMIF('시간 근거'!$A$2:$A$546,D70,'시간 근거'!$F$2:$F$546)</f>
        <v>50</v>
      </c>
      <c r="J70" s="10" t="n">
        <v>50</v>
      </c>
      <c r="K70" s="10" t="n">
        <v>50</v>
      </c>
      <c r="L70" s="8" t="s">
        <v>104</v>
      </c>
      <c r="M70" s="8"/>
    </row>
    <row r="71" customFormat="false" ht="15" hidden="false" customHeight="false" outlineLevel="0" collapsed="false">
      <c r="E71" s="18" t="s">
        <v>331</v>
      </c>
      <c r="H71" s="19" t="n">
        <f aca="false">SUM(H2:H70)</f>
        <v>2300</v>
      </c>
      <c r="I71" s="19" t="n">
        <f aca="false">SUM(I2:I70)</f>
        <v>2695</v>
      </c>
      <c r="J71" s="19" t="n">
        <f aca="false">SUM(J2:J70)</f>
        <v>1970</v>
      </c>
      <c r="K71" s="19" t="n">
        <f aca="false">SUM(K2:K70)</f>
        <v>2370</v>
      </c>
    </row>
  </sheetData>
  <autoFilter ref="A1:M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7.28"/>
    <col collapsed="false" customWidth="true" hidden="false" outlineLevel="0" max="6" min="3" style="0" width="10.92"/>
  </cols>
  <sheetData>
    <row r="1" customFormat="false" ht="15" hidden="false" customHeight="false" outlineLevel="0" collapsed="false">
      <c r="A1" s="5" t="s">
        <v>15</v>
      </c>
      <c r="B1" s="5" t="s">
        <v>332</v>
      </c>
      <c r="C1" s="5" t="s">
        <v>333</v>
      </c>
      <c r="D1" s="5" t="s">
        <v>334</v>
      </c>
      <c r="E1" s="5" t="s">
        <v>335</v>
      </c>
      <c r="F1" s="5" t="s">
        <v>336</v>
      </c>
    </row>
    <row r="2" customFormat="false" ht="15" hidden="false" customHeight="false" outlineLevel="0" collapsed="false">
      <c r="A2" s="20" t="s">
        <v>27</v>
      </c>
      <c r="B2" s="21" t="n">
        <f aca="false">COUNTIF(실라버스!$B$2:$B$70,A2)</f>
        <v>5</v>
      </c>
      <c r="C2" s="21" t="n">
        <f aca="false">SUMIF(실라버스!$B$2:$B$70,$A2,실라버스!$H$2:$H$70)</f>
        <v>150</v>
      </c>
      <c r="D2" s="21" t="n">
        <f aca="false">SUMIF(실라버스!$B$2:$B$70,$A2,실라버스!$I$2:$I$70)</f>
        <v>160</v>
      </c>
      <c r="E2" s="21" t="n">
        <f aca="false">SUMIF(실라버스!$B$2:$B$70,$A2,실라버스!$J$2:$J$70)</f>
        <v>125</v>
      </c>
      <c r="F2" s="21" t="n">
        <f aca="false">SUMIF(실라버스!$B$2:$B$70,$A2,실라버스!$K$2:$K$70)</f>
        <v>140</v>
      </c>
    </row>
    <row r="3" customFormat="false" ht="15" hidden="false" customHeight="false" outlineLevel="0" collapsed="false">
      <c r="A3" s="20" t="s">
        <v>49</v>
      </c>
      <c r="B3" s="21" t="n">
        <f aca="false">COUNTIF(실라버스!$B$2:$B$70,A3)</f>
        <v>25</v>
      </c>
      <c r="C3" s="21" t="n">
        <f aca="false">SUMIF(실라버스!$B$2:$B$70,$A3,실라버스!$H$2:$H$70)</f>
        <v>855</v>
      </c>
      <c r="D3" s="21" t="n">
        <f aca="false">SUMIF(실라버스!$B$2:$B$70,$A3,실라버스!$I$2:$I$70)</f>
        <v>1020</v>
      </c>
      <c r="E3" s="21" t="n">
        <f aca="false">SUMIF(실라버스!$B$2:$B$70,$A3,실라버스!$J$2:$J$70)</f>
        <v>730</v>
      </c>
      <c r="F3" s="21" t="n">
        <f aca="false">SUMIF(실라버스!$B$2:$B$70,$A3,실라버스!$K$2:$K$70)</f>
        <v>890</v>
      </c>
    </row>
    <row r="4" customFormat="false" ht="15" hidden="false" customHeight="false" outlineLevel="0" collapsed="false">
      <c r="A4" s="20" t="s">
        <v>168</v>
      </c>
      <c r="B4" s="21" t="n">
        <f aca="false">COUNTIF(실라버스!$B$2:$B$70,A4)</f>
        <v>21</v>
      </c>
      <c r="C4" s="21" t="n">
        <f aca="false">SUMIF(실라버스!$B$2:$B$70,$A4,실라버스!$H$2:$H$70)</f>
        <v>700</v>
      </c>
      <c r="D4" s="21" t="n">
        <f aca="false">SUMIF(실라버스!$B$2:$B$70,$A4,실라버스!$I$2:$I$70)</f>
        <v>790</v>
      </c>
      <c r="E4" s="21" t="n">
        <f aca="false">SUMIF(실라버스!$B$2:$B$70,$A4,실라버스!$J$2:$J$70)</f>
        <v>600</v>
      </c>
      <c r="F4" s="21" t="n">
        <f aca="false">SUMIF(실라버스!$B$2:$B$70,$A4,실라버스!$K$2:$K$70)</f>
        <v>695</v>
      </c>
    </row>
    <row r="5" customFormat="false" ht="15" hidden="false" customHeight="false" outlineLevel="0" collapsed="false">
      <c r="A5" s="22" t="s">
        <v>257</v>
      </c>
      <c r="B5" s="21" t="n">
        <f aca="false">COUNTIF(실라버스!$B$2:$B$70,A5)</f>
        <v>17</v>
      </c>
      <c r="C5" s="21" t="n">
        <f aca="false">SUMIF(실라버스!$B$2:$B$70,$A5,실라버스!$H$2:$H$70)</f>
        <v>545</v>
      </c>
      <c r="D5" s="21" t="n">
        <f aca="false">SUMIF(실라버스!$B$2:$B$70,$A5,실라버스!$I$2:$I$70)</f>
        <v>675</v>
      </c>
      <c r="E5" s="21" t="n">
        <f aca="false">SUMIF(실라버스!$B$2:$B$70,$A5,실라버스!$J$2:$J$70)</f>
        <v>465</v>
      </c>
      <c r="F5" s="21" t="n">
        <f aca="false">SUMIF(실라버스!$B$2:$B$70,$A5,실라버스!$K$2:$K$70)</f>
        <v>595</v>
      </c>
    </row>
    <row r="6" customFormat="false" ht="15" hidden="false" customHeight="false" outlineLevel="0" collapsed="false">
      <c r="A6" s="20" t="s">
        <v>327</v>
      </c>
      <c r="B6" s="21" t="n">
        <f aca="false">COUNTIF(실라버스!$B$2:$B$70,A6)</f>
        <v>1</v>
      </c>
      <c r="C6" s="21" t="n">
        <f aca="false">SUMIF(실라버스!$B$2:$B$70,$A6,실라버스!$H$2:$H$70)</f>
        <v>50</v>
      </c>
      <c r="D6" s="21" t="n">
        <f aca="false">SUMIF(실라버스!$B$2:$B$70,$A6,실라버스!$I$2:$I$70)</f>
        <v>50</v>
      </c>
      <c r="E6" s="21" t="n">
        <f aca="false">SUMIF(실라버스!$B$2:$B$70,$A6,실라버스!$J$2:$J$70)</f>
        <v>50</v>
      </c>
      <c r="F6" s="21" t="n">
        <f aca="false">SUMIF(실라버스!$B$2:$B$70,$A6,실라버스!$K$2:$K$70)</f>
        <v>50</v>
      </c>
    </row>
    <row r="7" customFormat="false" ht="15" hidden="false" customHeight="false" outlineLevel="0" collapsed="false">
      <c r="A7" s="23" t="s">
        <v>331</v>
      </c>
      <c r="B7" s="21" t="n">
        <f aca="false">SUM(B2:B6)</f>
        <v>69</v>
      </c>
      <c r="C7" s="19" t="n">
        <f aca="false">SUM(C2:C6)</f>
        <v>2300</v>
      </c>
      <c r="D7" s="19" t="n">
        <f aca="false">SUM(D2:D6)</f>
        <v>2695</v>
      </c>
      <c r="E7" s="19" t="n">
        <f aca="false">SUM(E2:E6)</f>
        <v>1970</v>
      </c>
      <c r="F7" s="19" t="n">
        <f aca="false">SUM(F2:F6)</f>
        <v>2370</v>
      </c>
    </row>
    <row r="8" customFormat="false" ht="15" hidden="false" customHeight="false" outlineLevel="0" collapsed="false">
      <c r="A8" s="23" t="s">
        <v>337</v>
      </c>
      <c r="C8" s="10" t="n">
        <v>2640</v>
      </c>
      <c r="D8" s="10" t="n">
        <v>2520</v>
      </c>
      <c r="E8" s="10" t="n">
        <v>1920</v>
      </c>
      <c r="F8" s="10" t="n">
        <v>2280</v>
      </c>
    </row>
    <row r="9" customFormat="false" ht="15" hidden="false" customHeight="false" outlineLevel="0" collapsed="false">
      <c r="A9" s="23" t="s">
        <v>338</v>
      </c>
      <c r="C9" s="19" t="n">
        <f aca="false">C7-C8</f>
        <v>-340</v>
      </c>
      <c r="D9" s="19" t="n">
        <f aca="false">D7-D8</f>
        <v>175</v>
      </c>
      <c r="E9" s="19" t="n">
        <f aca="false">E7-E8</f>
        <v>50</v>
      </c>
      <c r="F9" s="19" t="n">
        <f aca="false">F7-F8</f>
        <v>90</v>
      </c>
    </row>
    <row r="11" customFormat="false" ht="15" hidden="false" customHeight="false" outlineLevel="0" collapsed="false">
      <c r="A11" s="23" t="s">
        <v>339</v>
      </c>
    </row>
    <row r="12" customFormat="false" ht="15" hidden="false" customHeight="false" outlineLevel="0" collapsed="false">
      <c r="A12" s="24" t="s">
        <v>49</v>
      </c>
      <c r="C12" s="25" t="n">
        <f aca="false">IFERROR(C3/(C3+C4+C5),0)</f>
        <v>0.407142857142857</v>
      </c>
      <c r="D12" s="25" t="n">
        <f aca="false">IFERROR(D3/(D3+D4+D5),0)</f>
        <v>0.41046277665996</v>
      </c>
      <c r="E12" s="25" t="n">
        <f aca="false">IFERROR(E3/(E3+E4+E5),0)</f>
        <v>0.406685236768802</v>
      </c>
      <c r="F12" s="25" t="n">
        <f aca="false">IFERROR(F3/(F3+F4+F5),0)</f>
        <v>0.408256880733945</v>
      </c>
    </row>
    <row r="13" customFormat="false" ht="15" hidden="false" customHeight="false" outlineLevel="0" collapsed="false">
      <c r="A13" s="24" t="s">
        <v>168</v>
      </c>
      <c r="C13" s="25" t="n">
        <f aca="false">IFERROR(C4/(C3+C4+C5),0)</f>
        <v>0.333333333333333</v>
      </c>
      <c r="D13" s="25" t="n">
        <f aca="false">IFERROR(D4/(D3+D4+D5),0)</f>
        <v>0.317907444668008</v>
      </c>
      <c r="E13" s="25" t="n">
        <f aca="false">IFERROR(E4/(E3+E4+E5),0)</f>
        <v>0.334261838440111</v>
      </c>
      <c r="F13" s="25" t="n">
        <f aca="false">IFERROR(F4/(F3+F4+F5),0)</f>
        <v>0.318807339449541</v>
      </c>
    </row>
    <row r="14" customFormat="false" ht="15" hidden="false" customHeight="false" outlineLevel="0" collapsed="false">
      <c r="A14" s="26" t="s">
        <v>257</v>
      </c>
      <c r="C14" s="25" t="n">
        <f aca="false">IFERROR(C5/(C3+C4+C5),0)</f>
        <v>0.25952380952381</v>
      </c>
      <c r="D14" s="25" t="n">
        <f aca="false">IFERROR(D5/(D3+D4+D5),0)</f>
        <v>0.271629778672032</v>
      </c>
      <c r="E14" s="25" t="n">
        <f aca="false">IFERROR(E5/(E3+E4+E5),0)</f>
        <v>0.259052924791086</v>
      </c>
      <c r="F14" s="25" t="n">
        <f aca="false">IFERROR(F5/(F3+F4+F5),0)</f>
        <v>0.272935779816514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8.19"/>
    <col collapsed="false" customWidth="true" hidden="false" outlineLevel="0" max="2" min="2" style="0" width="9.1"/>
    <col collapsed="false" customWidth="true" hidden="false" outlineLevel="0" max="3" min="3" style="0" width="7.28"/>
    <col collapsed="false" customWidth="true" hidden="false" outlineLevel="0" max="4" min="4" style="0" width="63.69"/>
    <col collapsed="false" customWidth="true" hidden="false" outlineLevel="0" max="6" min="5" style="0" width="11.83"/>
  </cols>
  <sheetData>
    <row r="1" customFormat="false" ht="29.85" hidden="false" customHeight="false" outlineLevel="0" collapsed="false">
      <c r="A1" s="5" t="s">
        <v>17</v>
      </c>
      <c r="B1" s="5" t="s">
        <v>15</v>
      </c>
      <c r="C1" s="5" t="s">
        <v>16</v>
      </c>
      <c r="D1" s="5" t="s">
        <v>340</v>
      </c>
      <c r="E1" s="5" t="s">
        <v>21</v>
      </c>
      <c r="F1" s="5" t="s">
        <v>22</v>
      </c>
    </row>
    <row r="2" customFormat="false" ht="15" hidden="false" customHeight="false" outlineLevel="0" collapsed="false">
      <c r="A2" s="9" t="s">
        <v>28</v>
      </c>
      <c r="B2" s="27" t="s">
        <v>27</v>
      </c>
      <c r="C2" s="27" t="s">
        <v>27</v>
      </c>
      <c r="D2" s="8" t="s">
        <v>341</v>
      </c>
      <c r="E2" s="10" t="n">
        <v>8</v>
      </c>
      <c r="F2" s="10" t="n">
        <v>6</v>
      </c>
    </row>
    <row r="3" customFormat="false" ht="15" hidden="false" customHeight="false" outlineLevel="0" collapsed="false">
      <c r="A3" s="9" t="s">
        <v>28</v>
      </c>
      <c r="B3" s="27" t="s">
        <v>27</v>
      </c>
      <c r="C3" s="27" t="s">
        <v>27</v>
      </c>
      <c r="D3" s="11" t="s">
        <v>342</v>
      </c>
      <c r="E3" s="10" t="n">
        <v>5</v>
      </c>
      <c r="F3" s="10" t="n">
        <v>8</v>
      </c>
    </row>
    <row r="4" customFormat="false" ht="15" hidden="false" customHeight="false" outlineLevel="0" collapsed="false">
      <c r="A4" s="9" t="s">
        <v>28</v>
      </c>
      <c r="B4" s="27" t="s">
        <v>27</v>
      </c>
      <c r="C4" s="27" t="s">
        <v>27</v>
      </c>
      <c r="D4" s="8" t="s">
        <v>343</v>
      </c>
      <c r="E4" s="10" t="n">
        <v>8</v>
      </c>
      <c r="F4" s="10" t="n">
        <v>8</v>
      </c>
    </row>
    <row r="5" customFormat="false" ht="15" hidden="false" customHeight="false" outlineLevel="0" collapsed="false">
      <c r="A5" s="9" t="s">
        <v>28</v>
      </c>
      <c r="B5" s="27" t="s">
        <v>27</v>
      </c>
      <c r="C5" s="27" t="s">
        <v>27</v>
      </c>
      <c r="D5" s="8" t="s">
        <v>344</v>
      </c>
      <c r="E5" s="10" t="n">
        <v>5</v>
      </c>
      <c r="F5" s="10" t="n">
        <v>6</v>
      </c>
    </row>
    <row r="6" customFormat="false" ht="15" hidden="false" customHeight="false" outlineLevel="0" collapsed="false">
      <c r="A6" s="9" t="s">
        <v>28</v>
      </c>
      <c r="B6" s="27" t="s">
        <v>27</v>
      </c>
      <c r="C6" s="27" t="s">
        <v>27</v>
      </c>
      <c r="D6" s="8" t="s">
        <v>345</v>
      </c>
      <c r="E6" s="10" t="n">
        <v>4</v>
      </c>
      <c r="F6" s="10" t="n">
        <v>4</v>
      </c>
    </row>
    <row r="7" customFormat="false" ht="15" hidden="false" customHeight="false" outlineLevel="0" collapsed="false">
      <c r="A7" s="9" t="s">
        <v>28</v>
      </c>
      <c r="B7" s="27" t="s">
        <v>27</v>
      </c>
      <c r="C7" s="27" t="s">
        <v>27</v>
      </c>
      <c r="D7" s="8" t="s">
        <v>346</v>
      </c>
      <c r="E7" s="10" t="n">
        <v>0</v>
      </c>
      <c r="F7" s="10" t="n">
        <v>6</v>
      </c>
    </row>
    <row r="8" customFormat="false" ht="15" hidden="false" customHeight="false" outlineLevel="0" collapsed="false">
      <c r="A8" s="9" t="s">
        <v>28</v>
      </c>
      <c r="B8" s="27" t="s">
        <v>27</v>
      </c>
      <c r="C8" s="27" t="s">
        <v>27</v>
      </c>
      <c r="D8" s="8" t="s">
        <v>347</v>
      </c>
      <c r="E8" s="10" t="n">
        <v>0</v>
      </c>
      <c r="F8" s="10" t="n">
        <v>2</v>
      </c>
    </row>
    <row r="9" customFormat="false" ht="15" hidden="false" customHeight="false" outlineLevel="0" collapsed="false">
      <c r="A9" s="9" t="s">
        <v>32</v>
      </c>
      <c r="B9" s="27" t="s">
        <v>27</v>
      </c>
      <c r="C9" s="27" t="s">
        <v>27</v>
      </c>
      <c r="D9" s="8" t="s">
        <v>348</v>
      </c>
      <c r="E9" s="10" t="n">
        <v>10</v>
      </c>
      <c r="F9" s="10" t="n">
        <v>8</v>
      </c>
    </row>
    <row r="10" customFormat="false" ht="15" hidden="false" customHeight="false" outlineLevel="0" collapsed="false">
      <c r="A10" s="9" t="s">
        <v>32</v>
      </c>
      <c r="B10" s="27" t="s">
        <v>27</v>
      </c>
      <c r="C10" s="27" t="s">
        <v>27</v>
      </c>
      <c r="D10" s="11" t="s">
        <v>349</v>
      </c>
      <c r="E10" s="10" t="n">
        <v>10</v>
      </c>
      <c r="F10" s="10" t="n">
        <v>10</v>
      </c>
    </row>
    <row r="11" customFormat="false" ht="15" hidden="false" customHeight="false" outlineLevel="0" collapsed="false">
      <c r="A11" s="9" t="s">
        <v>32</v>
      </c>
      <c r="B11" s="27" t="s">
        <v>27</v>
      </c>
      <c r="C11" s="27" t="s">
        <v>27</v>
      </c>
      <c r="D11" s="8" t="s">
        <v>350</v>
      </c>
      <c r="E11" s="10" t="n">
        <v>7</v>
      </c>
      <c r="F11" s="10" t="n">
        <v>7</v>
      </c>
    </row>
    <row r="12" customFormat="false" ht="15" hidden="false" customHeight="false" outlineLevel="0" collapsed="false">
      <c r="A12" s="9" t="s">
        <v>32</v>
      </c>
      <c r="B12" s="27" t="s">
        <v>27</v>
      </c>
      <c r="C12" s="27" t="s">
        <v>27</v>
      </c>
      <c r="D12" s="8" t="s">
        <v>351</v>
      </c>
      <c r="E12" s="10" t="n">
        <v>3</v>
      </c>
      <c r="F12" s="10" t="n">
        <v>5</v>
      </c>
    </row>
    <row r="13" customFormat="false" ht="15" hidden="false" customHeight="false" outlineLevel="0" collapsed="false">
      <c r="A13" s="9" t="s">
        <v>36</v>
      </c>
      <c r="B13" s="27" t="s">
        <v>27</v>
      </c>
      <c r="C13" s="27" t="s">
        <v>27</v>
      </c>
      <c r="D13" s="8" t="s">
        <v>352</v>
      </c>
      <c r="E13" s="10" t="n">
        <v>10</v>
      </c>
      <c r="F13" s="10" t="n">
        <v>8</v>
      </c>
    </row>
    <row r="14" customFormat="false" ht="15" hidden="false" customHeight="false" outlineLevel="0" collapsed="false">
      <c r="A14" s="9" t="s">
        <v>36</v>
      </c>
      <c r="B14" s="27" t="s">
        <v>27</v>
      </c>
      <c r="C14" s="27" t="s">
        <v>27</v>
      </c>
      <c r="D14" s="8" t="s">
        <v>353</v>
      </c>
      <c r="E14" s="10" t="n">
        <v>8</v>
      </c>
      <c r="F14" s="10" t="n">
        <v>6</v>
      </c>
    </row>
    <row r="15" customFormat="false" ht="15" hidden="false" customHeight="false" outlineLevel="0" collapsed="false">
      <c r="A15" s="9" t="s">
        <v>36</v>
      </c>
      <c r="B15" s="27" t="s">
        <v>27</v>
      </c>
      <c r="C15" s="27" t="s">
        <v>27</v>
      </c>
      <c r="D15" s="8" t="s">
        <v>354</v>
      </c>
      <c r="E15" s="10" t="n">
        <v>7</v>
      </c>
      <c r="F15" s="10" t="n">
        <v>6</v>
      </c>
    </row>
    <row r="16" customFormat="false" ht="15" hidden="false" customHeight="false" outlineLevel="0" collapsed="false">
      <c r="A16" s="9" t="s">
        <v>36</v>
      </c>
      <c r="B16" s="27" t="s">
        <v>27</v>
      </c>
      <c r="C16" s="27" t="s">
        <v>27</v>
      </c>
      <c r="D16" s="8" t="s">
        <v>355</v>
      </c>
      <c r="E16" s="10" t="n">
        <v>5</v>
      </c>
      <c r="F16" s="10" t="n">
        <v>5</v>
      </c>
    </row>
    <row r="17" customFormat="false" ht="15" hidden="false" customHeight="false" outlineLevel="0" collapsed="false">
      <c r="A17" s="9" t="s">
        <v>40</v>
      </c>
      <c r="B17" s="27" t="s">
        <v>27</v>
      </c>
      <c r="C17" s="27" t="s">
        <v>27</v>
      </c>
      <c r="D17" s="8" t="s">
        <v>356</v>
      </c>
      <c r="E17" s="10" t="n">
        <v>6</v>
      </c>
      <c r="F17" s="10" t="n">
        <v>5</v>
      </c>
    </row>
    <row r="18" customFormat="false" ht="15" hidden="false" customHeight="false" outlineLevel="0" collapsed="false">
      <c r="A18" s="9" t="s">
        <v>40</v>
      </c>
      <c r="B18" s="27" t="s">
        <v>27</v>
      </c>
      <c r="C18" s="27" t="s">
        <v>27</v>
      </c>
      <c r="D18" s="8" t="s">
        <v>357</v>
      </c>
      <c r="E18" s="10" t="n">
        <v>8</v>
      </c>
      <c r="F18" s="10" t="n">
        <v>6</v>
      </c>
    </row>
    <row r="19" customFormat="false" ht="15" hidden="false" customHeight="false" outlineLevel="0" collapsed="false">
      <c r="A19" s="9" t="s">
        <v>40</v>
      </c>
      <c r="B19" s="27" t="s">
        <v>27</v>
      </c>
      <c r="C19" s="27" t="s">
        <v>27</v>
      </c>
      <c r="D19" s="11" t="s">
        <v>358</v>
      </c>
      <c r="E19" s="10" t="n">
        <v>8</v>
      </c>
      <c r="F19" s="10" t="n">
        <v>10</v>
      </c>
    </row>
    <row r="20" customFormat="false" ht="15" hidden="false" customHeight="false" outlineLevel="0" collapsed="false">
      <c r="A20" s="9" t="s">
        <v>40</v>
      </c>
      <c r="B20" s="27" t="s">
        <v>27</v>
      </c>
      <c r="C20" s="27" t="s">
        <v>27</v>
      </c>
      <c r="D20" s="8" t="s">
        <v>359</v>
      </c>
      <c r="E20" s="10" t="n">
        <v>5</v>
      </c>
      <c r="F20" s="10" t="n">
        <v>5</v>
      </c>
    </row>
    <row r="21" customFormat="false" ht="15" hidden="false" customHeight="false" outlineLevel="0" collapsed="false">
      <c r="A21" s="9" t="s">
        <v>40</v>
      </c>
      <c r="B21" s="27" t="s">
        <v>27</v>
      </c>
      <c r="C21" s="27" t="s">
        <v>27</v>
      </c>
      <c r="D21" s="8" t="s">
        <v>347</v>
      </c>
      <c r="E21" s="10" t="n">
        <v>3</v>
      </c>
      <c r="F21" s="10" t="n">
        <v>4</v>
      </c>
    </row>
    <row r="22" customFormat="false" ht="15" hidden="false" customHeight="false" outlineLevel="0" collapsed="false">
      <c r="A22" s="9" t="s">
        <v>44</v>
      </c>
      <c r="B22" s="27" t="s">
        <v>27</v>
      </c>
      <c r="C22" s="27" t="s">
        <v>27</v>
      </c>
      <c r="D22" s="8" t="s">
        <v>360</v>
      </c>
      <c r="E22" s="10" t="n">
        <v>5</v>
      </c>
      <c r="F22" s="10" t="n">
        <v>5</v>
      </c>
    </row>
    <row r="23" customFormat="false" ht="15" hidden="false" customHeight="false" outlineLevel="0" collapsed="false">
      <c r="A23" s="9" t="s">
        <v>44</v>
      </c>
      <c r="B23" s="27" t="s">
        <v>27</v>
      </c>
      <c r="C23" s="27" t="s">
        <v>27</v>
      </c>
      <c r="D23" s="8" t="s">
        <v>361</v>
      </c>
      <c r="E23" s="10" t="n">
        <v>2</v>
      </c>
      <c r="F23" s="10" t="n">
        <v>2</v>
      </c>
    </row>
    <row r="24" customFormat="false" ht="15" hidden="false" customHeight="false" outlineLevel="0" collapsed="false">
      <c r="A24" s="9" t="s">
        <v>44</v>
      </c>
      <c r="B24" s="27" t="s">
        <v>27</v>
      </c>
      <c r="C24" s="27" t="s">
        <v>27</v>
      </c>
      <c r="D24" s="11" t="s">
        <v>362</v>
      </c>
      <c r="E24" s="10" t="n">
        <v>4</v>
      </c>
      <c r="F24" s="10" t="n">
        <v>4</v>
      </c>
    </row>
    <row r="25" customFormat="false" ht="15" hidden="false" customHeight="false" outlineLevel="0" collapsed="false">
      <c r="A25" s="9" t="s">
        <v>44</v>
      </c>
      <c r="B25" s="27" t="s">
        <v>27</v>
      </c>
      <c r="C25" s="27" t="s">
        <v>27</v>
      </c>
      <c r="D25" s="8" t="s">
        <v>363</v>
      </c>
      <c r="E25" s="10" t="n">
        <v>4</v>
      </c>
      <c r="F25" s="10" t="n">
        <v>4</v>
      </c>
    </row>
    <row r="26" customFormat="false" ht="15" hidden="false" customHeight="false" outlineLevel="0" collapsed="false">
      <c r="A26" s="9" t="s">
        <v>44</v>
      </c>
      <c r="B26" s="27" t="s">
        <v>27</v>
      </c>
      <c r="C26" s="27" t="s">
        <v>27</v>
      </c>
      <c r="D26" s="8" t="s">
        <v>364</v>
      </c>
      <c r="E26" s="10" t="n">
        <v>3</v>
      </c>
      <c r="F26" s="10" t="n">
        <v>3</v>
      </c>
    </row>
    <row r="27" customFormat="false" ht="15" hidden="false" customHeight="false" outlineLevel="0" collapsed="false">
      <c r="A27" s="9" t="s">
        <v>44</v>
      </c>
      <c r="B27" s="27" t="s">
        <v>27</v>
      </c>
      <c r="C27" s="27" t="s">
        <v>27</v>
      </c>
      <c r="D27" s="8" t="s">
        <v>365</v>
      </c>
      <c r="E27" s="10" t="n">
        <v>7</v>
      </c>
      <c r="F27" s="10" t="n">
        <v>12</v>
      </c>
    </row>
    <row r="28" customFormat="false" ht="15" hidden="false" customHeight="false" outlineLevel="0" collapsed="false">
      <c r="A28" s="9" t="s">
        <v>44</v>
      </c>
      <c r="B28" s="27" t="s">
        <v>27</v>
      </c>
      <c r="C28" s="27" t="s">
        <v>27</v>
      </c>
      <c r="D28" s="8" t="s">
        <v>366</v>
      </c>
      <c r="E28" s="10" t="n">
        <v>2</v>
      </c>
      <c r="F28" s="10" t="n">
        <v>3</v>
      </c>
    </row>
    <row r="29" customFormat="false" ht="15" hidden="false" customHeight="false" outlineLevel="0" collapsed="false">
      <c r="A29" s="9" t="s">
        <v>44</v>
      </c>
      <c r="B29" s="27" t="s">
        <v>27</v>
      </c>
      <c r="C29" s="27" t="s">
        <v>27</v>
      </c>
      <c r="D29" s="8" t="s">
        <v>367</v>
      </c>
      <c r="E29" s="10" t="n">
        <v>3</v>
      </c>
      <c r="F29" s="10" t="n">
        <v>2</v>
      </c>
    </row>
    <row r="30" customFormat="false" ht="15" hidden="false" customHeight="false" outlineLevel="0" collapsed="false">
      <c r="A30" s="9" t="s">
        <v>51</v>
      </c>
      <c r="B30" s="27" t="s">
        <v>49</v>
      </c>
      <c r="C30" s="27" t="s">
        <v>50</v>
      </c>
      <c r="D30" s="8" t="s">
        <v>368</v>
      </c>
      <c r="E30" s="10" t="n">
        <v>5</v>
      </c>
      <c r="F30" s="10" t="n">
        <v>4</v>
      </c>
    </row>
    <row r="31" customFormat="false" ht="15" hidden="false" customHeight="false" outlineLevel="0" collapsed="false">
      <c r="A31" s="9" t="s">
        <v>51</v>
      </c>
      <c r="B31" s="27" t="s">
        <v>49</v>
      </c>
      <c r="C31" s="27" t="s">
        <v>50</v>
      </c>
      <c r="D31" s="8" t="s">
        <v>369</v>
      </c>
      <c r="E31" s="10" t="n">
        <v>5</v>
      </c>
      <c r="F31" s="10" t="n">
        <v>5</v>
      </c>
    </row>
    <row r="32" customFormat="false" ht="15" hidden="false" customHeight="false" outlineLevel="0" collapsed="false">
      <c r="A32" s="9" t="s">
        <v>51</v>
      </c>
      <c r="B32" s="27" t="s">
        <v>49</v>
      </c>
      <c r="C32" s="27" t="s">
        <v>50</v>
      </c>
      <c r="D32" s="8" t="s">
        <v>370</v>
      </c>
      <c r="E32" s="10" t="n">
        <v>8</v>
      </c>
      <c r="F32" s="10" t="n">
        <v>7</v>
      </c>
    </row>
    <row r="33" customFormat="false" ht="15" hidden="false" customHeight="false" outlineLevel="0" collapsed="false">
      <c r="A33" s="9" t="s">
        <v>51</v>
      </c>
      <c r="B33" s="27" t="s">
        <v>49</v>
      </c>
      <c r="C33" s="27" t="s">
        <v>50</v>
      </c>
      <c r="D33" s="8" t="s">
        <v>371</v>
      </c>
      <c r="E33" s="10" t="n">
        <v>7</v>
      </c>
      <c r="F33" s="10" t="n">
        <v>6</v>
      </c>
    </row>
    <row r="34" customFormat="false" ht="15" hidden="false" customHeight="false" outlineLevel="0" collapsed="false">
      <c r="A34" s="9" t="s">
        <v>51</v>
      </c>
      <c r="B34" s="27" t="s">
        <v>49</v>
      </c>
      <c r="C34" s="27" t="s">
        <v>50</v>
      </c>
      <c r="D34" s="8" t="s">
        <v>372</v>
      </c>
      <c r="E34" s="10" t="n">
        <v>5</v>
      </c>
      <c r="F34" s="10" t="n">
        <v>3</v>
      </c>
    </row>
    <row r="35" customFormat="false" ht="15" hidden="false" customHeight="false" outlineLevel="0" collapsed="false">
      <c r="A35" s="9" t="s">
        <v>51</v>
      </c>
      <c r="B35" s="27" t="s">
        <v>49</v>
      </c>
      <c r="C35" s="27" t="s">
        <v>50</v>
      </c>
      <c r="D35" s="8" t="s">
        <v>373</v>
      </c>
      <c r="E35" s="10" t="n">
        <v>0</v>
      </c>
      <c r="F35" s="10" t="n">
        <v>5</v>
      </c>
    </row>
    <row r="36" customFormat="false" ht="15" hidden="false" customHeight="false" outlineLevel="0" collapsed="false">
      <c r="A36" s="9" t="s">
        <v>56</v>
      </c>
      <c r="B36" s="27" t="s">
        <v>49</v>
      </c>
      <c r="C36" s="27" t="s">
        <v>50</v>
      </c>
      <c r="D36" s="8" t="s">
        <v>374</v>
      </c>
      <c r="E36" s="10" t="n">
        <v>5</v>
      </c>
      <c r="F36" s="10" t="n">
        <v>4</v>
      </c>
    </row>
    <row r="37" customFormat="false" ht="15" hidden="false" customHeight="false" outlineLevel="0" collapsed="false">
      <c r="A37" s="9" t="s">
        <v>56</v>
      </c>
      <c r="B37" s="27" t="s">
        <v>49</v>
      </c>
      <c r="C37" s="27" t="s">
        <v>50</v>
      </c>
      <c r="D37" s="8" t="s">
        <v>375</v>
      </c>
      <c r="E37" s="10" t="n">
        <v>8</v>
      </c>
      <c r="F37" s="10" t="n">
        <v>7</v>
      </c>
    </row>
    <row r="38" customFormat="false" ht="15" hidden="false" customHeight="false" outlineLevel="0" collapsed="false">
      <c r="A38" s="9" t="s">
        <v>56</v>
      </c>
      <c r="B38" s="27" t="s">
        <v>49</v>
      </c>
      <c r="C38" s="27" t="s">
        <v>50</v>
      </c>
      <c r="D38" s="8" t="s">
        <v>376</v>
      </c>
      <c r="E38" s="10" t="n">
        <v>7</v>
      </c>
      <c r="F38" s="10" t="n">
        <v>6</v>
      </c>
    </row>
    <row r="39" customFormat="false" ht="15" hidden="false" customHeight="false" outlineLevel="0" collapsed="false">
      <c r="A39" s="9" t="s">
        <v>56</v>
      </c>
      <c r="B39" s="27" t="s">
        <v>49</v>
      </c>
      <c r="C39" s="27" t="s">
        <v>50</v>
      </c>
      <c r="D39" s="8" t="s">
        <v>377</v>
      </c>
      <c r="E39" s="10" t="n">
        <v>6</v>
      </c>
      <c r="F39" s="10" t="n">
        <v>5</v>
      </c>
    </row>
    <row r="40" customFormat="false" ht="15" hidden="false" customHeight="false" outlineLevel="0" collapsed="false">
      <c r="A40" s="9" t="s">
        <v>56</v>
      </c>
      <c r="B40" s="27" t="s">
        <v>49</v>
      </c>
      <c r="C40" s="27" t="s">
        <v>50</v>
      </c>
      <c r="D40" s="8" t="s">
        <v>347</v>
      </c>
      <c r="E40" s="10" t="n">
        <v>4</v>
      </c>
      <c r="F40" s="10" t="n">
        <v>3</v>
      </c>
    </row>
    <row r="41" customFormat="false" ht="15" hidden="false" customHeight="false" outlineLevel="0" collapsed="false">
      <c r="A41" s="9" t="s">
        <v>56</v>
      </c>
      <c r="B41" s="27" t="s">
        <v>49</v>
      </c>
      <c r="C41" s="27" t="s">
        <v>50</v>
      </c>
      <c r="D41" s="8" t="s">
        <v>373</v>
      </c>
      <c r="E41" s="10" t="n">
        <v>0</v>
      </c>
      <c r="F41" s="10" t="n">
        <v>5</v>
      </c>
    </row>
    <row r="42" customFormat="false" ht="15" hidden="false" customHeight="false" outlineLevel="0" collapsed="false">
      <c r="A42" s="9" t="s">
        <v>61</v>
      </c>
      <c r="B42" s="27" t="s">
        <v>49</v>
      </c>
      <c r="C42" s="27" t="s">
        <v>50</v>
      </c>
      <c r="D42" s="8" t="s">
        <v>378</v>
      </c>
      <c r="E42" s="10" t="n">
        <v>6</v>
      </c>
      <c r="F42" s="10" t="n">
        <v>5</v>
      </c>
    </row>
    <row r="43" customFormat="false" ht="15" hidden="false" customHeight="false" outlineLevel="0" collapsed="false">
      <c r="A43" s="9" t="s">
        <v>61</v>
      </c>
      <c r="B43" s="27" t="s">
        <v>49</v>
      </c>
      <c r="C43" s="27" t="s">
        <v>50</v>
      </c>
      <c r="D43" s="8" t="s">
        <v>379</v>
      </c>
      <c r="E43" s="10" t="n">
        <v>8</v>
      </c>
      <c r="F43" s="10" t="n">
        <v>7</v>
      </c>
    </row>
    <row r="44" customFormat="false" ht="15" hidden="false" customHeight="false" outlineLevel="0" collapsed="false">
      <c r="A44" s="9" t="s">
        <v>61</v>
      </c>
      <c r="B44" s="27" t="s">
        <v>49</v>
      </c>
      <c r="C44" s="27" t="s">
        <v>50</v>
      </c>
      <c r="D44" s="8" t="s">
        <v>380</v>
      </c>
      <c r="E44" s="10" t="n">
        <v>8</v>
      </c>
      <c r="F44" s="10" t="n">
        <v>7</v>
      </c>
    </row>
    <row r="45" customFormat="false" ht="15" hidden="false" customHeight="false" outlineLevel="0" collapsed="false">
      <c r="A45" s="9" t="s">
        <v>61</v>
      </c>
      <c r="B45" s="27" t="s">
        <v>49</v>
      </c>
      <c r="C45" s="27" t="s">
        <v>50</v>
      </c>
      <c r="D45" s="8" t="s">
        <v>381</v>
      </c>
      <c r="E45" s="10" t="n">
        <v>5</v>
      </c>
      <c r="F45" s="10" t="n">
        <v>4</v>
      </c>
    </row>
    <row r="46" customFormat="false" ht="15" hidden="false" customHeight="false" outlineLevel="0" collapsed="false">
      <c r="A46" s="9" t="s">
        <v>61</v>
      </c>
      <c r="B46" s="27" t="s">
        <v>49</v>
      </c>
      <c r="C46" s="27" t="s">
        <v>50</v>
      </c>
      <c r="D46" s="8" t="s">
        <v>347</v>
      </c>
      <c r="E46" s="10" t="n">
        <v>3</v>
      </c>
      <c r="F46" s="10" t="n">
        <v>2</v>
      </c>
    </row>
    <row r="47" customFormat="false" ht="15" hidden="false" customHeight="false" outlineLevel="0" collapsed="false">
      <c r="A47" s="9" t="s">
        <v>61</v>
      </c>
      <c r="B47" s="27" t="s">
        <v>49</v>
      </c>
      <c r="C47" s="27" t="s">
        <v>50</v>
      </c>
      <c r="D47" s="8" t="s">
        <v>373</v>
      </c>
      <c r="E47" s="10" t="n">
        <v>0</v>
      </c>
      <c r="F47" s="10" t="n">
        <v>5</v>
      </c>
    </row>
    <row r="48" customFormat="false" ht="15" hidden="false" customHeight="false" outlineLevel="0" collapsed="false">
      <c r="A48" s="9" t="s">
        <v>66</v>
      </c>
      <c r="B48" s="27" t="s">
        <v>49</v>
      </c>
      <c r="C48" s="27" t="s">
        <v>50</v>
      </c>
      <c r="D48" s="8" t="s">
        <v>382</v>
      </c>
      <c r="E48" s="10" t="n">
        <v>5</v>
      </c>
      <c r="F48" s="10" t="n">
        <v>5</v>
      </c>
    </row>
    <row r="49" customFormat="false" ht="15" hidden="false" customHeight="false" outlineLevel="0" collapsed="false">
      <c r="A49" s="9" t="s">
        <v>66</v>
      </c>
      <c r="B49" s="27" t="s">
        <v>49</v>
      </c>
      <c r="C49" s="27" t="s">
        <v>50</v>
      </c>
      <c r="D49" s="8" t="s">
        <v>383</v>
      </c>
      <c r="E49" s="10" t="n">
        <v>7</v>
      </c>
      <c r="F49" s="10" t="n">
        <v>8</v>
      </c>
    </row>
    <row r="50" customFormat="false" ht="15" hidden="false" customHeight="false" outlineLevel="0" collapsed="false">
      <c r="A50" s="9" t="s">
        <v>66</v>
      </c>
      <c r="B50" s="27" t="s">
        <v>49</v>
      </c>
      <c r="C50" s="27" t="s">
        <v>50</v>
      </c>
      <c r="D50" s="11" t="s">
        <v>384</v>
      </c>
      <c r="E50" s="10" t="n">
        <v>10</v>
      </c>
      <c r="F50" s="10" t="n">
        <v>12</v>
      </c>
    </row>
    <row r="51" customFormat="false" ht="15" hidden="false" customHeight="false" outlineLevel="0" collapsed="false">
      <c r="A51" s="9" t="s">
        <v>66</v>
      </c>
      <c r="B51" s="27" t="s">
        <v>49</v>
      </c>
      <c r="C51" s="27" t="s">
        <v>50</v>
      </c>
      <c r="D51" s="8" t="s">
        <v>385</v>
      </c>
      <c r="E51" s="10" t="n">
        <v>6</v>
      </c>
      <c r="F51" s="10" t="n">
        <v>15</v>
      </c>
    </row>
    <row r="52" customFormat="false" ht="15" hidden="false" customHeight="false" outlineLevel="0" collapsed="false">
      <c r="A52" s="9" t="s">
        <v>66</v>
      </c>
      <c r="B52" s="27" t="s">
        <v>49</v>
      </c>
      <c r="C52" s="27" t="s">
        <v>50</v>
      </c>
      <c r="D52" s="8" t="s">
        <v>386</v>
      </c>
      <c r="E52" s="10" t="n">
        <v>2</v>
      </c>
      <c r="F52" s="10" t="n">
        <v>5</v>
      </c>
    </row>
    <row r="53" customFormat="false" ht="15" hidden="false" customHeight="false" outlineLevel="0" collapsed="false">
      <c r="A53" s="9" t="s">
        <v>66</v>
      </c>
      <c r="B53" s="27" t="s">
        <v>49</v>
      </c>
      <c r="C53" s="27" t="s">
        <v>50</v>
      </c>
      <c r="D53" s="8" t="s">
        <v>387</v>
      </c>
      <c r="E53" s="10" t="n">
        <v>0</v>
      </c>
      <c r="F53" s="10" t="n">
        <v>5</v>
      </c>
    </row>
    <row r="54" customFormat="false" ht="15" hidden="false" customHeight="false" outlineLevel="0" collapsed="false">
      <c r="A54" s="9" t="s">
        <v>71</v>
      </c>
      <c r="B54" s="27" t="s">
        <v>49</v>
      </c>
      <c r="C54" s="27" t="s">
        <v>50</v>
      </c>
      <c r="D54" s="8" t="s">
        <v>388</v>
      </c>
      <c r="E54" s="10" t="n">
        <v>5</v>
      </c>
      <c r="F54" s="10" t="n">
        <v>4</v>
      </c>
    </row>
    <row r="55" customFormat="false" ht="15" hidden="false" customHeight="false" outlineLevel="0" collapsed="false">
      <c r="A55" s="9" t="s">
        <v>71</v>
      </c>
      <c r="B55" s="27" t="s">
        <v>49</v>
      </c>
      <c r="C55" s="27" t="s">
        <v>50</v>
      </c>
      <c r="D55" s="8" t="s">
        <v>389</v>
      </c>
      <c r="E55" s="10" t="n">
        <v>8</v>
      </c>
      <c r="F55" s="10" t="n">
        <v>7</v>
      </c>
    </row>
    <row r="56" customFormat="false" ht="15" hidden="false" customHeight="false" outlineLevel="0" collapsed="false">
      <c r="A56" s="9" t="s">
        <v>71</v>
      </c>
      <c r="B56" s="27" t="s">
        <v>49</v>
      </c>
      <c r="C56" s="27" t="s">
        <v>50</v>
      </c>
      <c r="D56" s="8" t="s">
        <v>390</v>
      </c>
      <c r="E56" s="10" t="n">
        <v>8</v>
      </c>
      <c r="F56" s="10" t="n">
        <v>15</v>
      </c>
    </row>
    <row r="57" customFormat="false" ht="15" hidden="false" customHeight="false" outlineLevel="0" collapsed="false">
      <c r="A57" s="9" t="s">
        <v>71</v>
      </c>
      <c r="B57" s="27" t="s">
        <v>49</v>
      </c>
      <c r="C57" s="27" t="s">
        <v>50</v>
      </c>
      <c r="D57" s="8" t="s">
        <v>391</v>
      </c>
      <c r="E57" s="10" t="n">
        <v>6</v>
      </c>
      <c r="F57" s="10" t="n">
        <v>5</v>
      </c>
    </row>
    <row r="58" customFormat="false" ht="15" hidden="false" customHeight="false" outlineLevel="0" collapsed="false">
      <c r="A58" s="9" t="s">
        <v>71</v>
      </c>
      <c r="B58" s="27" t="s">
        <v>49</v>
      </c>
      <c r="C58" s="27" t="s">
        <v>50</v>
      </c>
      <c r="D58" s="8" t="s">
        <v>347</v>
      </c>
      <c r="E58" s="10" t="n">
        <v>3</v>
      </c>
      <c r="F58" s="10" t="n">
        <v>4</v>
      </c>
    </row>
    <row r="59" customFormat="false" ht="15" hidden="false" customHeight="false" outlineLevel="0" collapsed="false">
      <c r="A59" s="9" t="s">
        <v>76</v>
      </c>
      <c r="B59" s="27" t="s">
        <v>49</v>
      </c>
      <c r="C59" s="27" t="s">
        <v>50</v>
      </c>
      <c r="D59" s="8" t="s">
        <v>392</v>
      </c>
      <c r="E59" s="10" t="n">
        <v>6</v>
      </c>
      <c r="F59" s="10" t="n">
        <v>5</v>
      </c>
    </row>
    <row r="60" customFormat="false" ht="15" hidden="false" customHeight="false" outlineLevel="0" collapsed="false">
      <c r="A60" s="9" t="s">
        <v>76</v>
      </c>
      <c r="B60" s="27" t="s">
        <v>49</v>
      </c>
      <c r="C60" s="27" t="s">
        <v>50</v>
      </c>
      <c r="D60" s="8" t="s">
        <v>393</v>
      </c>
      <c r="E60" s="10" t="n">
        <v>8</v>
      </c>
      <c r="F60" s="10" t="n">
        <v>8</v>
      </c>
    </row>
    <row r="61" customFormat="false" ht="15" hidden="false" customHeight="false" outlineLevel="0" collapsed="false">
      <c r="A61" s="9" t="s">
        <v>76</v>
      </c>
      <c r="B61" s="27" t="s">
        <v>49</v>
      </c>
      <c r="C61" s="27" t="s">
        <v>50</v>
      </c>
      <c r="D61" s="8" t="s">
        <v>394</v>
      </c>
      <c r="E61" s="10" t="n">
        <v>8</v>
      </c>
      <c r="F61" s="10" t="n">
        <v>7</v>
      </c>
    </row>
    <row r="62" customFormat="false" ht="15" hidden="false" customHeight="false" outlineLevel="0" collapsed="false">
      <c r="A62" s="9" t="s">
        <v>76</v>
      </c>
      <c r="B62" s="27" t="s">
        <v>49</v>
      </c>
      <c r="C62" s="27" t="s">
        <v>50</v>
      </c>
      <c r="D62" s="8" t="s">
        <v>395</v>
      </c>
      <c r="E62" s="10" t="n">
        <v>5</v>
      </c>
      <c r="F62" s="10" t="n">
        <v>15</v>
      </c>
    </row>
    <row r="63" customFormat="false" ht="15" hidden="false" customHeight="false" outlineLevel="0" collapsed="false">
      <c r="A63" s="9" t="s">
        <v>76</v>
      </c>
      <c r="B63" s="27" t="s">
        <v>49</v>
      </c>
      <c r="C63" s="27" t="s">
        <v>50</v>
      </c>
      <c r="D63" s="8" t="s">
        <v>396</v>
      </c>
      <c r="E63" s="10" t="n">
        <v>3</v>
      </c>
      <c r="F63" s="10" t="n">
        <v>5</v>
      </c>
    </row>
    <row r="64" customFormat="false" ht="15" hidden="false" customHeight="false" outlineLevel="0" collapsed="false">
      <c r="A64" s="9" t="s">
        <v>81</v>
      </c>
      <c r="B64" s="27" t="s">
        <v>49</v>
      </c>
      <c r="C64" s="27" t="s">
        <v>50</v>
      </c>
      <c r="D64" s="8" t="s">
        <v>397</v>
      </c>
      <c r="E64" s="10" t="n">
        <v>5</v>
      </c>
      <c r="F64" s="10" t="n">
        <v>5</v>
      </c>
    </row>
    <row r="65" customFormat="false" ht="15" hidden="false" customHeight="false" outlineLevel="0" collapsed="false">
      <c r="A65" s="9" t="s">
        <v>81</v>
      </c>
      <c r="B65" s="27" t="s">
        <v>49</v>
      </c>
      <c r="C65" s="27" t="s">
        <v>50</v>
      </c>
      <c r="D65" s="8" t="s">
        <v>398</v>
      </c>
      <c r="E65" s="10" t="n">
        <v>5</v>
      </c>
      <c r="F65" s="10" t="n">
        <v>5</v>
      </c>
    </row>
    <row r="66" customFormat="false" ht="15" hidden="false" customHeight="false" outlineLevel="0" collapsed="false">
      <c r="A66" s="9" t="s">
        <v>81</v>
      </c>
      <c r="B66" s="27" t="s">
        <v>49</v>
      </c>
      <c r="C66" s="27" t="s">
        <v>50</v>
      </c>
      <c r="D66" s="8" t="s">
        <v>399</v>
      </c>
      <c r="E66" s="10" t="n">
        <v>5</v>
      </c>
      <c r="F66" s="10" t="n">
        <v>5</v>
      </c>
    </row>
    <row r="67" customFormat="false" ht="15" hidden="false" customHeight="false" outlineLevel="0" collapsed="false">
      <c r="A67" s="9" t="s">
        <v>81</v>
      </c>
      <c r="B67" s="27" t="s">
        <v>49</v>
      </c>
      <c r="C67" s="27" t="s">
        <v>50</v>
      </c>
      <c r="D67" s="11" t="s">
        <v>400</v>
      </c>
      <c r="E67" s="10" t="n">
        <v>9</v>
      </c>
      <c r="F67" s="10" t="n">
        <v>10</v>
      </c>
    </row>
    <row r="68" customFormat="false" ht="15" hidden="false" customHeight="false" outlineLevel="0" collapsed="false">
      <c r="A68" s="9" t="s">
        <v>81</v>
      </c>
      <c r="B68" s="27" t="s">
        <v>49</v>
      </c>
      <c r="C68" s="27" t="s">
        <v>50</v>
      </c>
      <c r="D68" s="8" t="s">
        <v>401</v>
      </c>
      <c r="E68" s="10" t="n">
        <v>4</v>
      </c>
      <c r="F68" s="10" t="n">
        <v>10</v>
      </c>
    </row>
    <row r="69" customFormat="false" ht="15" hidden="false" customHeight="false" outlineLevel="0" collapsed="false">
      <c r="A69" s="9" t="s">
        <v>81</v>
      </c>
      <c r="B69" s="27" t="s">
        <v>49</v>
      </c>
      <c r="C69" s="27" t="s">
        <v>50</v>
      </c>
      <c r="D69" s="8" t="s">
        <v>402</v>
      </c>
      <c r="E69" s="10" t="n">
        <v>0</v>
      </c>
      <c r="F69" s="10" t="n">
        <v>5</v>
      </c>
    </row>
    <row r="70" customFormat="false" ht="15" hidden="false" customHeight="false" outlineLevel="0" collapsed="false">
      <c r="A70" s="9" t="s">
        <v>81</v>
      </c>
      <c r="B70" s="27" t="s">
        <v>49</v>
      </c>
      <c r="C70" s="27" t="s">
        <v>50</v>
      </c>
      <c r="D70" s="8" t="s">
        <v>347</v>
      </c>
      <c r="E70" s="10" t="n">
        <v>2</v>
      </c>
      <c r="F70" s="10" t="n">
        <v>5</v>
      </c>
    </row>
    <row r="71" customFormat="false" ht="15" hidden="false" customHeight="false" outlineLevel="0" collapsed="false">
      <c r="A71" s="9" t="s">
        <v>86</v>
      </c>
      <c r="B71" s="27" t="s">
        <v>49</v>
      </c>
      <c r="C71" s="27" t="s">
        <v>50</v>
      </c>
      <c r="D71" s="8" t="s">
        <v>403</v>
      </c>
      <c r="E71" s="10" t="n">
        <v>5</v>
      </c>
      <c r="F71" s="10" t="n">
        <v>4</v>
      </c>
    </row>
    <row r="72" customFormat="false" ht="15" hidden="false" customHeight="false" outlineLevel="0" collapsed="false">
      <c r="A72" s="9" t="s">
        <v>86</v>
      </c>
      <c r="B72" s="27" t="s">
        <v>49</v>
      </c>
      <c r="C72" s="27" t="s">
        <v>50</v>
      </c>
      <c r="D72" s="8" t="s">
        <v>404</v>
      </c>
      <c r="E72" s="10" t="n">
        <v>7</v>
      </c>
      <c r="F72" s="10" t="n">
        <v>8</v>
      </c>
    </row>
    <row r="73" customFormat="false" ht="15" hidden="false" customHeight="false" outlineLevel="0" collapsed="false">
      <c r="A73" s="9" t="s">
        <v>86</v>
      </c>
      <c r="B73" s="27" t="s">
        <v>49</v>
      </c>
      <c r="C73" s="27" t="s">
        <v>50</v>
      </c>
      <c r="D73" s="8" t="s">
        <v>405</v>
      </c>
      <c r="E73" s="10" t="n">
        <v>7</v>
      </c>
      <c r="F73" s="10" t="n">
        <v>8</v>
      </c>
    </row>
    <row r="74" customFormat="false" ht="15" hidden="false" customHeight="false" outlineLevel="0" collapsed="false">
      <c r="A74" s="9" t="s">
        <v>86</v>
      </c>
      <c r="B74" s="27" t="s">
        <v>49</v>
      </c>
      <c r="C74" s="27" t="s">
        <v>50</v>
      </c>
      <c r="D74" s="8" t="s">
        <v>406</v>
      </c>
      <c r="E74" s="10" t="n">
        <v>0</v>
      </c>
      <c r="F74" s="10" t="n">
        <v>20</v>
      </c>
    </row>
    <row r="75" customFormat="false" ht="15" hidden="false" customHeight="false" outlineLevel="0" collapsed="false">
      <c r="A75" s="9" t="s">
        <v>86</v>
      </c>
      <c r="B75" s="27" t="s">
        <v>49</v>
      </c>
      <c r="C75" s="27" t="s">
        <v>50</v>
      </c>
      <c r="D75" s="8" t="s">
        <v>407</v>
      </c>
      <c r="E75" s="10" t="n">
        <v>6</v>
      </c>
      <c r="F75" s="10" t="n">
        <v>6</v>
      </c>
    </row>
    <row r="76" customFormat="false" ht="15" hidden="false" customHeight="false" outlineLevel="0" collapsed="false">
      <c r="A76" s="9" t="s">
        <v>86</v>
      </c>
      <c r="B76" s="27" t="s">
        <v>49</v>
      </c>
      <c r="C76" s="27" t="s">
        <v>50</v>
      </c>
      <c r="D76" s="8" t="s">
        <v>408</v>
      </c>
      <c r="E76" s="10" t="n">
        <v>5</v>
      </c>
      <c r="F76" s="10" t="n">
        <v>4</v>
      </c>
    </row>
    <row r="77" customFormat="false" ht="15" hidden="false" customHeight="false" outlineLevel="0" collapsed="false">
      <c r="A77" s="9" t="s">
        <v>91</v>
      </c>
      <c r="B77" s="27" t="s">
        <v>49</v>
      </c>
      <c r="C77" s="27" t="s">
        <v>50</v>
      </c>
      <c r="D77" s="8" t="s">
        <v>409</v>
      </c>
      <c r="E77" s="10" t="n">
        <v>5</v>
      </c>
      <c r="F77" s="10" t="n">
        <v>4</v>
      </c>
    </row>
    <row r="78" customFormat="false" ht="15" hidden="false" customHeight="false" outlineLevel="0" collapsed="false">
      <c r="A78" s="9" t="s">
        <v>91</v>
      </c>
      <c r="B78" s="27" t="s">
        <v>49</v>
      </c>
      <c r="C78" s="27" t="s">
        <v>50</v>
      </c>
      <c r="D78" s="8" t="s">
        <v>410</v>
      </c>
      <c r="E78" s="10" t="n">
        <v>8</v>
      </c>
      <c r="F78" s="10" t="n">
        <v>7</v>
      </c>
    </row>
    <row r="79" customFormat="false" ht="15" hidden="false" customHeight="false" outlineLevel="0" collapsed="false">
      <c r="A79" s="9" t="s">
        <v>91</v>
      </c>
      <c r="B79" s="27" t="s">
        <v>49</v>
      </c>
      <c r="C79" s="27" t="s">
        <v>50</v>
      </c>
      <c r="D79" s="8" t="s">
        <v>411</v>
      </c>
      <c r="E79" s="10" t="n">
        <v>5</v>
      </c>
      <c r="F79" s="10" t="n">
        <v>4</v>
      </c>
    </row>
    <row r="80" customFormat="false" ht="15" hidden="false" customHeight="false" outlineLevel="0" collapsed="false">
      <c r="A80" s="9" t="s">
        <v>91</v>
      </c>
      <c r="B80" s="27" t="s">
        <v>49</v>
      </c>
      <c r="C80" s="27" t="s">
        <v>50</v>
      </c>
      <c r="D80" s="8" t="s">
        <v>412</v>
      </c>
      <c r="E80" s="10" t="n">
        <v>5</v>
      </c>
      <c r="F80" s="10" t="n">
        <v>12</v>
      </c>
    </row>
    <row r="81" customFormat="false" ht="15" hidden="false" customHeight="false" outlineLevel="0" collapsed="false">
      <c r="A81" s="9" t="s">
        <v>91</v>
      </c>
      <c r="B81" s="27" t="s">
        <v>49</v>
      </c>
      <c r="C81" s="27" t="s">
        <v>50</v>
      </c>
      <c r="D81" s="8" t="s">
        <v>413</v>
      </c>
      <c r="E81" s="10" t="n">
        <v>5</v>
      </c>
      <c r="F81" s="10" t="n">
        <v>13</v>
      </c>
    </row>
    <row r="82" customFormat="false" ht="15" hidden="false" customHeight="false" outlineLevel="0" collapsed="false">
      <c r="A82" s="9" t="s">
        <v>91</v>
      </c>
      <c r="B82" s="27" t="s">
        <v>49</v>
      </c>
      <c r="C82" s="27" t="s">
        <v>50</v>
      </c>
      <c r="D82" s="8" t="s">
        <v>414</v>
      </c>
      <c r="E82" s="10" t="n">
        <v>2</v>
      </c>
      <c r="F82" s="10" t="n">
        <v>5</v>
      </c>
    </row>
    <row r="83" customFormat="false" ht="15" hidden="false" customHeight="false" outlineLevel="0" collapsed="false">
      <c r="A83" s="9" t="s">
        <v>96</v>
      </c>
      <c r="B83" s="27" t="s">
        <v>49</v>
      </c>
      <c r="C83" s="27" t="s">
        <v>50</v>
      </c>
      <c r="D83" s="8" t="s">
        <v>415</v>
      </c>
      <c r="E83" s="10" t="n">
        <v>10</v>
      </c>
      <c r="F83" s="10" t="n">
        <v>8</v>
      </c>
    </row>
    <row r="84" customFormat="false" ht="15" hidden="false" customHeight="false" outlineLevel="0" collapsed="false">
      <c r="A84" s="9" t="s">
        <v>96</v>
      </c>
      <c r="B84" s="27" t="s">
        <v>49</v>
      </c>
      <c r="C84" s="27" t="s">
        <v>50</v>
      </c>
      <c r="D84" s="8" t="s">
        <v>416</v>
      </c>
      <c r="E84" s="10" t="n">
        <v>0</v>
      </c>
      <c r="F84" s="10" t="n">
        <v>7</v>
      </c>
    </row>
    <row r="85" customFormat="false" ht="15" hidden="false" customHeight="false" outlineLevel="0" collapsed="false">
      <c r="A85" s="9" t="s">
        <v>96</v>
      </c>
      <c r="B85" s="27" t="s">
        <v>49</v>
      </c>
      <c r="C85" s="27" t="s">
        <v>50</v>
      </c>
      <c r="D85" s="8" t="s">
        <v>417</v>
      </c>
      <c r="E85" s="10" t="n">
        <v>7</v>
      </c>
      <c r="F85" s="10" t="n">
        <v>7</v>
      </c>
    </row>
    <row r="86" customFormat="false" ht="15" hidden="false" customHeight="false" outlineLevel="0" collapsed="false">
      <c r="A86" s="9" t="s">
        <v>96</v>
      </c>
      <c r="B86" s="27" t="s">
        <v>49</v>
      </c>
      <c r="C86" s="27" t="s">
        <v>50</v>
      </c>
      <c r="D86" s="8" t="s">
        <v>418</v>
      </c>
      <c r="E86" s="10" t="n">
        <v>8</v>
      </c>
      <c r="F86" s="10" t="n">
        <v>10</v>
      </c>
    </row>
    <row r="87" customFormat="false" ht="15" hidden="false" customHeight="false" outlineLevel="0" collapsed="false">
      <c r="A87" s="9" t="s">
        <v>96</v>
      </c>
      <c r="B87" s="27" t="s">
        <v>49</v>
      </c>
      <c r="C87" s="27" t="s">
        <v>50</v>
      </c>
      <c r="D87" s="8" t="s">
        <v>347</v>
      </c>
      <c r="E87" s="10" t="n">
        <v>5</v>
      </c>
      <c r="F87" s="10" t="n">
        <v>3</v>
      </c>
    </row>
    <row r="88" customFormat="false" ht="15" hidden="false" customHeight="false" outlineLevel="0" collapsed="false">
      <c r="A88" s="9" t="s">
        <v>101</v>
      </c>
      <c r="B88" s="27" t="s">
        <v>49</v>
      </c>
      <c r="C88" s="27" t="s">
        <v>50</v>
      </c>
      <c r="D88" s="8" t="s">
        <v>419</v>
      </c>
      <c r="E88" s="10" t="n">
        <v>10</v>
      </c>
      <c r="F88" s="10" t="n">
        <v>10</v>
      </c>
    </row>
    <row r="89" customFormat="false" ht="15" hidden="false" customHeight="false" outlineLevel="0" collapsed="false">
      <c r="A89" s="9" t="s">
        <v>106</v>
      </c>
      <c r="B89" s="27" t="s">
        <v>49</v>
      </c>
      <c r="C89" s="27" t="s">
        <v>105</v>
      </c>
      <c r="D89" s="8" t="s">
        <v>420</v>
      </c>
      <c r="E89" s="10" t="n">
        <v>3</v>
      </c>
      <c r="F89" s="10" t="n">
        <v>3</v>
      </c>
    </row>
    <row r="90" customFormat="false" ht="15" hidden="false" customHeight="false" outlineLevel="0" collapsed="false">
      <c r="A90" s="9" t="s">
        <v>106</v>
      </c>
      <c r="B90" s="27" t="s">
        <v>49</v>
      </c>
      <c r="C90" s="27" t="s">
        <v>105</v>
      </c>
      <c r="D90" s="8" t="s">
        <v>421</v>
      </c>
      <c r="E90" s="10" t="n">
        <v>3</v>
      </c>
      <c r="F90" s="10" t="n">
        <v>4</v>
      </c>
    </row>
    <row r="91" customFormat="false" ht="15" hidden="false" customHeight="false" outlineLevel="0" collapsed="false">
      <c r="A91" s="9" t="s">
        <v>106</v>
      </c>
      <c r="B91" s="27" t="s">
        <v>49</v>
      </c>
      <c r="C91" s="27" t="s">
        <v>105</v>
      </c>
      <c r="D91" s="8" t="s">
        <v>422</v>
      </c>
      <c r="E91" s="10" t="n">
        <v>2</v>
      </c>
      <c r="F91" s="10" t="n">
        <v>2</v>
      </c>
    </row>
    <row r="92" customFormat="false" ht="15" hidden="false" customHeight="false" outlineLevel="0" collapsed="false">
      <c r="A92" s="9" t="s">
        <v>106</v>
      </c>
      <c r="B92" s="27" t="s">
        <v>49</v>
      </c>
      <c r="C92" s="27" t="s">
        <v>105</v>
      </c>
      <c r="D92" s="11" t="s">
        <v>423</v>
      </c>
      <c r="E92" s="10" t="n">
        <v>4</v>
      </c>
      <c r="F92" s="10" t="n">
        <v>4</v>
      </c>
    </row>
    <row r="93" customFormat="false" ht="15" hidden="false" customHeight="false" outlineLevel="0" collapsed="false">
      <c r="A93" s="9" t="s">
        <v>106</v>
      </c>
      <c r="B93" s="27" t="s">
        <v>49</v>
      </c>
      <c r="C93" s="27" t="s">
        <v>105</v>
      </c>
      <c r="D93" s="8" t="s">
        <v>424</v>
      </c>
      <c r="E93" s="10" t="n">
        <v>3</v>
      </c>
      <c r="F93" s="10" t="n">
        <v>3</v>
      </c>
    </row>
    <row r="94" customFormat="false" ht="15" hidden="false" customHeight="false" outlineLevel="0" collapsed="false">
      <c r="A94" s="9" t="s">
        <v>106</v>
      </c>
      <c r="B94" s="27" t="s">
        <v>49</v>
      </c>
      <c r="C94" s="27" t="s">
        <v>105</v>
      </c>
      <c r="D94" s="8" t="s">
        <v>425</v>
      </c>
      <c r="E94" s="10" t="n">
        <v>1</v>
      </c>
      <c r="F94" s="10" t="n">
        <v>2</v>
      </c>
    </row>
    <row r="95" customFormat="false" ht="15" hidden="false" customHeight="false" outlineLevel="0" collapsed="false">
      <c r="A95" s="9" t="s">
        <v>106</v>
      </c>
      <c r="B95" s="27" t="s">
        <v>49</v>
      </c>
      <c r="C95" s="27" t="s">
        <v>105</v>
      </c>
      <c r="D95" s="8" t="s">
        <v>426</v>
      </c>
      <c r="E95" s="10" t="n">
        <v>3</v>
      </c>
      <c r="F95" s="10" t="n">
        <v>3</v>
      </c>
    </row>
    <row r="96" customFormat="false" ht="15" hidden="false" customHeight="false" outlineLevel="0" collapsed="false">
      <c r="A96" s="9" t="s">
        <v>106</v>
      </c>
      <c r="B96" s="27" t="s">
        <v>49</v>
      </c>
      <c r="C96" s="27" t="s">
        <v>105</v>
      </c>
      <c r="D96" s="8" t="s">
        <v>427</v>
      </c>
      <c r="E96" s="10" t="n">
        <v>6</v>
      </c>
      <c r="F96" s="10" t="n">
        <v>8</v>
      </c>
    </row>
    <row r="97" customFormat="false" ht="15" hidden="false" customHeight="false" outlineLevel="0" collapsed="false">
      <c r="A97" s="9" t="s">
        <v>106</v>
      </c>
      <c r="B97" s="27" t="s">
        <v>49</v>
      </c>
      <c r="C97" s="27" t="s">
        <v>105</v>
      </c>
      <c r="D97" s="8" t="s">
        <v>428</v>
      </c>
      <c r="E97" s="10" t="n">
        <v>2</v>
      </c>
      <c r="F97" s="10" t="n">
        <v>2</v>
      </c>
    </row>
    <row r="98" customFormat="false" ht="15" hidden="false" customHeight="false" outlineLevel="0" collapsed="false">
      <c r="A98" s="9" t="s">
        <v>106</v>
      </c>
      <c r="B98" s="27" t="s">
        <v>49</v>
      </c>
      <c r="C98" s="27" t="s">
        <v>105</v>
      </c>
      <c r="D98" s="8" t="s">
        <v>429</v>
      </c>
      <c r="E98" s="10" t="n">
        <v>3</v>
      </c>
      <c r="F98" s="10" t="n">
        <v>4</v>
      </c>
    </row>
    <row r="99" customFormat="false" ht="15" hidden="false" customHeight="false" outlineLevel="0" collapsed="false">
      <c r="A99" s="9" t="s">
        <v>106</v>
      </c>
      <c r="B99" s="27" t="s">
        <v>49</v>
      </c>
      <c r="C99" s="27" t="s">
        <v>105</v>
      </c>
      <c r="D99" s="8" t="s">
        <v>430</v>
      </c>
      <c r="E99" s="10" t="n">
        <v>0</v>
      </c>
      <c r="F99" s="10" t="n">
        <v>5</v>
      </c>
    </row>
    <row r="100" customFormat="false" ht="15" hidden="false" customHeight="false" outlineLevel="0" collapsed="false">
      <c r="A100" s="9" t="s">
        <v>111</v>
      </c>
      <c r="B100" s="27" t="s">
        <v>49</v>
      </c>
      <c r="C100" s="27" t="s">
        <v>105</v>
      </c>
      <c r="D100" s="8" t="s">
        <v>431</v>
      </c>
      <c r="E100" s="10" t="n">
        <v>4</v>
      </c>
      <c r="F100" s="10" t="n">
        <v>5</v>
      </c>
    </row>
    <row r="101" customFormat="false" ht="15" hidden="false" customHeight="false" outlineLevel="0" collapsed="false">
      <c r="A101" s="9" t="s">
        <v>111</v>
      </c>
      <c r="B101" s="27" t="s">
        <v>49</v>
      </c>
      <c r="C101" s="27" t="s">
        <v>105</v>
      </c>
      <c r="D101" s="8" t="s">
        <v>432</v>
      </c>
      <c r="E101" s="10" t="n">
        <v>3</v>
      </c>
      <c r="F101" s="10" t="n">
        <v>3</v>
      </c>
    </row>
    <row r="102" customFormat="false" ht="15" hidden="false" customHeight="false" outlineLevel="0" collapsed="false">
      <c r="A102" s="9" t="s">
        <v>111</v>
      </c>
      <c r="B102" s="27" t="s">
        <v>49</v>
      </c>
      <c r="C102" s="27" t="s">
        <v>105</v>
      </c>
      <c r="D102" s="8" t="s">
        <v>433</v>
      </c>
      <c r="E102" s="10" t="n">
        <v>5</v>
      </c>
      <c r="F102" s="10" t="n">
        <v>5</v>
      </c>
    </row>
    <row r="103" customFormat="false" ht="15" hidden="false" customHeight="false" outlineLevel="0" collapsed="false">
      <c r="A103" s="9" t="s">
        <v>111</v>
      </c>
      <c r="B103" s="27" t="s">
        <v>49</v>
      </c>
      <c r="C103" s="27" t="s">
        <v>105</v>
      </c>
      <c r="D103" s="8" t="s">
        <v>434</v>
      </c>
      <c r="E103" s="10" t="n">
        <v>2</v>
      </c>
      <c r="F103" s="10" t="n">
        <v>2</v>
      </c>
    </row>
    <row r="104" customFormat="false" ht="15" hidden="false" customHeight="false" outlineLevel="0" collapsed="false">
      <c r="A104" s="9" t="s">
        <v>111</v>
      </c>
      <c r="B104" s="27" t="s">
        <v>49</v>
      </c>
      <c r="C104" s="27" t="s">
        <v>105</v>
      </c>
      <c r="D104" s="8" t="s">
        <v>435</v>
      </c>
      <c r="E104" s="10" t="n">
        <v>5</v>
      </c>
      <c r="F104" s="10" t="n">
        <v>5</v>
      </c>
    </row>
    <row r="105" customFormat="false" ht="15" hidden="false" customHeight="false" outlineLevel="0" collapsed="false">
      <c r="A105" s="9" t="s">
        <v>111</v>
      </c>
      <c r="B105" s="27" t="s">
        <v>49</v>
      </c>
      <c r="C105" s="27" t="s">
        <v>105</v>
      </c>
      <c r="D105" s="8" t="s">
        <v>436</v>
      </c>
      <c r="E105" s="10" t="n">
        <v>2</v>
      </c>
      <c r="F105" s="10" t="n">
        <v>2</v>
      </c>
    </row>
    <row r="106" customFormat="false" ht="15" hidden="false" customHeight="false" outlineLevel="0" collapsed="false">
      <c r="A106" s="9" t="s">
        <v>111</v>
      </c>
      <c r="B106" s="27" t="s">
        <v>49</v>
      </c>
      <c r="C106" s="27" t="s">
        <v>105</v>
      </c>
      <c r="D106" s="8" t="s">
        <v>437</v>
      </c>
      <c r="E106" s="10" t="n">
        <v>5</v>
      </c>
      <c r="F106" s="10" t="n">
        <v>5</v>
      </c>
    </row>
    <row r="107" customFormat="false" ht="15" hidden="false" customHeight="false" outlineLevel="0" collapsed="false">
      <c r="A107" s="9" t="s">
        <v>111</v>
      </c>
      <c r="B107" s="27" t="s">
        <v>49</v>
      </c>
      <c r="C107" s="27" t="s">
        <v>105</v>
      </c>
      <c r="D107" s="8" t="s">
        <v>438</v>
      </c>
      <c r="E107" s="10" t="n">
        <v>2</v>
      </c>
      <c r="F107" s="10" t="n">
        <v>2</v>
      </c>
    </row>
    <row r="108" customFormat="false" ht="15" hidden="false" customHeight="false" outlineLevel="0" collapsed="false">
      <c r="A108" s="9" t="s">
        <v>111</v>
      </c>
      <c r="B108" s="27" t="s">
        <v>49</v>
      </c>
      <c r="C108" s="27" t="s">
        <v>105</v>
      </c>
      <c r="D108" s="8" t="s">
        <v>439</v>
      </c>
      <c r="E108" s="10" t="n">
        <v>2</v>
      </c>
      <c r="F108" s="10" t="n">
        <v>2</v>
      </c>
    </row>
    <row r="109" customFormat="false" ht="15" hidden="false" customHeight="false" outlineLevel="0" collapsed="false">
      <c r="A109" s="9" t="s">
        <v>111</v>
      </c>
      <c r="B109" s="27" t="s">
        <v>49</v>
      </c>
      <c r="C109" s="27" t="s">
        <v>105</v>
      </c>
      <c r="D109" s="8" t="s">
        <v>440</v>
      </c>
      <c r="E109" s="10" t="n">
        <v>0</v>
      </c>
      <c r="F109" s="10" t="n">
        <v>4</v>
      </c>
    </row>
    <row r="110" customFormat="false" ht="15" hidden="false" customHeight="false" outlineLevel="0" collapsed="false">
      <c r="A110" s="9" t="s">
        <v>116</v>
      </c>
      <c r="B110" s="27" t="s">
        <v>49</v>
      </c>
      <c r="C110" s="27" t="s">
        <v>105</v>
      </c>
      <c r="D110" s="11" t="s">
        <v>441</v>
      </c>
      <c r="E110" s="10" t="n">
        <v>4</v>
      </c>
      <c r="F110" s="10" t="n">
        <v>4</v>
      </c>
    </row>
    <row r="111" customFormat="false" ht="15" hidden="false" customHeight="false" outlineLevel="0" collapsed="false">
      <c r="A111" s="9" t="s">
        <v>116</v>
      </c>
      <c r="B111" s="27" t="s">
        <v>49</v>
      </c>
      <c r="C111" s="27" t="s">
        <v>105</v>
      </c>
      <c r="D111" s="8" t="s">
        <v>442</v>
      </c>
      <c r="E111" s="10" t="n">
        <v>3</v>
      </c>
      <c r="F111" s="10" t="n">
        <v>3</v>
      </c>
    </row>
    <row r="112" customFormat="false" ht="15" hidden="false" customHeight="false" outlineLevel="0" collapsed="false">
      <c r="A112" s="9" t="s">
        <v>116</v>
      </c>
      <c r="B112" s="27" t="s">
        <v>49</v>
      </c>
      <c r="C112" s="27" t="s">
        <v>105</v>
      </c>
      <c r="D112" s="8" t="s">
        <v>443</v>
      </c>
      <c r="E112" s="10" t="n">
        <v>3</v>
      </c>
      <c r="F112" s="10" t="n">
        <v>3</v>
      </c>
    </row>
    <row r="113" customFormat="false" ht="15" hidden="false" customHeight="false" outlineLevel="0" collapsed="false">
      <c r="A113" s="9" t="s">
        <v>116</v>
      </c>
      <c r="B113" s="27" t="s">
        <v>49</v>
      </c>
      <c r="C113" s="27" t="s">
        <v>105</v>
      </c>
      <c r="D113" s="8" t="s">
        <v>444</v>
      </c>
      <c r="E113" s="10" t="n">
        <v>5</v>
      </c>
      <c r="F113" s="10" t="n">
        <v>6</v>
      </c>
    </row>
    <row r="114" customFormat="false" ht="15" hidden="false" customHeight="false" outlineLevel="0" collapsed="false">
      <c r="A114" s="9" t="s">
        <v>116</v>
      </c>
      <c r="B114" s="27" t="s">
        <v>49</v>
      </c>
      <c r="C114" s="27" t="s">
        <v>105</v>
      </c>
      <c r="D114" s="8" t="s">
        <v>445</v>
      </c>
      <c r="E114" s="10" t="n">
        <v>2</v>
      </c>
      <c r="F114" s="10" t="n">
        <v>2</v>
      </c>
    </row>
    <row r="115" customFormat="false" ht="15" hidden="false" customHeight="false" outlineLevel="0" collapsed="false">
      <c r="A115" s="9" t="s">
        <v>116</v>
      </c>
      <c r="B115" s="27" t="s">
        <v>49</v>
      </c>
      <c r="C115" s="27" t="s">
        <v>105</v>
      </c>
      <c r="D115" s="8" t="s">
        <v>446</v>
      </c>
      <c r="E115" s="10" t="n">
        <v>1</v>
      </c>
      <c r="F115" s="10" t="n">
        <v>1</v>
      </c>
    </row>
    <row r="116" customFormat="false" ht="15" hidden="false" customHeight="false" outlineLevel="0" collapsed="false">
      <c r="A116" s="9" t="s">
        <v>116</v>
      </c>
      <c r="B116" s="27" t="s">
        <v>49</v>
      </c>
      <c r="C116" s="27" t="s">
        <v>105</v>
      </c>
      <c r="D116" s="8" t="s">
        <v>447</v>
      </c>
      <c r="E116" s="10" t="n">
        <v>5</v>
      </c>
      <c r="F116" s="10" t="n">
        <v>5</v>
      </c>
    </row>
    <row r="117" customFormat="false" ht="15" hidden="false" customHeight="false" outlineLevel="0" collapsed="false">
      <c r="A117" s="9" t="s">
        <v>116</v>
      </c>
      <c r="B117" s="27" t="s">
        <v>49</v>
      </c>
      <c r="C117" s="27" t="s">
        <v>105</v>
      </c>
      <c r="D117" s="8" t="s">
        <v>448</v>
      </c>
      <c r="E117" s="10" t="n">
        <v>3</v>
      </c>
      <c r="F117" s="10" t="n">
        <v>3</v>
      </c>
    </row>
    <row r="118" customFormat="false" ht="15" hidden="false" customHeight="false" outlineLevel="0" collapsed="false">
      <c r="A118" s="9" t="s">
        <v>116</v>
      </c>
      <c r="B118" s="27" t="s">
        <v>49</v>
      </c>
      <c r="C118" s="27" t="s">
        <v>105</v>
      </c>
      <c r="D118" s="8" t="s">
        <v>449</v>
      </c>
      <c r="E118" s="10" t="n">
        <v>3</v>
      </c>
      <c r="F118" s="10" t="n">
        <v>3</v>
      </c>
    </row>
    <row r="119" customFormat="false" ht="15" hidden="false" customHeight="false" outlineLevel="0" collapsed="false">
      <c r="A119" s="9" t="s">
        <v>116</v>
      </c>
      <c r="B119" s="27" t="s">
        <v>49</v>
      </c>
      <c r="C119" s="27" t="s">
        <v>105</v>
      </c>
      <c r="D119" s="8" t="s">
        <v>450</v>
      </c>
      <c r="E119" s="10" t="n">
        <v>1</v>
      </c>
      <c r="F119" s="10" t="n">
        <v>1</v>
      </c>
    </row>
    <row r="120" customFormat="false" ht="15" hidden="false" customHeight="false" outlineLevel="0" collapsed="false">
      <c r="A120" s="9" t="s">
        <v>116</v>
      </c>
      <c r="B120" s="27" t="s">
        <v>49</v>
      </c>
      <c r="C120" s="27" t="s">
        <v>105</v>
      </c>
      <c r="D120" s="8" t="s">
        <v>440</v>
      </c>
      <c r="E120" s="10" t="n">
        <v>0</v>
      </c>
      <c r="F120" s="10" t="n">
        <v>4</v>
      </c>
    </row>
    <row r="121" customFormat="false" ht="15" hidden="false" customHeight="false" outlineLevel="0" collapsed="false">
      <c r="A121" s="9" t="s">
        <v>121</v>
      </c>
      <c r="B121" s="27" t="s">
        <v>49</v>
      </c>
      <c r="C121" s="27" t="s">
        <v>105</v>
      </c>
      <c r="D121" s="11" t="s">
        <v>451</v>
      </c>
      <c r="E121" s="10" t="n">
        <v>4</v>
      </c>
      <c r="F121" s="10" t="n">
        <v>4</v>
      </c>
    </row>
    <row r="122" customFormat="false" ht="15" hidden="false" customHeight="false" outlineLevel="0" collapsed="false">
      <c r="A122" s="9" t="s">
        <v>121</v>
      </c>
      <c r="B122" s="27" t="s">
        <v>49</v>
      </c>
      <c r="C122" s="27" t="s">
        <v>105</v>
      </c>
      <c r="D122" s="8" t="s">
        <v>452</v>
      </c>
      <c r="E122" s="10" t="n">
        <v>3</v>
      </c>
      <c r="F122" s="10" t="n">
        <v>3</v>
      </c>
    </row>
    <row r="123" customFormat="false" ht="15" hidden="false" customHeight="false" outlineLevel="0" collapsed="false">
      <c r="A123" s="9" t="s">
        <v>121</v>
      </c>
      <c r="B123" s="27" t="s">
        <v>49</v>
      </c>
      <c r="C123" s="27" t="s">
        <v>105</v>
      </c>
      <c r="D123" s="8" t="s">
        <v>453</v>
      </c>
      <c r="E123" s="10" t="n">
        <v>3</v>
      </c>
      <c r="F123" s="10" t="n">
        <v>3</v>
      </c>
    </row>
    <row r="124" customFormat="false" ht="15" hidden="false" customHeight="false" outlineLevel="0" collapsed="false">
      <c r="A124" s="9" t="s">
        <v>121</v>
      </c>
      <c r="B124" s="27" t="s">
        <v>49</v>
      </c>
      <c r="C124" s="27" t="s">
        <v>105</v>
      </c>
      <c r="D124" s="8" t="s">
        <v>454</v>
      </c>
      <c r="E124" s="10" t="n">
        <v>4</v>
      </c>
      <c r="F124" s="10" t="n">
        <v>5</v>
      </c>
    </row>
    <row r="125" customFormat="false" ht="15" hidden="false" customHeight="false" outlineLevel="0" collapsed="false">
      <c r="A125" s="9" t="s">
        <v>121</v>
      </c>
      <c r="B125" s="27" t="s">
        <v>49</v>
      </c>
      <c r="C125" s="27" t="s">
        <v>105</v>
      </c>
      <c r="D125" s="8" t="s">
        <v>446</v>
      </c>
      <c r="E125" s="10" t="n">
        <v>1</v>
      </c>
      <c r="F125" s="10" t="n">
        <v>1</v>
      </c>
    </row>
    <row r="126" customFormat="false" ht="15" hidden="false" customHeight="false" outlineLevel="0" collapsed="false">
      <c r="A126" s="9" t="s">
        <v>121</v>
      </c>
      <c r="B126" s="27" t="s">
        <v>49</v>
      </c>
      <c r="C126" s="27" t="s">
        <v>105</v>
      </c>
      <c r="D126" s="8" t="s">
        <v>455</v>
      </c>
      <c r="E126" s="10" t="n">
        <v>5</v>
      </c>
      <c r="F126" s="10" t="n">
        <v>5</v>
      </c>
    </row>
    <row r="127" customFormat="false" ht="15" hidden="false" customHeight="false" outlineLevel="0" collapsed="false">
      <c r="A127" s="9" t="s">
        <v>121</v>
      </c>
      <c r="B127" s="27" t="s">
        <v>49</v>
      </c>
      <c r="C127" s="27" t="s">
        <v>105</v>
      </c>
      <c r="D127" s="8" t="s">
        <v>456</v>
      </c>
      <c r="E127" s="10" t="n">
        <v>2</v>
      </c>
      <c r="F127" s="10" t="n">
        <v>2</v>
      </c>
    </row>
    <row r="128" customFormat="false" ht="15" hidden="false" customHeight="false" outlineLevel="0" collapsed="false">
      <c r="A128" s="9" t="s">
        <v>121</v>
      </c>
      <c r="B128" s="27" t="s">
        <v>49</v>
      </c>
      <c r="C128" s="27" t="s">
        <v>105</v>
      </c>
      <c r="D128" s="8" t="s">
        <v>449</v>
      </c>
      <c r="E128" s="10" t="n">
        <v>3</v>
      </c>
      <c r="F128" s="10" t="n">
        <v>3</v>
      </c>
    </row>
    <row r="129" customFormat="false" ht="15" hidden="false" customHeight="false" outlineLevel="0" collapsed="false">
      <c r="A129" s="9" t="s">
        <v>121</v>
      </c>
      <c r="B129" s="27" t="s">
        <v>49</v>
      </c>
      <c r="C129" s="27" t="s">
        <v>105</v>
      </c>
      <c r="D129" s="8" t="s">
        <v>457</v>
      </c>
      <c r="E129" s="10" t="n">
        <v>4</v>
      </c>
      <c r="F129" s="10" t="n">
        <v>4</v>
      </c>
    </row>
    <row r="130" customFormat="false" ht="15" hidden="false" customHeight="false" outlineLevel="0" collapsed="false">
      <c r="A130" s="9" t="s">
        <v>121</v>
      </c>
      <c r="B130" s="27" t="s">
        <v>49</v>
      </c>
      <c r="C130" s="27" t="s">
        <v>105</v>
      </c>
      <c r="D130" s="8" t="s">
        <v>450</v>
      </c>
      <c r="E130" s="10" t="n">
        <v>1</v>
      </c>
      <c r="F130" s="10" t="n">
        <v>1</v>
      </c>
    </row>
    <row r="131" customFormat="false" ht="15" hidden="false" customHeight="false" outlineLevel="0" collapsed="false">
      <c r="A131" s="9" t="s">
        <v>121</v>
      </c>
      <c r="B131" s="27" t="s">
        <v>49</v>
      </c>
      <c r="C131" s="27" t="s">
        <v>105</v>
      </c>
      <c r="D131" s="8" t="s">
        <v>440</v>
      </c>
      <c r="E131" s="10" t="n">
        <v>0</v>
      </c>
      <c r="F131" s="10" t="n">
        <v>4</v>
      </c>
    </row>
    <row r="132" customFormat="false" ht="15" hidden="false" customHeight="false" outlineLevel="0" collapsed="false">
      <c r="A132" s="9" t="s">
        <v>126</v>
      </c>
      <c r="B132" s="27" t="s">
        <v>49</v>
      </c>
      <c r="C132" s="27" t="s">
        <v>125</v>
      </c>
      <c r="D132" s="8" t="s">
        <v>458</v>
      </c>
      <c r="E132" s="10" t="n">
        <v>5</v>
      </c>
      <c r="F132" s="10" t="n">
        <v>4</v>
      </c>
    </row>
    <row r="133" customFormat="false" ht="15" hidden="false" customHeight="false" outlineLevel="0" collapsed="false">
      <c r="A133" s="9" t="s">
        <v>126</v>
      </c>
      <c r="B133" s="27" t="s">
        <v>49</v>
      </c>
      <c r="C133" s="27" t="s">
        <v>125</v>
      </c>
      <c r="D133" s="11" t="s">
        <v>459</v>
      </c>
      <c r="E133" s="10" t="n">
        <v>6</v>
      </c>
      <c r="F133" s="10" t="n">
        <v>5</v>
      </c>
    </row>
    <row r="134" customFormat="false" ht="15" hidden="false" customHeight="false" outlineLevel="0" collapsed="false">
      <c r="A134" s="9" t="s">
        <v>126</v>
      </c>
      <c r="B134" s="27" t="s">
        <v>49</v>
      </c>
      <c r="C134" s="27" t="s">
        <v>125</v>
      </c>
      <c r="D134" s="8" t="s">
        <v>460</v>
      </c>
      <c r="E134" s="10" t="n">
        <v>5</v>
      </c>
      <c r="F134" s="10" t="n">
        <v>8</v>
      </c>
    </row>
    <row r="135" customFormat="false" ht="15" hidden="false" customHeight="false" outlineLevel="0" collapsed="false">
      <c r="A135" s="9" t="s">
        <v>126</v>
      </c>
      <c r="B135" s="27" t="s">
        <v>49</v>
      </c>
      <c r="C135" s="27" t="s">
        <v>125</v>
      </c>
      <c r="D135" s="8" t="s">
        <v>461</v>
      </c>
      <c r="E135" s="10" t="n">
        <v>8</v>
      </c>
      <c r="F135" s="10" t="n">
        <v>8</v>
      </c>
    </row>
    <row r="136" customFormat="false" ht="15" hidden="false" customHeight="false" outlineLevel="0" collapsed="false">
      <c r="A136" s="9" t="s">
        <v>126</v>
      </c>
      <c r="B136" s="27" t="s">
        <v>49</v>
      </c>
      <c r="C136" s="27" t="s">
        <v>125</v>
      </c>
      <c r="D136" s="11" t="s">
        <v>462</v>
      </c>
      <c r="E136" s="10" t="n">
        <v>6</v>
      </c>
      <c r="F136" s="10" t="n">
        <v>5</v>
      </c>
    </row>
    <row r="137" customFormat="false" ht="15" hidden="false" customHeight="false" outlineLevel="0" collapsed="false">
      <c r="A137" s="9" t="s">
        <v>126</v>
      </c>
      <c r="B137" s="27" t="s">
        <v>49</v>
      </c>
      <c r="C137" s="27" t="s">
        <v>125</v>
      </c>
      <c r="D137" s="8" t="s">
        <v>463</v>
      </c>
      <c r="E137" s="10" t="n">
        <v>5</v>
      </c>
      <c r="F137" s="10" t="n">
        <v>5</v>
      </c>
    </row>
    <row r="138" customFormat="false" ht="15" hidden="false" customHeight="false" outlineLevel="0" collapsed="false">
      <c r="A138" s="9" t="s">
        <v>126</v>
      </c>
      <c r="B138" s="27" t="s">
        <v>49</v>
      </c>
      <c r="C138" s="27" t="s">
        <v>125</v>
      </c>
      <c r="D138" s="8" t="s">
        <v>464</v>
      </c>
      <c r="E138" s="10" t="n">
        <v>5</v>
      </c>
      <c r="F138" s="10" t="n">
        <v>12</v>
      </c>
    </row>
    <row r="139" customFormat="false" ht="15" hidden="false" customHeight="false" outlineLevel="0" collapsed="false">
      <c r="A139" s="9" t="s">
        <v>126</v>
      </c>
      <c r="B139" s="27" t="s">
        <v>49</v>
      </c>
      <c r="C139" s="27" t="s">
        <v>125</v>
      </c>
      <c r="D139" s="8" t="s">
        <v>347</v>
      </c>
      <c r="E139" s="10" t="n">
        <v>5</v>
      </c>
      <c r="F139" s="10" t="n">
        <v>3</v>
      </c>
    </row>
    <row r="140" customFormat="false" ht="15" hidden="false" customHeight="false" outlineLevel="0" collapsed="false">
      <c r="A140" s="9" t="s">
        <v>131</v>
      </c>
      <c r="B140" s="27" t="s">
        <v>49</v>
      </c>
      <c r="C140" s="27" t="s">
        <v>125</v>
      </c>
      <c r="D140" s="8" t="s">
        <v>465</v>
      </c>
      <c r="E140" s="10" t="n">
        <v>4</v>
      </c>
      <c r="F140" s="10" t="n">
        <v>3</v>
      </c>
    </row>
    <row r="141" customFormat="false" ht="15" hidden="false" customHeight="false" outlineLevel="0" collapsed="false">
      <c r="A141" s="9" t="s">
        <v>131</v>
      </c>
      <c r="B141" s="27" t="s">
        <v>49</v>
      </c>
      <c r="C141" s="27" t="s">
        <v>125</v>
      </c>
      <c r="D141" s="8" t="s">
        <v>466</v>
      </c>
      <c r="E141" s="10" t="n">
        <v>3</v>
      </c>
      <c r="F141" s="10" t="n">
        <v>3</v>
      </c>
    </row>
    <row r="142" customFormat="false" ht="15" hidden="false" customHeight="false" outlineLevel="0" collapsed="false">
      <c r="A142" s="9" t="s">
        <v>131</v>
      </c>
      <c r="B142" s="27" t="s">
        <v>49</v>
      </c>
      <c r="C142" s="27" t="s">
        <v>125</v>
      </c>
      <c r="D142" s="8" t="s">
        <v>467</v>
      </c>
      <c r="E142" s="10" t="n">
        <v>3</v>
      </c>
      <c r="F142" s="10" t="n">
        <v>3</v>
      </c>
    </row>
    <row r="143" customFormat="false" ht="15" hidden="false" customHeight="false" outlineLevel="0" collapsed="false">
      <c r="A143" s="9" t="s">
        <v>131</v>
      </c>
      <c r="B143" s="27" t="s">
        <v>49</v>
      </c>
      <c r="C143" s="27" t="s">
        <v>125</v>
      </c>
      <c r="D143" s="11" t="s">
        <v>468</v>
      </c>
      <c r="E143" s="10" t="n">
        <v>3</v>
      </c>
      <c r="F143" s="10" t="n">
        <v>3</v>
      </c>
    </row>
    <row r="144" customFormat="false" ht="15" hidden="false" customHeight="false" outlineLevel="0" collapsed="false">
      <c r="A144" s="9" t="s">
        <v>131</v>
      </c>
      <c r="B144" s="27" t="s">
        <v>49</v>
      </c>
      <c r="C144" s="27" t="s">
        <v>125</v>
      </c>
      <c r="D144" s="8" t="s">
        <v>469</v>
      </c>
      <c r="E144" s="10" t="n">
        <v>5</v>
      </c>
      <c r="F144" s="10" t="n">
        <v>4</v>
      </c>
    </row>
    <row r="145" customFormat="false" ht="15" hidden="false" customHeight="false" outlineLevel="0" collapsed="false">
      <c r="A145" s="9" t="s">
        <v>131</v>
      </c>
      <c r="B145" s="27" t="s">
        <v>49</v>
      </c>
      <c r="C145" s="27" t="s">
        <v>125</v>
      </c>
      <c r="D145" s="8" t="s">
        <v>470</v>
      </c>
      <c r="E145" s="10" t="n">
        <v>4</v>
      </c>
      <c r="F145" s="10" t="n">
        <v>3</v>
      </c>
    </row>
    <row r="146" customFormat="false" ht="29.85" hidden="false" customHeight="false" outlineLevel="0" collapsed="false">
      <c r="A146" s="9" t="s">
        <v>131</v>
      </c>
      <c r="B146" s="27" t="s">
        <v>49</v>
      </c>
      <c r="C146" s="27" t="s">
        <v>125</v>
      </c>
      <c r="D146" s="8" t="s">
        <v>471</v>
      </c>
      <c r="E146" s="10" t="n">
        <v>6</v>
      </c>
      <c r="F146" s="10" t="n">
        <v>12</v>
      </c>
    </row>
    <row r="147" customFormat="false" ht="29.85" hidden="false" customHeight="false" outlineLevel="0" collapsed="false">
      <c r="A147" s="9" t="s">
        <v>131</v>
      </c>
      <c r="B147" s="27" t="s">
        <v>49</v>
      </c>
      <c r="C147" s="27" t="s">
        <v>125</v>
      </c>
      <c r="D147" s="8" t="s">
        <v>472</v>
      </c>
      <c r="E147" s="10" t="n">
        <v>5</v>
      </c>
      <c r="F147" s="10" t="n">
        <v>8</v>
      </c>
    </row>
    <row r="148" customFormat="false" ht="15" hidden="false" customHeight="false" outlineLevel="0" collapsed="false">
      <c r="A148" s="9" t="s">
        <v>131</v>
      </c>
      <c r="B148" s="27" t="s">
        <v>49</v>
      </c>
      <c r="C148" s="27" t="s">
        <v>125</v>
      </c>
      <c r="D148" s="8" t="s">
        <v>473</v>
      </c>
      <c r="E148" s="10" t="n">
        <v>3</v>
      </c>
      <c r="F148" s="10" t="n">
        <v>2</v>
      </c>
    </row>
    <row r="149" customFormat="false" ht="15" hidden="false" customHeight="false" outlineLevel="0" collapsed="false">
      <c r="A149" s="9" t="s">
        <v>131</v>
      </c>
      <c r="B149" s="27" t="s">
        <v>49</v>
      </c>
      <c r="C149" s="27" t="s">
        <v>125</v>
      </c>
      <c r="D149" s="8" t="s">
        <v>474</v>
      </c>
      <c r="E149" s="10" t="n">
        <v>4</v>
      </c>
      <c r="F149" s="10" t="n">
        <v>4</v>
      </c>
    </row>
    <row r="150" customFormat="false" ht="15" hidden="false" customHeight="false" outlineLevel="0" collapsed="false">
      <c r="A150" s="9" t="s">
        <v>136</v>
      </c>
      <c r="B150" s="27" t="s">
        <v>49</v>
      </c>
      <c r="C150" s="27" t="s">
        <v>125</v>
      </c>
      <c r="D150" s="8" t="s">
        <v>465</v>
      </c>
      <c r="E150" s="10" t="n">
        <v>4</v>
      </c>
      <c r="F150" s="10" t="n">
        <v>3</v>
      </c>
    </row>
    <row r="151" customFormat="false" ht="15" hidden="false" customHeight="false" outlineLevel="0" collapsed="false">
      <c r="A151" s="9" t="s">
        <v>136</v>
      </c>
      <c r="B151" s="27" t="s">
        <v>49</v>
      </c>
      <c r="C151" s="27" t="s">
        <v>125</v>
      </c>
      <c r="D151" s="8" t="s">
        <v>466</v>
      </c>
      <c r="E151" s="10" t="n">
        <v>3</v>
      </c>
      <c r="F151" s="10" t="n">
        <v>3</v>
      </c>
    </row>
    <row r="152" customFormat="false" ht="15" hidden="false" customHeight="false" outlineLevel="0" collapsed="false">
      <c r="A152" s="9" t="s">
        <v>136</v>
      </c>
      <c r="B152" s="27" t="s">
        <v>49</v>
      </c>
      <c r="C152" s="27" t="s">
        <v>125</v>
      </c>
      <c r="D152" s="8" t="s">
        <v>467</v>
      </c>
      <c r="E152" s="10" t="n">
        <v>3</v>
      </c>
      <c r="F152" s="10" t="n">
        <v>3</v>
      </c>
    </row>
    <row r="153" customFormat="false" ht="15" hidden="false" customHeight="false" outlineLevel="0" collapsed="false">
      <c r="A153" s="9" t="s">
        <v>136</v>
      </c>
      <c r="B153" s="27" t="s">
        <v>49</v>
      </c>
      <c r="C153" s="27" t="s">
        <v>125</v>
      </c>
      <c r="D153" s="11" t="s">
        <v>468</v>
      </c>
      <c r="E153" s="10" t="n">
        <v>3</v>
      </c>
      <c r="F153" s="10" t="n">
        <v>3</v>
      </c>
    </row>
    <row r="154" customFormat="false" ht="15" hidden="false" customHeight="false" outlineLevel="0" collapsed="false">
      <c r="A154" s="9" t="s">
        <v>136</v>
      </c>
      <c r="B154" s="27" t="s">
        <v>49</v>
      </c>
      <c r="C154" s="27" t="s">
        <v>125</v>
      </c>
      <c r="D154" s="8" t="s">
        <v>469</v>
      </c>
      <c r="E154" s="10" t="n">
        <v>5</v>
      </c>
      <c r="F154" s="10" t="n">
        <v>4</v>
      </c>
    </row>
    <row r="155" customFormat="false" ht="15" hidden="false" customHeight="false" outlineLevel="0" collapsed="false">
      <c r="A155" s="9" t="s">
        <v>136</v>
      </c>
      <c r="B155" s="27" t="s">
        <v>49</v>
      </c>
      <c r="C155" s="27" t="s">
        <v>125</v>
      </c>
      <c r="D155" s="8" t="s">
        <v>470</v>
      </c>
      <c r="E155" s="10" t="n">
        <v>4</v>
      </c>
      <c r="F155" s="10" t="n">
        <v>3</v>
      </c>
    </row>
    <row r="156" customFormat="false" ht="29.85" hidden="false" customHeight="false" outlineLevel="0" collapsed="false">
      <c r="A156" s="9" t="s">
        <v>136</v>
      </c>
      <c r="B156" s="27" t="s">
        <v>49</v>
      </c>
      <c r="C156" s="27" t="s">
        <v>125</v>
      </c>
      <c r="D156" s="8" t="s">
        <v>471</v>
      </c>
      <c r="E156" s="10" t="n">
        <v>6</v>
      </c>
      <c r="F156" s="10" t="n">
        <v>12</v>
      </c>
    </row>
    <row r="157" customFormat="false" ht="29.85" hidden="false" customHeight="false" outlineLevel="0" collapsed="false">
      <c r="A157" s="9" t="s">
        <v>136</v>
      </c>
      <c r="B157" s="27" t="s">
        <v>49</v>
      </c>
      <c r="C157" s="27" t="s">
        <v>125</v>
      </c>
      <c r="D157" s="8" t="s">
        <v>472</v>
      </c>
      <c r="E157" s="10" t="n">
        <v>5</v>
      </c>
      <c r="F157" s="10" t="n">
        <v>8</v>
      </c>
    </row>
    <row r="158" customFormat="false" ht="15" hidden="false" customHeight="false" outlineLevel="0" collapsed="false">
      <c r="A158" s="9" t="s">
        <v>136</v>
      </c>
      <c r="B158" s="27" t="s">
        <v>49</v>
      </c>
      <c r="C158" s="27" t="s">
        <v>125</v>
      </c>
      <c r="D158" s="8" t="s">
        <v>473</v>
      </c>
      <c r="E158" s="10" t="n">
        <v>3</v>
      </c>
      <c r="F158" s="10" t="n">
        <v>2</v>
      </c>
    </row>
    <row r="159" customFormat="false" ht="15" hidden="false" customHeight="false" outlineLevel="0" collapsed="false">
      <c r="A159" s="9" t="s">
        <v>136</v>
      </c>
      <c r="B159" s="27" t="s">
        <v>49</v>
      </c>
      <c r="C159" s="27" t="s">
        <v>125</v>
      </c>
      <c r="D159" s="8" t="s">
        <v>474</v>
      </c>
      <c r="E159" s="10" t="n">
        <v>4</v>
      </c>
      <c r="F159" s="10" t="n">
        <v>4</v>
      </c>
    </row>
    <row r="160" customFormat="false" ht="15" hidden="false" customHeight="false" outlineLevel="0" collapsed="false">
      <c r="A160" s="9" t="s">
        <v>136</v>
      </c>
      <c r="B160" s="27" t="s">
        <v>49</v>
      </c>
      <c r="C160" s="27" t="s">
        <v>125</v>
      </c>
      <c r="D160" s="11" t="s">
        <v>475</v>
      </c>
      <c r="E160" s="10" t="n">
        <v>5</v>
      </c>
      <c r="F160" s="10" t="n">
        <v>5</v>
      </c>
    </row>
    <row r="161" customFormat="false" ht="15" hidden="false" customHeight="false" outlineLevel="0" collapsed="false">
      <c r="A161" s="9" t="s">
        <v>140</v>
      </c>
      <c r="B161" s="27" t="s">
        <v>49</v>
      </c>
      <c r="C161" s="27" t="s">
        <v>125</v>
      </c>
      <c r="D161" s="8" t="s">
        <v>465</v>
      </c>
      <c r="E161" s="10" t="n">
        <v>4</v>
      </c>
      <c r="F161" s="10" t="n">
        <v>3</v>
      </c>
    </row>
    <row r="162" customFormat="false" ht="15" hidden="false" customHeight="false" outlineLevel="0" collapsed="false">
      <c r="A162" s="9" t="s">
        <v>140</v>
      </c>
      <c r="B162" s="27" t="s">
        <v>49</v>
      </c>
      <c r="C162" s="27" t="s">
        <v>125</v>
      </c>
      <c r="D162" s="8" t="s">
        <v>466</v>
      </c>
      <c r="E162" s="10" t="n">
        <v>3</v>
      </c>
      <c r="F162" s="10" t="n">
        <v>3</v>
      </c>
    </row>
    <row r="163" customFormat="false" ht="15" hidden="false" customHeight="false" outlineLevel="0" collapsed="false">
      <c r="A163" s="9" t="s">
        <v>140</v>
      </c>
      <c r="B163" s="27" t="s">
        <v>49</v>
      </c>
      <c r="C163" s="27" t="s">
        <v>125</v>
      </c>
      <c r="D163" s="8" t="s">
        <v>467</v>
      </c>
      <c r="E163" s="10" t="n">
        <v>3</v>
      </c>
      <c r="F163" s="10" t="n">
        <v>3</v>
      </c>
    </row>
    <row r="164" customFormat="false" ht="15" hidden="false" customHeight="false" outlineLevel="0" collapsed="false">
      <c r="A164" s="9" t="s">
        <v>140</v>
      </c>
      <c r="B164" s="27" t="s">
        <v>49</v>
      </c>
      <c r="C164" s="27" t="s">
        <v>125</v>
      </c>
      <c r="D164" s="11" t="s">
        <v>468</v>
      </c>
      <c r="E164" s="10" t="n">
        <v>3</v>
      </c>
      <c r="F164" s="10" t="n">
        <v>3</v>
      </c>
    </row>
    <row r="165" customFormat="false" ht="15" hidden="false" customHeight="false" outlineLevel="0" collapsed="false">
      <c r="A165" s="9" t="s">
        <v>140</v>
      </c>
      <c r="B165" s="27" t="s">
        <v>49</v>
      </c>
      <c r="C165" s="27" t="s">
        <v>125</v>
      </c>
      <c r="D165" s="8" t="s">
        <v>469</v>
      </c>
      <c r="E165" s="10" t="n">
        <v>5</v>
      </c>
      <c r="F165" s="10" t="n">
        <v>4</v>
      </c>
    </row>
    <row r="166" customFormat="false" ht="15" hidden="false" customHeight="false" outlineLevel="0" collapsed="false">
      <c r="A166" s="9" t="s">
        <v>140</v>
      </c>
      <c r="B166" s="27" t="s">
        <v>49</v>
      </c>
      <c r="C166" s="27" t="s">
        <v>125</v>
      </c>
      <c r="D166" s="8" t="s">
        <v>470</v>
      </c>
      <c r="E166" s="10" t="n">
        <v>4</v>
      </c>
      <c r="F166" s="10" t="n">
        <v>3</v>
      </c>
    </row>
    <row r="167" customFormat="false" ht="29.85" hidden="false" customHeight="false" outlineLevel="0" collapsed="false">
      <c r="A167" s="9" t="s">
        <v>140</v>
      </c>
      <c r="B167" s="27" t="s">
        <v>49</v>
      </c>
      <c r="C167" s="27" t="s">
        <v>125</v>
      </c>
      <c r="D167" s="8" t="s">
        <v>471</v>
      </c>
      <c r="E167" s="10" t="n">
        <v>6</v>
      </c>
      <c r="F167" s="10" t="n">
        <v>12</v>
      </c>
    </row>
    <row r="168" customFormat="false" ht="29.85" hidden="false" customHeight="false" outlineLevel="0" collapsed="false">
      <c r="A168" s="9" t="s">
        <v>140</v>
      </c>
      <c r="B168" s="27" t="s">
        <v>49</v>
      </c>
      <c r="C168" s="27" t="s">
        <v>125</v>
      </c>
      <c r="D168" s="8" t="s">
        <v>472</v>
      </c>
      <c r="E168" s="10" t="n">
        <v>5</v>
      </c>
      <c r="F168" s="10" t="n">
        <v>8</v>
      </c>
    </row>
    <row r="169" customFormat="false" ht="15" hidden="false" customHeight="false" outlineLevel="0" collapsed="false">
      <c r="A169" s="9" t="s">
        <v>140</v>
      </c>
      <c r="B169" s="27" t="s">
        <v>49</v>
      </c>
      <c r="C169" s="27" t="s">
        <v>125</v>
      </c>
      <c r="D169" s="8" t="s">
        <v>473</v>
      </c>
      <c r="E169" s="10" t="n">
        <v>3</v>
      </c>
      <c r="F169" s="10" t="n">
        <v>2</v>
      </c>
    </row>
    <row r="170" customFormat="false" ht="15" hidden="false" customHeight="false" outlineLevel="0" collapsed="false">
      <c r="A170" s="9" t="s">
        <v>140</v>
      </c>
      <c r="B170" s="27" t="s">
        <v>49</v>
      </c>
      <c r="C170" s="27" t="s">
        <v>125</v>
      </c>
      <c r="D170" s="8" t="s">
        <v>474</v>
      </c>
      <c r="E170" s="10" t="n">
        <v>4</v>
      </c>
      <c r="F170" s="10" t="n">
        <v>4</v>
      </c>
    </row>
    <row r="171" customFormat="false" ht="15" hidden="false" customHeight="false" outlineLevel="0" collapsed="false">
      <c r="A171" s="9" t="s">
        <v>144</v>
      </c>
      <c r="B171" s="27" t="s">
        <v>49</v>
      </c>
      <c r="C171" s="27" t="s">
        <v>125</v>
      </c>
      <c r="D171" s="8" t="s">
        <v>465</v>
      </c>
      <c r="E171" s="10" t="n">
        <v>4</v>
      </c>
      <c r="F171" s="10" t="n">
        <v>3</v>
      </c>
    </row>
    <row r="172" customFormat="false" ht="15" hidden="false" customHeight="false" outlineLevel="0" collapsed="false">
      <c r="A172" s="9" t="s">
        <v>144</v>
      </c>
      <c r="B172" s="27" t="s">
        <v>49</v>
      </c>
      <c r="C172" s="27" t="s">
        <v>125</v>
      </c>
      <c r="D172" s="8" t="s">
        <v>466</v>
      </c>
      <c r="E172" s="10" t="n">
        <v>3</v>
      </c>
      <c r="F172" s="10" t="n">
        <v>3</v>
      </c>
    </row>
    <row r="173" customFormat="false" ht="15" hidden="false" customHeight="false" outlineLevel="0" collapsed="false">
      <c r="A173" s="9" t="s">
        <v>144</v>
      </c>
      <c r="B173" s="27" t="s">
        <v>49</v>
      </c>
      <c r="C173" s="27" t="s">
        <v>125</v>
      </c>
      <c r="D173" s="8" t="s">
        <v>467</v>
      </c>
      <c r="E173" s="10" t="n">
        <v>3</v>
      </c>
      <c r="F173" s="10" t="n">
        <v>3</v>
      </c>
    </row>
    <row r="174" customFormat="false" ht="15" hidden="false" customHeight="false" outlineLevel="0" collapsed="false">
      <c r="A174" s="9" t="s">
        <v>144</v>
      </c>
      <c r="B174" s="27" t="s">
        <v>49</v>
      </c>
      <c r="C174" s="27" t="s">
        <v>125</v>
      </c>
      <c r="D174" s="11" t="s">
        <v>468</v>
      </c>
      <c r="E174" s="10" t="n">
        <v>3</v>
      </c>
      <c r="F174" s="10" t="n">
        <v>3</v>
      </c>
    </row>
    <row r="175" customFormat="false" ht="15" hidden="false" customHeight="false" outlineLevel="0" collapsed="false">
      <c r="A175" s="9" t="s">
        <v>144</v>
      </c>
      <c r="B175" s="27" t="s">
        <v>49</v>
      </c>
      <c r="C175" s="27" t="s">
        <v>125</v>
      </c>
      <c r="D175" s="8" t="s">
        <v>469</v>
      </c>
      <c r="E175" s="10" t="n">
        <v>5</v>
      </c>
      <c r="F175" s="10" t="n">
        <v>4</v>
      </c>
    </row>
    <row r="176" customFormat="false" ht="15" hidden="false" customHeight="false" outlineLevel="0" collapsed="false">
      <c r="A176" s="9" t="s">
        <v>144</v>
      </c>
      <c r="B176" s="27" t="s">
        <v>49</v>
      </c>
      <c r="C176" s="27" t="s">
        <v>125</v>
      </c>
      <c r="D176" s="8" t="s">
        <v>470</v>
      </c>
      <c r="E176" s="10" t="n">
        <v>4</v>
      </c>
      <c r="F176" s="10" t="n">
        <v>3</v>
      </c>
    </row>
    <row r="177" customFormat="false" ht="29.85" hidden="false" customHeight="false" outlineLevel="0" collapsed="false">
      <c r="A177" s="9" t="s">
        <v>144</v>
      </c>
      <c r="B177" s="27" t="s">
        <v>49</v>
      </c>
      <c r="C177" s="27" t="s">
        <v>125</v>
      </c>
      <c r="D177" s="8" t="s">
        <v>471</v>
      </c>
      <c r="E177" s="10" t="n">
        <v>6</v>
      </c>
      <c r="F177" s="10" t="n">
        <v>12</v>
      </c>
    </row>
    <row r="178" customFormat="false" ht="29.85" hidden="false" customHeight="false" outlineLevel="0" collapsed="false">
      <c r="A178" s="9" t="s">
        <v>144</v>
      </c>
      <c r="B178" s="27" t="s">
        <v>49</v>
      </c>
      <c r="C178" s="27" t="s">
        <v>125</v>
      </c>
      <c r="D178" s="8" t="s">
        <v>472</v>
      </c>
      <c r="E178" s="10" t="n">
        <v>5</v>
      </c>
      <c r="F178" s="10" t="n">
        <v>8</v>
      </c>
    </row>
    <row r="179" customFormat="false" ht="15" hidden="false" customHeight="false" outlineLevel="0" collapsed="false">
      <c r="A179" s="9" t="s">
        <v>144</v>
      </c>
      <c r="B179" s="27" t="s">
        <v>49</v>
      </c>
      <c r="C179" s="27" t="s">
        <v>125</v>
      </c>
      <c r="D179" s="8" t="s">
        <v>473</v>
      </c>
      <c r="E179" s="10" t="n">
        <v>3</v>
      </c>
      <c r="F179" s="10" t="n">
        <v>2</v>
      </c>
    </row>
    <row r="180" customFormat="false" ht="15" hidden="false" customHeight="false" outlineLevel="0" collapsed="false">
      <c r="A180" s="9" t="s">
        <v>144</v>
      </c>
      <c r="B180" s="27" t="s">
        <v>49</v>
      </c>
      <c r="C180" s="27" t="s">
        <v>125</v>
      </c>
      <c r="D180" s="8" t="s">
        <v>474</v>
      </c>
      <c r="E180" s="10" t="n">
        <v>4</v>
      </c>
      <c r="F180" s="10" t="n">
        <v>4</v>
      </c>
    </row>
    <row r="181" customFormat="false" ht="15" hidden="false" customHeight="false" outlineLevel="0" collapsed="false">
      <c r="A181" s="9" t="s">
        <v>144</v>
      </c>
      <c r="B181" s="27" t="s">
        <v>49</v>
      </c>
      <c r="C181" s="27" t="s">
        <v>125</v>
      </c>
      <c r="D181" s="8" t="s">
        <v>476</v>
      </c>
      <c r="E181" s="10" t="n">
        <v>5</v>
      </c>
      <c r="F181" s="10" t="n">
        <v>5</v>
      </c>
    </row>
    <row r="182" customFormat="false" ht="15" hidden="false" customHeight="false" outlineLevel="0" collapsed="false">
      <c r="A182" s="9" t="s">
        <v>149</v>
      </c>
      <c r="B182" s="27" t="s">
        <v>49</v>
      </c>
      <c r="C182" s="27" t="s">
        <v>125</v>
      </c>
      <c r="D182" s="8" t="s">
        <v>465</v>
      </c>
      <c r="E182" s="10" t="n">
        <v>4</v>
      </c>
      <c r="F182" s="10" t="n">
        <v>3</v>
      </c>
    </row>
    <row r="183" customFormat="false" ht="15" hidden="false" customHeight="false" outlineLevel="0" collapsed="false">
      <c r="A183" s="9" t="s">
        <v>149</v>
      </c>
      <c r="B183" s="27" t="s">
        <v>49</v>
      </c>
      <c r="C183" s="27" t="s">
        <v>125</v>
      </c>
      <c r="D183" s="8" t="s">
        <v>466</v>
      </c>
      <c r="E183" s="10" t="n">
        <v>3</v>
      </c>
      <c r="F183" s="10" t="n">
        <v>3</v>
      </c>
    </row>
    <row r="184" customFormat="false" ht="15" hidden="false" customHeight="false" outlineLevel="0" collapsed="false">
      <c r="A184" s="9" t="s">
        <v>149</v>
      </c>
      <c r="B184" s="27" t="s">
        <v>49</v>
      </c>
      <c r="C184" s="27" t="s">
        <v>125</v>
      </c>
      <c r="D184" s="8" t="s">
        <v>467</v>
      </c>
      <c r="E184" s="10" t="n">
        <v>3</v>
      </c>
      <c r="F184" s="10" t="n">
        <v>3</v>
      </c>
    </row>
    <row r="185" customFormat="false" ht="15" hidden="false" customHeight="false" outlineLevel="0" collapsed="false">
      <c r="A185" s="9" t="s">
        <v>149</v>
      </c>
      <c r="B185" s="27" t="s">
        <v>49</v>
      </c>
      <c r="C185" s="27" t="s">
        <v>125</v>
      </c>
      <c r="D185" s="11" t="s">
        <v>468</v>
      </c>
      <c r="E185" s="10" t="n">
        <v>3</v>
      </c>
      <c r="F185" s="10" t="n">
        <v>3</v>
      </c>
    </row>
    <row r="186" customFormat="false" ht="15" hidden="false" customHeight="false" outlineLevel="0" collapsed="false">
      <c r="A186" s="9" t="s">
        <v>149</v>
      </c>
      <c r="B186" s="27" t="s">
        <v>49</v>
      </c>
      <c r="C186" s="27" t="s">
        <v>125</v>
      </c>
      <c r="D186" s="8" t="s">
        <v>469</v>
      </c>
      <c r="E186" s="10" t="n">
        <v>5</v>
      </c>
      <c r="F186" s="10" t="n">
        <v>4</v>
      </c>
    </row>
    <row r="187" customFormat="false" ht="15" hidden="false" customHeight="false" outlineLevel="0" collapsed="false">
      <c r="A187" s="9" t="s">
        <v>149</v>
      </c>
      <c r="B187" s="27" t="s">
        <v>49</v>
      </c>
      <c r="C187" s="27" t="s">
        <v>125</v>
      </c>
      <c r="D187" s="8" t="s">
        <v>470</v>
      </c>
      <c r="E187" s="10" t="n">
        <v>4</v>
      </c>
      <c r="F187" s="10" t="n">
        <v>3</v>
      </c>
    </row>
    <row r="188" customFormat="false" ht="29.85" hidden="false" customHeight="false" outlineLevel="0" collapsed="false">
      <c r="A188" s="9" t="s">
        <v>149</v>
      </c>
      <c r="B188" s="27" t="s">
        <v>49</v>
      </c>
      <c r="C188" s="27" t="s">
        <v>125</v>
      </c>
      <c r="D188" s="8" t="s">
        <v>471</v>
      </c>
      <c r="E188" s="10" t="n">
        <v>6</v>
      </c>
      <c r="F188" s="10" t="n">
        <v>12</v>
      </c>
    </row>
    <row r="189" customFormat="false" ht="29.85" hidden="false" customHeight="false" outlineLevel="0" collapsed="false">
      <c r="A189" s="9" t="s">
        <v>149</v>
      </c>
      <c r="B189" s="27" t="s">
        <v>49</v>
      </c>
      <c r="C189" s="27" t="s">
        <v>125</v>
      </c>
      <c r="D189" s="8" t="s">
        <v>472</v>
      </c>
      <c r="E189" s="10" t="n">
        <v>5</v>
      </c>
      <c r="F189" s="10" t="n">
        <v>8</v>
      </c>
    </row>
    <row r="190" customFormat="false" ht="15" hidden="false" customHeight="false" outlineLevel="0" collapsed="false">
      <c r="A190" s="9" t="s">
        <v>149</v>
      </c>
      <c r="B190" s="27" t="s">
        <v>49</v>
      </c>
      <c r="C190" s="27" t="s">
        <v>125</v>
      </c>
      <c r="D190" s="8" t="s">
        <v>473</v>
      </c>
      <c r="E190" s="10" t="n">
        <v>3</v>
      </c>
      <c r="F190" s="10" t="n">
        <v>2</v>
      </c>
    </row>
    <row r="191" customFormat="false" ht="15" hidden="false" customHeight="false" outlineLevel="0" collapsed="false">
      <c r="A191" s="9" t="s">
        <v>149</v>
      </c>
      <c r="B191" s="27" t="s">
        <v>49</v>
      </c>
      <c r="C191" s="27" t="s">
        <v>125</v>
      </c>
      <c r="D191" s="8" t="s">
        <v>474</v>
      </c>
      <c r="E191" s="10" t="n">
        <v>4</v>
      </c>
      <c r="F191" s="10" t="n">
        <v>4</v>
      </c>
    </row>
    <row r="192" customFormat="false" ht="15" hidden="false" customHeight="false" outlineLevel="0" collapsed="false">
      <c r="A192" s="9" t="s">
        <v>149</v>
      </c>
      <c r="B192" s="27" t="s">
        <v>49</v>
      </c>
      <c r="C192" s="27" t="s">
        <v>125</v>
      </c>
      <c r="D192" s="8" t="s">
        <v>477</v>
      </c>
      <c r="E192" s="10" t="n">
        <v>5</v>
      </c>
      <c r="F192" s="10" t="n">
        <v>5</v>
      </c>
    </row>
    <row r="193" customFormat="false" ht="15" hidden="false" customHeight="false" outlineLevel="0" collapsed="false">
      <c r="A193" s="9" t="s">
        <v>154</v>
      </c>
      <c r="B193" s="27" t="s">
        <v>49</v>
      </c>
      <c r="C193" s="27" t="s">
        <v>125</v>
      </c>
      <c r="D193" s="8" t="s">
        <v>465</v>
      </c>
      <c r="E193" s="10" t="n">
        <v>4</v>
      </c>
      <c r="F193" s="10" t="n">
        <v>3</v>
      </c>
    </row>
    <row r="194" customFormat="false" ht="15" hidden="false" customHeight="false" outlineLevel="0" collapsed="false">
      <c r="A194" s="9" t="s">
        <v>154</v>
      </c>
      <c r="B194" s="27" t="s">
        <v>49</v>
      </c>
      <c r="C194" s="27" t="s">
        <v>125</v>
      </c>
      <c r="D194" s="8" t="s">
        <v>466</v>
      </c>
      <c r="E194" s="10" t="n">
        <v>3</v>
      </c>
      <c r="F194" s="10" t="n">
        <v>3</v>
      </c>
    </row>
    <row r="195" customFormat="false" ht="15" hidden="false" customHeight="false" outlineLevel="0" collapsed="false">
      <c r="A195" s="9" t="s">
        <v>154</v>
      </c>
      <c r="B195" s="27" t="s">
        <v>49</v>
      </c>
      <c r="C195" s="27" t="s">
        <v>125</v>
      </c>
      <c r="D195" s="8" t="s">
        <v>467</v>
      </c>
      <c r="E195" s="10" t="n">
        <v>3</v>
      </c>
      <c r="F195" s="10" t="n">
        <v>3</v>
      </c>
    </row>
    <row r="196" customFormat="false" ht="15" hidden="false" customHeight="false" outlineLevel="0" collapsed="false">
      <c r="A196" s="9" t="s">
        <v>154</v>
      </c>
      <c r="B196" s="27" t="s">
        <v>49</v>
      </c>
      <c r="C196" s="27" t="s">
        <v>125</v>
      </c>
      <c r="D196" s="11" t="s">
        <v>468</v>
      </c>
      <c r="E196" s="10" t="n">
        <v>3</v>
      </c>
      <c r="F196" s="10" t="n">
        <v>3</v>
      </c>
    </row>
    <row r="197" customFormat="false" ht="15" hidden="false" customHeight="false" outlineLevel="0" collapsed="false">
      <c r="A197" s="9" t="s">
        <v>154</v>
      </c>
      <c r="B197" s="27" t="s">
        <v>49</v>
      </c>
      <c r="C197" s="27" t="s">
        <v>125</v>
      </c>
      <c r="D197" s="8" t="s">
        <v>469</v>
      </c>
      <c r="E197" s="10" t="n">
        <v>5</v>
      </c>
      <c r="F197" s="10" t="n">
        <v>4</v>
      </c>
    </row>
    <row r="198" customFormat="false" ht="15" hidden="false" customHeight="false" outlineLevel="0" collapsed="false">
      <c r="A198" s="9" t="s">
        <v>154</v>
      </c>
      <c r="B198" s="27" t="s">
        <v>49</v>
      </c>
      <c r="C198" s="27" t="s">
        <v>125</v>
      </c>
      <c r="D198" s="8" t="s">
        <v>470</v>
      </c>
      <c r="E198" s="10" t="n">
        <v>4</v>
      </c>
      <c r="F198" s="10" t="n">
        <v>3</v>
      </c>
    </row>
    <row r="199" customFormat="false" ht="29.85" hidden="false" customHeight="false" outlineLevel="0" collapsed="false">
      <c r="A199" s="9" t="s">
        <v>154</v>
      </c>
      <c r="B199" s="27" t="s">
        <v>49</v>
      </c>
      <c r="C199" s="27" t="s">
        <v>125</v>
      </c>
      <c r="D199" s="8" t="s">
        <v>471</v>
      </c>
      <c r="E199" s="10" t="n">
        <v>6</v>
      </c>
      <c r="F199" s="10" t="n">
        <v>12</v>
      </c>
    </row>
    <row r="200" customFormat="false" ht="29.85" hidden="false" customHeight="false" outlineLevel="0" collapsed="false">
      <c r="A200" s="9" t="s">
        <v>154</v>
      </c>
      <c r="B200" s="27" t="s">
        <v>49</v>
      </c>
      <c r="C200" s="27" t="s">
        <v>125</v>
      </c>
      <c r="D200" s="8" t="s">
        <v>472</v>
      </c>
      <c r="E200" s="10" t="n">
        <v>5</v>
      </c>
      <c r="F200" s="10" t="n">
        <v>8</v>
      </c>
    </row>
    <row r="201" customFormat="false" ht="15" hidden="false" customHeight="false" outlineLevel="0" collapsed="false">
      <c r="A201" s="9" t="s">
        <v>154</v>
      </c>
      <c r="B201" s="27" t="s">
        <v>49</v>
      </c>
      <c r="C201" s="27" t="s">
        <v>125</v>
      </c>
      <c r="D201" s="8" t="s">
        <v>473</v>
      </c>
      <c r="E201" s="10" t="n">
        <v>3</v>
      </c>
      <c r="F201" s="10" t="n">
        <v>2</v>
      </c>
    </row>
    <row r="202" customFormat="false" ht="15" hidden="false" customHeight="false" outlineLevel="0" collapsed="false">
      <c r="A202" s="9" t="s">
        <v>154</v>
      </c>
      <c r="B202" s="27" t="s">
        <v>49</v>
      </c>
      <c r="C202" s="27" t="s">
        <v>125</v>
      </c>
      <c r="D202" s="8" t="s">
        <v>474</v>
      </c>
      <c r="E202" s="10" t="n">
        <v>4</v>
      </c>
      <c r="F202" s="10" t="n">
        <v>4</v>
      </c>
    </row>
    <row r="203" customFormat="false" ht="15" hidden="false" customHeight="false" outlineLevel="0" collapsed="false">
      <c r="A203" s="9" t="s">
        <v>158</v>
      </c>
      <c r="B203" s="27" t="s">
        <v>49</v>
      </c>
      <c r="C203" s="27" t="s">
        <v>125</v>
      </c>
      <c r="D203" s="8" t="s">
        <v>465</v>
      </c>
      <c r="E203" s="10" t="n">
        <v>4</v>
      </c>
      <c r="F203" s="10" t="n">
        <v>3</v>
      </c>
    </row>
    <row r="204" customFormat="false" ht="15" hidden="false" customHeight="false" outlineLevel="0" collapsed="false">
      <c r="A204" s="9" t="s">
        <v>158</v>
      </c>
      <c r="B204" s="27" t="s">
        <v>49</v>
      </c>
      <c r="C204" s="27" t="s">
        <v>125</v>
      </c>
      <c r="D204" s="8" t="s">
        <v>466</v>
      </c>
      <c r="E204" s="10" t="n">
        <v>3</v>
      </c>
      <c r="F204" s="10" t="n">
        <v>3</v>
      </c>
    </row>
    <row r="205" customFormat="false" ht="15" hidden="false" customHeight="false" outlineLevel="0" collapsed="false">
      <c r="A205" s="9" t="s">
        <v>158</v>
      </c>
      <c r="B205" s="27" t="s">
        <v>49</v>
      </c>
      <c r="C205" s="27" t="s">
        <v>125</v>
      </c>
      <c r="D205" s="8" t="s">
        <v>467</v>
      </c>
      <c r="E205" s="10" t="n">
        <v>3</v>
      </c>
      <c r="F205" s="10" t="n">
        <v>3</v>
      </c>
    </row>
    <row r="206" customFormat="false" ht="15" hidden="false" customHeight="false" outlineLevel="0" collapsed="false">
      <c r="A206" s="9" t="s">
        <v>158</v>
      </c>
      <c r="B206" s="27" t="s">
        <v>49</v>
      </c>
      <c r="C206" s="27" t="s">
        <v>125</v>
      </c>
      <c r="D206" s="11" t="s">
        <v>468</v>
      </c>
      <c r="E206" s="10" t="n">
        <v>3</v>
      </c>
      <c r="F206" s="10" t="n">
        <v>3</v>
      </c>
    </row>
    <row r="207" customFormat="false" ht="15" hidden="false" customHeight="false" outlineLevel="0" collapsed="false">
      <c r="A207" s="9" t="s">
        <v>158</v>
      </c>
      <c r="B207" s="27" t="s">
        <v>49</v>
      </c>
      <c r="C207" s="27" t="s">
        <v>125</v>
      </c>
      <c r="D207" s="8" t="s">
        <v>469</v>
      </c>
      <c r="E207" s="10" t="n">
        <v>5</v>
      </c>
      <c r="F207" s="10" t="n">
        <v>4</v>
      </c>
    </row>
    <row r="208" customFormat="false" ht="15" hidden="false" customHeight="false" outlineLevel="0" collapsed="false">
      <c r="A208" s="9" t="s">
        <v>158</v>
      </c>
      <c r="B208" s="27" t="s">
        <v>49</v>
      </c>
      <c r="C208" s="27" t="s">
        <v>125</v>
      </c>
      <c r="D208" s="8" t="s">
        <v>470</v>
      </c>
      <c r="E208" s="10" t="n">
        <v>4</v>
      </c>
      <c r="F208" s="10" t="n">
        <v>3</v>
      </c>
    </row>
    <row r="209" customFormat="false" ht="29.85" hidden="false" customHeight="false" outlineLevel="0" collapsed="false">
      <c r="A209" s="9" t="s">
        <v>158</v>
      </c>
      <c r="B209" s="27" t="s">
        <v>49</v>
      </c>
      <c r="C209" s="27" t="s">
        <v>125</v>
      </c>
      <c r="D209" s="8" t="s">
        <v>471</v>
      </c>
      <c r="E209" s="10" t="n">
        <v>6</v>
      </c>
      <c r="F209" s="10" t="n">
        <v>12</v>
      </c>
    </row>
    <row r="210" customFormat="false" ht="29.85" hidden="false" customHeight="false" outlineLevel="0" collapsed="false">
      <c r="A210" s="9" t="s">
        <v>158</v>
      </c>
      <c r="B210" s="27" t="s">
        <v>49</v>
      </c>
      <c r="C210" s="27" t="s">
        <v>125</v>
      </c>
      <c r="D210" s="8" t="s">
        <v>472</v>
      </c>
      <c r="E210" s="10" t="n">
        <v>5</v>
      </c>
      <c r="F210" s="10" t="n">
        <v>8</v>
      </c>
    </row>
    <row r="211" customFormat="false" ht="15" hidden="false" customHeight="false" outlineLevel="0" collapsed="false">
      <c r="A211" s="9" t="s">
        <v>158</v>
      </c>
      <c r="B211" s="27" t="s">
        <v>49</v>
      </c>
      <c r="C211" s="27" t="s">
        <v>125</v>
      </c>
      <c r="D211" s="8" t="s">
        <v>473</v>
      </c>
      <c r="E211" s="10" t="n">
        <v>3</v>
      </c>
      <c r="F211" s="10" t="n">
        <v>2</v>
      </c>
    </row>
    <row r="212" customFormat="false" ht="15" hidden="false" customHeight="false" outlineLevel="0" collapsed="false">
      <c r="A212" s="9" t="s">
        <v>158</v>
      </c>
      <c r="B212" s="27" t="s">
        <v>49</v>
      </c>
      <c r="C212" s="27" t="s">
        <v>125</v>
      </c>
      <c r="D212" s="8" t="s">
        <v>474</v>
      </c>
      <c r="E212" s="10" t="n">
        <v>4</v>
      </c>
      <c r="F212" s="10" t="n">
        <v>4</v>
      </c>
    </row>
    <row r="213" customFormat="false" ht="15" hidden="false" customHeight="false" outlineLevel="0" collapsed="false">
      <c r="A213" s="9" t="s">
        <v>161</v>
      </c>
      <c r="B213" s="27" t="s">
        <v>49</v>
      </c>
      <c r="C213" s="27" t="s">
        <v>125</v>
      </c>
      <c r="D213" s="8" t="s">
        <v>465</v>
      </c>
      <c r="E213" s="10" t="n">
        <v>4</v>
      </c>
      <c r="F213" s="10" t="n">
        <v>3</v>
      </c>
    </row>
    <row r="214" customFormat="false" ht="15" hidden="false" customHeight="false" outlineLevel="0" collapsed="false">
      <c r="A214" s="9" t="s">
        <v>161</v>
      </c>
      <c r="B214" s="27" t="s">
        <v>49</v>
      </c>
      <c r="C214" s="27" t="s">
        <v>125</v>
      </c>
      <c r="D214" s="8" t="s">
        <v>466</v>
      </c>
      <c r="E214" s="10" t="n">
        <v>3</v>
      </c>
      <c r="F214" s="10" t="n">
        <v>3</v>
      </c>
    </row>
    <row r="215" customFormat="false" ht="15" hidden="false" customHeight="false" outlineLevel="0" collapsed="false">
      <c r="A215" s="9" t="s">
        <v>161</v>
      </c>
      <c r="B215" s="27" t="s">
        <v>49</v>
      </c>
      <c r="C215" s="27" t="s">
        <v>125</v>
      </c>
      <c r="D215" s="8" t="s">
        <v>467</v>
      </c>
      <c r="E215" s="10" t="n">
        <v>3</v>
      </c>
      <c r="F215" s="10" t="n">
        <v>3</v>
      </c>
    </row>
    <row r="216" customFormat="false" ht="15" hidden="false" customHeight="false" outlineLevel="0" collapsed="false">
      <c r="A216" s="9" t="s">
        <v>161</v>
      </c>
      <c r="B216" s="27" t="s">
        <v>49</v>
      </c>
      <c r="C216" s="27" t="s">
        <v>125</v>
      </c>
      <c r="D216" s="11" t="s">
        <v>468</v>
      </c>
      <c r="E216" s="10" t="n">
        <v>3</v>
      </c>
      <c r="F216" s="10" t="n">
        <v>3</v>
      </c>
    </row>
    <row r="217" customFormat="false" ht="15" hidden="false" customHeight="false" outlineLevel="0" collapsed="false">
      <c r="A217" s="9" t="s">
        <v>161</v>
      </c>
      <c r="B217" s="27" t="s">
        <v>49</v>
      </c>
      <c r="C217" s="27" t="s">
        <v>125</v>
      </c>
      <c r="D217" s="8" t="s">
        <v>469</v>
      </c>
      <c r="E217" s="10" t="n">
        <v>5</v>
      </c>
      <c r="F217" s="10" t="n">
        <v>4</v>
      </c>
    </row>
    <row r="218" customFormat="false" ht="15" hidden="false" customHeight="false" outlineLevel="0" collapsed="false">
      <c r="A218" s="9" t="s">
        <v>161</v>
      </c>
      <c r="B218" s="27" t="s">
        <v>49</v>
      </c>
      <c r="C218" s="27" t="s">
        <v>125</v>
      </c>
      <c r="D218" s="8" t="s">
        <v>470</v>
      </c>
      <c r="E218" s="10" t="n">
        <v>4</v>
      </c>
      <c r="F218" s="10" t="n">
        <v>3</v>
      </c>
    </row>
    <row r="219" customFormat="false" ht="29.85" hidden="false" customHeight="false" outlineLevel="0" collapsed="false">
      <c r="A219" s="9" t="s">
        <v>161</v>
      </c>
      <c r="B219" s="27" t="s">
        <v>49</v>
      </c>
      <c r="C219" s="27" t="s">
        <v>125</v>
      </c>
      <c r="D219" s="8" t="s">
        <v>471</v>
      </c>
      <c r="E219" s="10" t="n">
        <v>6</v>
      </c>
      <c r="F219" s="10" t="n">
        <v>12</v>
      </c>
    </row>
    <row r="220" customFormat="false" ht="29.85" hidden="false" customHeight="false" outlineLevel="0" collapsed="false">
      <c r="A220" s="9" t="s">
        <v>161</v>
      </c>
      <c r="B220" s="27" t="s">
        <v>49</v>
      </c>
      <c r="C220" s="27" t="s">
        <v>125</v>
      </c>
      <c r="D220" s="8" t="s">
        <v>472</v>
      </c>
      <c r="E220" s="10" t="n">
        <v>5</v>
      </c>
      <c r="F220" s="10" t="n">
        <v>8</v>
      </c>
    </row>
    <row r="221" customFormat="false" ht="15" hidden="false" customHeight="false" outlineLevel="0" collapsed="false">
      <c r="A221" s="9" t="s">
        <v>161</v>
      </c>
      <c r="B221" s="27" t="s">
        <v>49</v>
      </c>
      <c r="C221" s="27" t="s">
        <v>125</v>
      </c>
      <c r="D221" s="8" t="s">
        <v>473</v>
      </c>
      <c r="E221" s="10" t="n">
        <v>3</v>
      </c>
      <c r="F221" s="10" t="n">
        <v>2</v>
      </c>
    </row>
    <row r="222" customFormat="false" ht="15" hidden="false" customHeight="false" outlineLevel="0" collapsed="false">
      <c r="A222" s="9" t="s">
        <v>161</v>
      </c>
      <c r="B222" s="27" t="s">
        <v>49</v>
      </c>
      <c r="C222" s="27" t="s">
        <v>125</v>
      </c>
      <c r="D222" s="8" t="s">
        <v>474</v>
      </c>
      <c r="E222" s="10" t="n">
        <v>4</v>
      </c>
      <c r="F222" s="10" t="n">
        <v>4</v>
      </c>
    </row>
    <row r="223" customFormat="false" ht="15" hidden="false" customHeight="false" outlineLevel="0" collapsed="false">
      <c r="A223" s="9" t="s">
        <v>164</v>
      </c>
      <c r="B223" s="27" t="s">
        <v>49</v>
      </c>
      <c r="C223" s="27" t="s">
        <v>125</v>
      </c>
      <c r="D223" s="8" t="s">
        <v>465</v>
      </c>
      <c r="E223" s="10" t="n">
        <v>4</v>
      </c>
      <c r="F223" s="10" t="n">
        <v>3</v>
      </c>
    </row>
    <row r="224" customFormat="false" ht="15" hidden="false" customHeight="false" outlineLevel="0" collapsed="false">
      <c r="A224" s="9" t="s">
        <v>164</v>
      </c>
      <c r="B224" s="27" t="s">
        <v>49</v>
      </c>
      <c r="C224" s="27" t="s">
        <v>125</v>
      </c>
      <c r="D224" s="8" t="s">
        <v>466</v>
      </c>
      <c r="E224" s="10" t="n">
        <v>3</v>
      </c>
      <c r="F224" s="10" t="n">
        <v>3</v>
      </c>
    </row>
    <row r="225" customFormat="false" ht="15" hidden="false" customHeight="false" outlineLevel="0" collapsed="false">
      <c r="A225" s="9" t="s">
        <v>164</v>
      </c>
      <c r="B225" s="27" t="s">
        <v>49</v>
      </c>
      <c r="C225" s="27" t="s">
        <v>125</v>
      </c>
      <c r="D225" s="8" t="s">
        <v>467</v>
      </c>
      <c r="E225" s="10" t="n">
        <v>3</v>
      </c>
      <c r="F225" s="10" t="n">
        <v>3</v>
      </c>
    </row>
    <row r="226" customFormat="false" ht="15" hidden="false" customHeight="false" outlineLevel="0" collapsed="false">
      <c r="A226" s="9" t="s">
        <v>164</v>
      </c>
      <c r="B226" s="27" t="s">
        <v>49</v>
      </c>
      <c r="C226" s="27" t="s">
        <v>125</v>
      </c>
      <c r="D226" s="11" t="s">
        <v>468</v>
      </c>
      <c r="E226" s="10" t="n">
        <v>3</v>
      </c>
      <c r="F226" s="10" t="n">
        <v>3</v>
      </c>
    </row>
    <row r="227" customFormat="false" ht="15" hidden="false" customHeight="false" outlineLevel="0" collapsed="false">
      <c r="A227" s="9" t="s">
        <v>164</v>
      </c>
      <c r="B227" s="27" t="s">
        <v>49</v>
      </c>
      <c r="C227" s="27" t="s">
        <v>125</v>
      </c>
      <c r="D227" s="8" t="s">
        <v>469</v>
      </c>
      <c r="E227" s="10" t="n">
        <v>5</v>
      </c>
      <c r="F227" s="10" t="n">
        <v>4</v>
      </c>
    </row>
    <row r="228" customFormat="false" ht="15" hidden="false" customHeight="false" outlineLevel="0" collapsed="false">
      <c r="A228" s="9" t="s">
        <v>164</v>
      </c>
      <c r="B228" s="27" t="s">
        <v>49</v>
      </c>
      <c r="C228" s="27" t="s">
        <v>125</v>
      </c>
      <c r="D228" s="8" t="s">
        <v>470</v>
      </c>
      <c r="E228" s="10" t="n">
        <v>4</v>
      </c>
      <c r="F228" s="10" t="n">
        <v>3</v>
      </c>
    </row>
    <row r="229" customFormat="false" ht="29.85" hidden="false" customHeight="false" outlineLevel="0" collapsed="false">
      <c r="A229" s="9" t="s">
        <v>164</v>
      </c>
      <c r="B229" s="27" t="s">
        <v>49</v>
      </c>
      <c r="C229" s="27" t="s">
        <v>125</v>
      </c>
      <c r="D229" s="8" t="s">
        <v>471</v>
      </c>
      <c r="E229" s="10" t="n">
        <v>6</v>
      </c>
      <c r="F229" s="10" t="n">
        <v>12</v>
      </c>
    </row>
    <row r="230" customFormat="false" ht="29.85" hidden="false" customHeight="false" outlineLevel="0" collapsed="false">
      <c r="A230" s="9" t="s">
        <v>164</v>
      </c>
      <c r="B230" s="27" t="s">
        <v>49</v>
      </c>
      <c r="C230" s="27" t="s">
        <v>125</v>
      </c>
      <c r="D230" s="8" t="s">
        <v>472</v>
      </c>
      <c r="E230" s="10" t="n">
        <v>5</v>
      </c>
      <c r="F230" s="10" t="n">
        <v>8</v>
      </c>
    </row>
    <row r="231" customFormat="false" ht="15" hidden="false" customHeight="false" outlineLevel="0" collapsed="false">
      <c r="A231" s="9" t="s">
        <v>164</v>
      </c>
      <c r="B231" s="27" t="s">
        <v>49</v>
      </c>
      <c r="C231" s="27" t="s">
        <v>125</v>
      </c>
      <c r="D231" s="8" t="s">
        <v>473</v>
      </c>
      <c r="E231" s="10" t="n">
        <v>3</v>
      </c>
      <c r="F231" s="10" t="n">
        <v>2</v>
      </c>
    </row>
    <row r="232" customFormat="false" ht="15" hidden="false" customHeight="false" outlineLevel="0" collapsed="false">
      <c r="A232" s="9" t="s">
        <v>164</v>
      </c>
      <c r="B232" s="27" t="s">
        <v>49</v>
      </c>
      <c r="C232" s="27" t="s">
        <v>125</v>
      </c>
      <c r="D232" s="8" t="s">
        <v>474</v>
      </c>
      <c r="E232" s="10" t="n">
        <v>4</v>
      </c>
      <c r="F232" s="10" t="n">
        <v>4</v>
      </c>
    </row>
    <row r="233" customFormat="false" ht="15" hidden="false" customHeight="false" outlineLevel="0" collapsed="false">
      <c r="A233" s="9" t="s">
        <v>164</v>
      </c>
      <c r="B233" s="27" t="s">
        <v>49</v>
      </c>
      <c r="C233" s="27" t="s">
        <v>125</v>
      </c>
      <c r="D233" s="8" t="s">
        <v>478</v>
      </c>
      <c r="E233" s="10" t="n">
        <v>5</v>
      </c>
      <c r="F233" s="10" t="n">
        <v>5</v>
      </c>
    </row>
    <row r="234" customFormat="false" ht="15" hidden="false" customHeight="false" outlineLevel="0" collapsed="false">
      <c r="A234" s="9" t="s">
        <v>169</v>
      </c>
      <c r="B234" s="27" t="s">
        <v>168</v>
      </c>
      <c r="C234" s="27" t="s">
        <v>50</v>
      </c>
      <c r="D234" s="8" t="s">
        <v>368</v>
      </c>
      <c r="E234" s="10" t="n">
        <v>5</v>
      </c>
      <c r="F234" s="10" t="n">
        <v>4</v>
      </c>
    </row>
    <row r="235" customFormat="false" ht="15" hidden="false" customHeight="false" outlineLevel="0" collapsed="false">
      <c r="A235" s="9" t="s">
        <v>169</v>
      </c>
      <c r="B235" s="27" t="s">
        <v>168</v>
      </c>
      <c r="C235" s="27" t="s">
        <v>50</v>
      </c>
      <c r="D235" s="8" t="s">
        <v>479</v>
      </c>
      <c r="E235" s="10" t="n">
        <v>5</v>
      </c>
      <c r="F235" s="10" t="n">
        <v>5</v>
      </c>
    </row>
    <row r="236" customFormat="false" ht="15" hidden="false" customHeight="false" outlineLevel="0" collapsed="false">
      <c r="A236" s="9" t="s">
        <v>169</v>
      </c>
      <c r="B236" s="27" t="s">
        <v>168</v>
      </c>
      <c r="C236" s="27" t="s">
        <v>50</v>
      </c>
      <c r="D236" s="8" t="s">
        <v>480</v>
      </c>
      <c r="E236" s="10" t="n">
        <v>8</v>
      </c>
      <c r="F236" s="10" t="n">
        <v>7</v>
      </c>
    </row>
    <row r="237" customFormat="false" ht="15" hidden="false" customHeight="false" outlineLevel="0" collapsed="false">
      <c r="A237" s="9" t="s">
        <v>169</v>
      </c>
      <c r="B237" s="27" t="s">
        <v>168</v>
      </c>
      <c r="C237" s="27" t="s">
        <v>50</v>
      </c>
      <c r="D237" s="8" t="s">
        <v>481</v>
      </c>
      <c r="E237" s="10" t="n">
        <v>7</v>
      </c>
      <c r="F237" s="10" t="n">
        <v>6</v>
      </c>
    </row>
    <row r="238" customFormat="false" ht="15" hidden="false" customHeight="false" outlineLevel="0" collapsed="false">
      <c r="A238" s="9" t="s">
        <v>169</v>
      </c>
      <c r="B238" s="27" t="s">
        <v>168</v>
      </c>
      <c r="C238" s="27" t="s">
        <v>50</v>
      </c>
      <c r="D238" s="8" t="s">
        <v>482</v>
      </c>
      <c r="E238" s="10" t="n">
        <v>5</v>
      </c>
      <c r="F238" s="10" t="n">
        <v>3</v>
      </c>
    </row>
    <row r="239" customFormat="false" ht="15" hidden="false" customHeight="false" outlineLevel="0" collapsed="false">
      <c r="A239" s="9" t="s">
        <v>169</v>
      </c>
      <c r="B239" s="27" t="s">
        <v>168</v>
      </c>
      <c r="C239" s="27" t="s">
        <v>50</v>
      </c>
      <c r="D239" s="8" t="s">
        <v>373</v>
      </c>
      <c r="E239" s="10" t="n">
        <v>0</v>
      </c>
      <c r="F239" s="10" t="n">
        <v>5</v>
      </c>
    </row>
    <row r="240" customFormat="false" ht="15" hidden="false" customHeight="false" outlineLevel="0" collapsed="false">
      <c r="A240" s="9" t="s">
        <v>174</v>
      </c>
      <c r="B240" s="27" t="s">
        <v>168</v>
      </c>
      <c r="C240" s="27" t="s">
        <v>50</v>
      </c>
      <c r="D240" s="8" t="s">
        <v>483</v>
      </c>
      <c r="E240" s="10" t="n">
        <v>7</v>
      </c>
      <c r="F240" s="10" t="n">
        <v>8</v>
      </c>
    </row>
    <row r="241" customFormat="false" ht="15" hidden="false" customHeight="false" outlineLevel="0" collapsed="false">
      <c r="A241" s="9" t="s">
        <v>174</v>
      </c>
      <c r="B241" s="27" t="s">
        <v>168</v>
      </c>
      <c r="C241" s="27" t="s">
        <v>50</v>
      </c>
      <c r="D241" s="8" t="s">
        <v>484</v>
      </c>
      <c r="E241" s="10" t="n">
        <v>15</v>
      </c>
      <c r="F241" s="10" t="n">
        <v>0</v>
      </c>
    </row>
    <row r="242" customFormat="false" ht="15" hidden="false" customHeight="false" outlineLevel="0" collapsed="false">
      <c r="A242" s="9" t="s">
        <v>174</v>
      </c>
      <c r="B242" s="27" t="s">
        <v>168</v>
      </c>
      <c r="C242" s="27" t="s">
        <v>50</v>
      </c>
      <c r="D242" s="8" t="s">
        <v>485</v>
      </c>
      <c r="E242" s="10" t="n">
        <v>0</v>
      </c>
      <c r="F242" s="10" t="n">
        <v>5</v>
      </c>
    </row>
    <row r="243" customFormat="false" ht="15" hidden="false" customHeight="false" outlineLevel="0" collapsed="false">
      <c r="A243" s="9" t="s">
        <v>174</v>
      </c>
      <c r="B243" s="27" t="s">
        <v>168</v>
      </c>
      <c r="C243" s="27" t="s">
        <v>50</v>
      </c>
      <c r="D243" s="11" t="s">
        <v>486</v>
      </c>
      <c r="E243" s="10" t="n">
        <v>0</v>
      </c>
      <c r="F243" s="10" t="n">
        <v>10</v>
      </c>
    </row>
    <row r="244" customFormat="false" ht="15" hidden="false" customHeight="false" outlineLevel="0" collapsed="false">
      <c r="A244" s="9" t="s">
        <v>174</v>
      </c>
      <c r="B244" s="27" t="s">
        <v>168</v>
      </c>
      <c r="C244" s="27" t="s">
        <v>50</v>
      </c>
      <c r="D244" s="11" t="s">
        <v>487</v>
      </c>
      <c r="E244" s="10" t="n">
        <v>0</v>
      </c>
      <c r="F244" s="10" t="n">
        <v>10</v>
      </c>
    </row>
    <row r="245" customFormat="false" ht="15" hidden="false" customHeight="false" outlineLevel="0" collapsed="false">
      <c r="A245" s="9" t="s">
        <v>174</v>
      </c>
      <c r="B245" s="27" t="s">
        <v>168</v>
      </c>
      <c r="C245" s="27" t="s">
        <v>50</v>
      </c>
      <c r="D245" s="8" t="s">
        <v>488</v>
      </c>
      <c r="E245" s="10" t="n">
        <v>5</v>
      </c>
      <c r="F245" s="10" t="n">
        <v>10</v>
      </c>
    </row>
    <row r="246" customFormat="false" ht="15" hidden="false" customHeight="false" outlineLevel="0" collapsed="false">
      <c r="A246" s="9" t="s">
        <v>174</v>
      </c>
      <c r="B246" s="27" t="s">
        <v>168</v>
      </c>
      <c r="C246" s="27" t="s">
        <v>50</v>
      </c>
      <c r="D246" s="8" t="s">
        <v>347</v>
      </c>
      <c r="E246" s="10" t="n">
        <v>3</v>
      </c>
      <c r="F246" s="10" t="n">
        <v>2</v>
      </c>
    </row>
    <row r="247" customFormat="false" ht="15" hidden="false" customHeight="false" outlineLevel="0" collapsed="false">
      <c r="A247" s="9" t="s">
        <v>179</v>
      </c>
      <c r="B247" s="27" t="s">
        <v>168</v>
      </c>
      <c r="C247" s="27" t="s">
        <v>50</v>
      </c>
      <c r="D247" s="8" t="s">
        <v>489</v>
      </c>
      <c r="E247" s="10" t="n">
        <v>5</v>
      </c>
      <c r="F247" s="10" t="n">
        <v>4</v>
      </c>
    </row>
    <row r="248" customFormat="false" ht="15" hidden="false" customHeight="false" outlineLevel="0" collapsed="false">
      <c r="A248" s="9" t="s">
        <v>179</v>
      </c>
      <c r="B248" s="27" t="s">
        <v>168</v>
      </c>
      <c r="C248" s="27" t="s">
        <v>50</v>
      </c>
      <c r="D248" s="8" t="s">
        <v>490</v>
      </c>
      <c r="E248" s="10" t="n">
        <v>7</v>
      </c>
      <c r="F248" s="10" t="n">
        <v>6</v>
      </c>
    </row>
    <row r="249" customFormat="false" ht="15" hidden="false" customHeight="false" outlineLevel="0" collapsed="false">
      <c r="A249" s="9" t="s">
        <v>179</v>
      </c>
      <c r="B249" s="27" t="s">
        <v>168</v>
      </c>
      <c r="C249" s="27" t="s">
        <v>50</v>
      </c>
      <c r="D249" s="8" t="s">
        <v>491</v>
      </c>
      <c r="E249" s="10" t="n">
        <v>6</v>
      </c>
      <c r="F249" s="10" t="n">
        <v>5</v>
      </c>
    </row>
    <row r="250" customFormat="false" ht="15" hidden="false" customHeight="false" outlineLevel="0" collapsed="false">
      <c r="A250" s="9" t="s">
        <v>179</v>
      </c>
      <c r="B250" s="27" t="s">
        <v>168</v>
      </c>
      <c r="C250" s="27" t="s">
        <v>50</v>
      </c>
      <c r="D250" s="8" t="s">
        <v>492</v>
      </c>
      <c r="E250" s="10" t="n">
        <v>7</v>
      </c>
      <c r="F250" s="10" t="n">
        <v>5</v>
      </c>
    </row>
    <row r="251" customFormat="false" ht="15" hidden="false" customHeight="false" outlineLevel="0" collapsed="false">
      <c r="A251" s="9" t="s">
        <v>179</v>
      </c>
      <c r="B251" s="27" t="s">
        <v>168</v>
      </c>
      <c r="C251" s="27" t="s">
        <v>50</v>
      </c>
      <c r="D251" s="8" t="s">
        <v>493</v>
      </c>
      <c r="E251" s="10" t="n">
        <v>0</v>
      </c>
      <c r="F251" s="10" t="n">
        <v>10</v>
      </c>
    </row>
    <row r="252" customFormat="false" ht="15" hidden="false" customHeight="false" outlineLevel="0" collapsed="false">
      <c r="A252" s="9" t="s">
        <v>179</v>
      </c>
      <c r="B252" s="27" t="s">
        <v>168</v>
      </c>
      <c r="C252" s="27" t="s">
        <v>50</v>
      </c>
      <c r="D252" s="8" t="s">
        <v>347</v>
      </c>
      <c r="E252" s="10" t="n">
        <v>5</v>
      </c>
      <c r="F252" s="10" t="n">
        <v>5</v>
      </c>
    </row>
    <row r="253" customFormat="false" ht="15" hidden="false" customHeight="false" outlineLevel="0" collapsed="false">
      <c r="A253" s="9" t="s">
        <v>184</v>
      </c>
      <c r="B253" s="27" t="s">
        <v>168</v>
      </c>
      <c r="C253" s="27" t="s">
        <v>50</v>
      </c>
      <c r="D253" s="8" t="s">
        <v>494</v>
      </c>
      <c r="E253" s="10" t="n">
        <v>5</v>
      </c>
      <c r="F253" s="10" t="n">
        <v>4</v>
      </c>
    </row>
    <row r="254" customFormat="false" ht="15" hidden="false" customHeight="false" outlineLevel="0" collapsed="false">
      <c r="A254" s="9" t="s">
        <v>184</v>
      </c>
      <c r="B254" s="27" t="s">
        <v>168</v>
      </c>
      <c r="C254" s="27" t="s">
        <v>50</v>
      </c>
      <c r="D254" s="8" t="s">
        <v>495</v>
      </c>
      <c r="E254" s="10" t="n">
        <v>6</v>
      </c>
      <c r="F254" s="10" t="n">
        <v>5</v>
      </c>
    </row>
    <row r="255" customFormat="false" ht="15" hidden="false" customHeight="false" outlineLevel="0" collapsed="false">
      <c r="A255" s="9" t="s">
        <v>184</v>
      </c>
      <c r="B255" s="27" t="s">
        <v>168</v>
      </c>
      <c r="C255" s="27" t="s">
        <v>50</v>
      </c>
      <c r="D255" s="8" t="s">
        <v>496</v>
      </c>
      <c r="E255" s="10" t="n">
        <v>6</v>
      </c>
      <c r="F255" s="10" t="n">
        <v>6</v>
      </c>
    </row>
    <row r="256" customFormat="false" ht="15" hidden="false" customHeight="false" outlineLevel="0" collapsed="false">
      <c r="A256" s="9" t="s">
        <v>184</v>
      </c>
      <c r="B256" s="27" t="s">
        <v>168</v>
      </c>
      <c r="C256" s="27" t="s">
        <v>50</v>
      </c>
      <c r="D256" s="8" t="s">
        <v>497</v>
      </c>
      <c r="E256" s="10" t="n">
        <v>5</v>
      </c>
      <c r="F256" s="10" t="n">
        <v>8</v>
      </c>
    </row>
    <row r="257" customFormat="false" ht="15" hidden="false" customHeight="false" outlineLevel="0" collapsed="false">
      <c r="A257" s="9" t="s">
        <v>184</v>
      </c>
      <c r="B257" s="27" t="s">
        <v>168</v>
      </c>
      <c r="C257" s="27" t="s">
        <v>50</v>
      </c>
      <c r="D257" s="8" t="s">
        <v>347</v>
      </c>
      <c r="E257" s="10" t="n">
        <v>3</v>
      </c>
      <c r="F257" s="10" t="n">
        <v>2</v>
      </c>
    </row>
    <row r="258" customFormat="false" ht="15" hidden="false" customHeight="false" outlineLevel="0" collapsed="false">
      <c r="A258" s="9" t="s">
        <v>189</v>
      </c>
      <c r="B258" s="27" t="s">
        <v>168</v>
      </c>
      <c r="C258" s="27" t="s">
        <v>50</v>
      </c>
      <c r="D258" s="8" t="s">
        <v>498</v>
      </c>
      <c r="E258" s="10" t="n">
        <v>5</v>
      </c>
      <c r="F258" s="10" t="n">
        <v>4</v>
      </c>
    </row>
    <row r="259" customFormat="false" ht="15" hidden="false" customHeight="false" outlineLevel="0" collapsed="false">
      <c r="A259" s="9" t="s">
        <v>189</v>
      </c>
      <c r="B259" s="27" t="s">
        <v>168</v>
      </c>
      <c r="C259" s="27" t="s">
        <v>50</v>
      </c>
      <c r="D259" s="8" t="s">
        <v>499</v>
      </c>
      <c r="E259" s="10" t="n">
        <v>7</v>
      </c>
      <c r="F259" s="10" t="n">
        <v>6</v>
      </c>
    </row>
    <row r="260" customFormat="false" ht="15" hidden="false" customHeight="false" outlineLevel="0" collapsed="false">
      <c r="A260" s="9" t="s">
        <v>189</v>
      </c>
      <c r="B260" s="27" t="s">
        <v>168</v>
      </c>
      <c r="C260" s="27" t="s">
        <v>50</v>
      </c>
      <c r="D260" s="8" t="s">
        <v>500</v>
      </c>
      <c r="E260" s="10" t="n">
        <v>8</v>
      </c>
      <c r="F260" s="10" t="n">
        <v>7</v>
      </c>
    </row>
    <row r="261" customFormat="false" ht="15" hidden="false" customHeight="false" outlineLevel="0" collapsed="false">
      <c r="A261" s="9" t="s">
        <v>189</v>
      </c>
      <c r="B261" s="27" t="s">
        <v>168</v>
      </c>
      <c r="C261" s="27" t="s">
        <v>50</v>
      </c>
      <c r="D261" s="8" t="s">
        <v>501</v>
      </c>
      <c r="E261" s="10" t="n">
        <v>5</v>
      </c>
      <c r="F261" s="10" t="n">
        <v>10</v>
      </c>
    </row>
    <row r="262" customFormat="false" ht="15" hidden="false" customHeight="false" outlineLevel="0" collapsed="false">
      <c r="A262" s="9" t="s">
        <v>189</v>
      </c>
      <c r="B262" s="27" t="s">
        <v>168</v>
      </c>
      <c r="C262" s="27" t="s">
        <v>50</v>
      </c>
      <c r="D262" s="8" t="s">
        <v>502</v>
      </c>
      <c r="E262" s="10" t="n">
        <v>5</v>
      </c>
      <c r="F262" s="10" t="n">
        <v>3</v>
      </c>
    </row>
    <row r="263" customFormat="false" ht="15" hidden="false" customHeight="false" outlineLevel="0" collapsed="false">
      <c r="A263" s="9" t="s">
        <v>194</v>
      </c>
      <c r="B263" s="27" t="s">
        <v>168</v>
      </c>
      <c r="C263" s="27" t="s">
        <v>50</v>
      </c>
      <c r="D263" s="8" t="s">
        <v>503</v>
      </c>
      <c r="E263" s="10" t="n">
        <v>5</v>
      </c>
      <c r="F263" s="10" t="n">
        <v>4</v>
      </c>
    </row>
    <row r="264" customFormat="false" ht="15" hidden="false" customHeight="false" outlineLevel="0" collapsed="false">
      <c r="A264" s="9" t="s">
        <v>194</v>
      </c>
      <c r="B264" s="27" t="s">
        <v>168</v>
      </c>
      <c r="C264" s="27" t="s">
        <v>50</v>
      </c>
      <c r="D264" s="8" t="s">
        <v>504</v>
      </c>
      <c r="E264" s="10" t="n">
        <v>7</v>
      </c>
      <c r="F264" s="10" t="n">
        <v>6</v>
      </c>
    </row>
    <row r="265" customFormat="false" ht="15" hidden="false" customHeight="false" outlineLevel="0" collapsed="false">
      <c r="A265" s="9" t="s">
        <v>194</v>
      </c>
      <c r="B265" s="27" t="s">
        <v>168</v>
      </c>
      <c r="C265" s="27" t="s">
        <v>50</v>
      </c>
      <c r="D265" s="8" t="s">
        <v>505</v>
      </c>
      <c r="E265" s="10" t="n">
        <v>6</v>
      </c>
      <c r="F265" s="10" t="n">
        <v>5</v>
      </c>
    </row>
    <row r="266" customFormat="false" ht="15" hidden="false" customHeight="false" outlineLevel="0" collapsed="false">
      <c r="A266" s="9" t="s">
        <v>194</v>
      </c>
      <c r="B266" s="27" t="s">
        <v>168</v>
      </c>
      <c r="C266" s="27" t="s">
        <v>50</v>
      </c>
      <c r="D266" s="8" t="s">
        <v>506</v>
      </c>
      <c r="E266" s="10" t="n">
        <v>5</v>
      </c>
      <c r="F266" s="10" t="n">
        <v>5</v>
      </c>
    </row>
    <row r="267" customFormat="false" ht="15" hidden="false" customHeight="false" outlineLevel="0" collapsed="false">
      <c r="A267" s="9" t="s">
        <v>194</v>
      </c>
      <c r="B267" s="27" t="s">
        <v>168</v>
      </c>
      <c r="C267" s="27" t="s">
        <v>50</v>
      </c>
      <c r="D267" s="11" t="s">
        <v>507</v>
      </c>
      <c r="E267" s="10" t="n">
        <v>5</v>
      </c>
      <c r="F267" s="10" t="n">
        <v>10</v>
      </c>
    </row>
    <row r="268" customFormat="false" ht="15" hidden="false" customHeight="false" outlineLevel="0" collapsed="false">
      <c r="A268" s="9" t="s">
        <v>194</v>
      </c>
      <c r="B268" s="27" t="s">
        <v>168</v>
      </c>
      <c r="C268" s="27" t="s">
        <v>50</v>
      </c>
      <c r="D268" s="8" t="s">
        <v>347</v>
      </c>
      <c r="E268" s="10" t="n">
        <v>2</v>
      </c>
      <c r="F268" s="10" t="n">
        <v>0</v>
      </c>
    </row>
    <row r="269" customFormat="false" ht="15" hidden="false" customHeight="false" outlineLevel="0" collapsed="false">
      <c r="A269" s="9" t="s">
        <v>199</v>
      </c>
      <c r="B269" s="27" t="s">
        <v>168</v>
      </c>
      <c r="C269" s="27" t="s">
        <v>50</v>
      </c>
      <c r="D269" s="8" t="s">
        <v>508</v>
      </c>
      <c r="E269" s="10" t="n">
        <v>5</v>
      </c>
      <c r="F269" s="10" t="n">
        <v>4</v>
      </c>
    </row>
    <row r="270" customFormat="false" ht="15" hidden="false" customHeight="false" outlineLevel="0" collapsed="false">
      <c r="A270" s="9" t="s">
        <v>199</v>
      </c>
      <c r="B270" s="27" t="s">
        <v>168</v>
      </c>
      <c r="C270" s="27" t="s">
        <v>50</v>
      </c>
      <c r="D270" s="8" t="s">
        <v>509</v>
      </c>
      <c r="E270" s="10" t="n">
        <v>7</v>
      </c>
      <c r="F270" s="10" t="n">
        <v>6</v>
      </c>
    </row>
    <row r="271" customFormat="false" ht="15" hidden="false" customHeight="false" outlineLevel="0" collapsed="false">
      <c r="A271" s="9" t="s">
        <v>199</v>
      </c>
      <c r="B271" s="27" t="s">
        <v>168</v>
      </c>
      <c r="C271" s="27" t="s">
        <v>50</v>
      </c>
      <c r="D271" s="8" t="s">
        <v>510</v>
      </c>
      <c r="E271" s="10" t="n">
        <v>6</v>
      </c>
      <c r="F271" s="10" t="n">
        <v>5</v>
      </c>
    </row>
    <row r="272" customFormat="false" ht="15" hidden="false" customHeight="false" outlineLevel="0" collapsed="false">
      <c r="A272" s="9" t="s">
        <v>199</v>
      </c>
      <c r="B272" s="27" t="s">
        <v>168</v>
      </c>
      <c r="C272" s="27" t="s">
        <v>50</v>
      </c>
      <c r="D272" s="8" t="s">
        <v>511</v>
      </c>
      <c r="E272" s="10" t="n">
        <v>8</v>
      </c>
      <c r="F272" s="10" t="n">
        <v>12</v>
      </c>
    </row>
    <row r="273" customFormat="false" ht="15" hidden="false" customHeight="false" outlineLevel="0" collapsed="false">
      <c r="A273" s="9" t="s">
        <v>199</v>
      </c>
      <c r="B273" s="27" t="s">
        <v>168</v>
      </c>
      <c r="C273" s="27" t="s">
        <v>50</v>
      </c>
      <c r="D273" s="8" t="s">
        <v>347</v>
      </c>
      <c r="E273" s="10" t="n">
        <v>4</v>
      </c>
      <c r="F273" s="10" t="n">
        <v>3</v>
      </c>
    </row>
    <row r="274" customFormat="false" ht="15" hidden="false" customHeight="false" outlineLevel="0" collapsed="false">
      <c r="A274" s="9" t="s">
        <v>204</v>
      </c>
      <c r="B274" s="27" t="s">
        <v>168</v>
      </c>
      <c r="C274" s="27" t="s">
        <v>50</v>
      </c>
      <c r="D274" s="8" t="s">
        <v>512</v>
      </c>
      <c r="E274" s="10" t="n">
        <v>8</v>
      </c>
      <c r="F274" s="10" t="n">
        <v>7</v>
      </c>
    </row>
    <row r="275" customFormat="false" ht="15" hidden="false" customHeight="false" outlineLevel="0" collapsed="false">
      <c r="A275" s="9" t="s">
        <v>204</v>
      </c>
      <c r="B275" s="27" t="s">
        <v>168</v>
      </c>
      <c r="C275" s="27" t="s">
        <v>50</v>
      </c>
      <c r="D275" s="8" t="s">
        <v>513</v>
      </c>
      <c r="E275" s="10" t="n">
        <v>5</v>
      </c>
      <c r="F275" s="10" t="n">
        <v>4</v>
      </c>
    </row>
    <row r="276" customFormat="false" ht="15" hidden="false" customHeight="false" outlineLevel="0" collapsed="false">
      <c r="A276" s="9" t="s">
        <v>204</v>
      </c>
      <c r="B276" s="27" t="s">
        <v>168</v>
      </c>
      <c r="C276" s="27" t="s">
        <v>50</v>
      </c>
      <c r="D276" s="8" t="s">
        <v>514</v>
      </c>
      <c r="E276" s="10" t="n">
        <v>7</v>
      </c>
      <c r="F276" s="10" t="n">
        <v>10</v>
      </c>
    </row>
    <row r="277" customFormat="false" ht="15" hidden="false" customHeight="false" outlineLevel="0" collapsed="false">
      <c r="A277" s="9" t="s">
        <v>204</v>
      </c>
      <c r="B277" s="27" t="s">
        <v>168</v>
      </c>
      <c r="C277" s="27" t="s">
        <v>50</v>
      </c>
      <c r="D277" s="8" t="s">
        <v>347</v>
      </c>
      <c r="E277" s="10" t="n">
        <v>5</v>
      </c>
      <c r="F277" s="10" t="n">
        <v>4</v>
      </c>
    </row>
    <row r="278" customFormat="false" ht="15" hidden="false" customHeight="false" outlineLevel="0" collapsed="false">
      <c r="A278" s="9" t="s">
        <v>208</v>
      </c>
      <c r="B278" s="27" t="s">
        <v>168</v>
      </c>
      <c r="C278" s="27" t="s">
        <v>50</v>
      </c>
      <c r="D278" s="8" t="s">
        <v>419</v>
      </c>
      <c r="E278" s="10" t="n">
        <v>10</v>
      </c>
      <c r="F278" s="10" t="n">
        <v>10</v>
      </c>
    </row>
    <row r="279" customFormat="false" ht="15" hidden="false" customHeight="false" outlineLevel="0" collapsed="false">
      <c r="A279" s="9" t="s">
        <v>210</v>
      </c>
      <c r="B279" s="27" t="s">
        <v>168</v>
      </c>
      <c r="C279" s="27" t="s">
        <v>105</v>
      </c>
      <c r="D279" s="8" t="s">
        <v>515</v>
      </c>
      <c r="E279" s="10" t="n">
        <v>3</v>
      </c>
      <c r="F279" s="10" t="n">
        <v>3</v>
      </c>
    </row>
    <row r="280" customFormat="false" ht="15" hidden="false" customHeight="false" outlineLevel="0" collapsed="false">
      <c r="A280" s="9" t="s">
        <v>210</v>
      </c>
      <c r="B280" s="27" t="s">
        <v>168</v>
      </c>
      <c r="C280" s="27" t="s">
        <v>105</v>
      </c>
      <c r="D280" s="8" t="s">
        <v>516</v>
      </c>
      <c r="E280" s="10" t="n">
        <v>1</v>
      </c>
      <c r="F280" s="10" t="n">
        <v>1</v>
      </c>
    </row>
    <row r="281" customFormat="false" ht="15" hidden="false" customHeight="false" outlineLevel="0" collapsed="false">
      <c r="A281" s="9" t="s">
        <v>210</v>
      </c>
      <c r="B281" s="27" t="s">
        <v>168</v>
      </c>
      <c r="C281" s="27" t="s">
        <v>105</v>
      </c>
      <c r="D281" s="8" t="s">
        <v>517</v>
      </c>
      <c r="E281" s="10" t="n">
        <v>4</v>
      </c>
      <c r="F281" s="10" t="n">
        <v>5</v>
      </c>
    </row>
    <row r="282" customFormat="false" ht="15" hidden="false" customHeight="false" outlineLevel="0" collapsed="false">
      <c r="A282" s="9" t="s">
        <v>210</v>
      </c>
      <c r="B282" s="27" t="s">
        <v>168</v>
      </c>
      <c r="C282" s="27" t="s">
        <v>105</v>
      </c>
      <c r="D282" s="8" t="s">
        <v>518</v>
      </c>
      <c r="E282" s="10" t="n">
        <v>2</v>
      </c>
      <c r="F282" s="10" t="n">
        <v>2</v>
      </c>
    </row>
    <row r="283" customFormat="false" ht="15" hidden="false" customHeight="false" outlineLevel="0" collapsed="false">
      <c r="A283" s="9" t="s">
        <v>210</v>
      </c>
      <c r="B283" s="27" t="s">
        <v>168</v>
      </c>
      <c r="C283" s="27" t="s">
        <v>105</v>
      </c>
      <c r="D283" s="8" t="s">
        <v>519</v>
      </c>
      <c r="E283" s="10" t="n">
        <v>3</v>
      </c>
      <c r="F283" s="10" t="n">
        <v>4</v>
      </c>
    </row>
    <row r="284" customFormat="false" ht="15" hidden="false" customHeight="false" outlineLevel="0" collapsed="false">
      <c r="A284" s="9" t="s">
        <v>210</v>
      </c>
      <c r="B284" s="27" t="s">
        <v>168</v>
      </c>
      <c r="C284" s="27" t="s">
        <v>105</v>
      </c>
      <c r="D284" s="8" t="s">
        <v>520</v>
      </c>
      <c r="E284" s="10" t="n">
        <v>3</v>
      </c>
      <c r="F284" s="10" t="n">
        <v>3</v>
      </c>
    </row>
    <row r="285" customFormat="false" ht="15" hidden="false" customHeight="false" outlineLevel="0" collapsed="false">
      <c r="A285" s="9" t="s">
        <v>210</v>
      </c>
      <c r="B285" s="27" t="s">
        <v>168</v>
      </c>
      <c r="C285" s="27" t="s">
        <v>105</v>
      </c>
      <c r="D285" s="8" t="s">
        <v>521</v>
      </c>
      <c r="E285" s="10" t="n">
        <v>3</v>
      </c>
      <c r="F285" s="10" t="n">
        <v>3</v>
      </c>
    </row>
    <row r="286" customFormat="false" ht="15" hidden="false" customHeight="false" outlineLevel="0" collapsed="false">
      <c r="A286" s="9" t="s">
        <v>210</v>
      </c>
      <c r="B286" s="27" t="s">
        <v>168</v>
      </c>
      <c r="C286" s="27" t="s">
        <v>105</v>
      </c>
      <c r="D286" s="8" t="s">
        <v>522</v>
      </c>
      <c r="E286" s="10" t="n">
        <v>2</v>
      </c>
      <c r="F286" s="10" t="n">
        <v>2</v>
      </c>
    </row>
    <row r="287" customFormat="false" ht="15" hidden="false" customHeight="false" outlineLevel="0" collapsed="false">
      <c r="A287" s="9" t="s">
        <v>210</v>
      </c>
      <c r="B287" s="27" t="s">
        <v>168</v>
      </c>
      <c r="C287" s="27" t="s">
        <v>105</v>
      </c>
      <c r="D287" s="8" t="s">
        <v>523</v>
      </c>
      <c r="E287" s="10" t="n">
        <v>5</v>
      </c>
      <c r="F287" s="10" t="n">
        <v>5</v>
      </c>
    </row>
    <row r="288" customFormat="false" ht="15" hidden="false" customHeight="false" outlineLevel="0" collapsed="false">
      <c r="A288" s="9" t="s">
        <v>210</v>
      </c>
      <c r="B288" s="27" t="s">
        <v>168</v>
      </c>
      <c r="C288" s="27" t="s">
        <v>105</v>
      </c>
      <c r="D288" s="8" t="s">
        <v>524</v>
      </c>
      <c r="E288" s="10" t="n">
        <v>2</v>
      </c>
      <c r="F288" s="10" t="n">
        <v>2</v>
      </c>
    </row>
    <row r="289" customFormat="false" ht="15" hidden="false" customHeight="false" outlineLevel="0" collapsed="false">
      <c r="A289" s="9" t="s">
        <v>210</v>
      </c>
      <c r="B289" s="27" t="s">
        <v>168</v>
      </c>
      <c r="C289" s="27" t="s">
        <v>105</v>
      </c>
      <c r="D289" s="8" t="s">
        <v>525</v>
      </c>
      <c r="E289" s="10" t="n">
        <v>2</v>
      </c>
      <c r="F289" s="10" t="n">
        <v>3</v>
      </c>
    </row>
    <row r="290" customFormat="false" ht="15" hidden="false" customHeight="false" outlineLevel="0" collapsed="false">
      <c r="A290" s="9" t="s">
        <v>210</v>
      </c>
      <c r="B290" s="27" t="s">
        <v>168</v>
      </c>
      <c r="C290" s="27" t="s">
        <v>105</v>
      </c>
      <c r="D290" s="8" t="s">
        <v>526</v>
      </c>
      <c r="E290" s="10" t="n">
        <v>0</v>
      </c>
      <c r="F290" s="10" t="n">
        <v>7</v>
      </c>
    </row>
    <row r="291" customFormat="false" ht="15" hidden="false" customHeight="false" outlineLevel="0" collapsed="false">
      <c r="A291" s="9" t="s">
        <v>215</v>
      </c>
      <c r="B291" s="27" t="s">
        <v>168</v>
      </c>
      <c r="C291" s="27" t="s">
        <v>105</v>
      </c>
      <c r="D291" s="8" t="s">
        <v>527</v>
      </c>
      <c r="E291" s="10" t="n">
        <v>1</v>
      </c>
      <c r="F291" s="10" t="n">
        <v>1</v>
      </c>
    </row>
    <row r="292" customFormat="false" ht="15" hidden="false" customHeight="false" outlineLevel="0" collapsed="false">
      <c r="A292" s="9" t="s">
        <v>215</v>
      </c>
      <c r="B292" s="27" t="s">
        <v>168</v>
      </c>
      <c r="C292" s="27" t="s">
        <v>105</v>
      </c>
      <c r="D292" s="11" t="s">
        <v>528</v>
      </c>
      <c r="E292" s="10" t="n">
        <v>5</v>
      </c>
      <c r="F292" s="10" t="n">
        <v>5</v>
      </c>
    </row>
    <row r="293" customFormat="false" ht="15" hidden="false" customHeight="false" outlineLevel="0" collapsed="false">
      <c r="A293" s="9" t="s">
        <v>215</v>
      </c>
      <c r="B293" s="27" t="s">
        <v>168</v>
      </c>
      <c r="C293" s="27" t="s">
        <v>105</v>
      </c>
      <c r="D293" s="8" t="s">
        <v>529</v>
      </c>
      <c r="E293" s="10" t="n">
        <v>6</v>
      </c>
      <c r="F293" s="10" t="n">
        <v>7</v>
      </c>
    </row>
    <row r="294" customFormat="false" ht="15" hidden="false" customHeight="false" outlineLevel="0" collapsed="false">
      <c r="A294" s="9" t="s">
        <v>215</v>
      </c>
      <c r="B294" s="27" t="s">
        <v>168</v>
      </c>
      <c r="C294" s="27" t="s">
        <v>105</v>
      </c>
      <c r="D294" s="8" t="s">
        <v>530</v>
      </c>
      <c r="E294" s="10" t="n">
        <v>2</v>
      </c>
      <c r="F294" s="10" t="n">
        <v>2</v>
      </c>
    </row>
    <row r="295" customFormat="false" ht="15" hidden="false" customHeight="false" outlineLevel="0" collapsed="false">
      <c r="A295" s="9" t="s">
        <v>215</v>
      </c>
      <c r="B295" s="27" t="s">
        <v>168</v>
      </c>
      <c r="C295" s="27" t="s">
        <v>105</v>
      </c>
      <c r="D295" s="11" t="s">
        <v>531</v>
      </c>
      <c r="E295" s="10" t="n">
        <v>5</v>
      </c>
      <c r="F295" s="10" t="n">
        <v>6</v>
      </c>
    </row>
    <row r="296" customFormat="false" ht="15" hidden="false" customHeight="false" outlineLevel="0" collapsed="false">
      <c r="A296" s="9" t="s">
        <v>215</v>
      </c>
      <c r="B296" s="27" t="s">
        <v>168</v>
      </c>
      <c r="C296" s="27" t="s">
        <v>105</v>
      </c>
      <c r="D296" s="8" t="s">
        <v>532</v>
      </c>
      <c r="E296" s="10" t="n">
        <v>2</v>
      </c>
      <c r="F296" s="10" t="n">
        <v>2</v>
      </c>
    </row>
    <row r="297" customFormat="false" ht="15" hidden="false" customHeight="false" outlineLevel="0" collapsed="false">
      <c r="A297" s="9" t="s">
        <v>215</v>
      </c>
      <c r="B297" s="27" t="s">
        <v>168</v>
      </c>
      <c r="C297" s="27" t="s">
        <v>105</v>
      </c>
      <c r="D297" s="8" t="s">
        <v>533</v>
      </c>
      <c r="E297" s="10" t="n">
        <v>5</v>
      </c>
      <c r="F297" s="10" t="n">
        <v>6</v>
      </c>
    </row>
    <row r="298" customFormat="false" ht="15" hidden="false" customHeight="false" outlineLevel="0" collapsed="false">
      <c r="A298" s="9" t="s">
        <v>215</v>
      </c>
      <c r="B298" s="27" t="s">
        <v>168</v>
      </c>
      <c r="C298" s="27" t="s">
        <v>105</v>
      </c>
      <c r="D298" s="8" t="s">
        <v>534</v>
      </c>
      <c r="E298" s="10" t="n">
        <v>1</v>
      </c>
      <c r="F298" s="10" t="n">
        <v>1</v>
      </c>
    </row>
    <row r="299" customFormat="false" ht="15" hidden="false" customHeight="false" outlineLevel="0" collapsed="false">
      <c r="A299" s="9" t="s">
        <v>215</v>
      </c>
      <c r="B299" s="27" t="s">
        <v>168</v>
      </c>
      <c r="C299" s="27" t="s">
        <v>105</v>
      </c>
      <c r="D299" s="8" t="s">
        <v>535</v>
      </c>
      <c r="E299" s="10" t="n">
        <v>2</v>
      </c>
      <c r="F299" s="10" t="n">
        <v>2</v>
      </c>
    </row>
    <row r="300" customFormat="false" ht="15" hidden="false" customHeight="false" outlineLevel="0" collapsed="false">
      <c r="A300" s="9" t="s">
        <v>215</v>
      </c>
      <c r="B300" s="27" t="s">
        <v>168</v>
      </c>
      <c r="C300" s="27" t="s">
        <v>105</v>
      </c>
      <c r="D300" s="8" t="s">
        <v>450</v>
      </c>
      <c r="E300" s="10" t="n">
        <v>1</v>
      </c>
      <c r="F300" s="10" t="n">
        <v>2</v>
      </c>
    </row>
    <row r="301" customFormat="false" ht="15" hidden="false" customHeight="false" outlineLevel="0" collapsed="false">
      <c r="A301" s="9" t="s">
        <v>215</v>
      </c>
      <c r="B301" s="27" t="s">
        <v>168</v>
      </c>
      <c r="C301" s="27" t="s">
        <v>105</v>
      </c>
      <c r="D301" s="8" t="s">
        <v>440</v>
      </c>
      <c r="E301" s="10" t="n">
        <v>0</v>
      </c>
      <c r="F301" s="10" t="n">
        <v>6</v>
      </c>
    </row>
    <row r="302" customFormat="false" ht="15" hidden="false" customHeight="false" outlineLevel="0" collapsed="false">
      <c r="A302" s="9" t="s">
        <v>220</v>
      </c>
      <c r="B302" s="27" t="s">
        <v>168</v>
      </c>
      <c r="C302" s="27" t="s">
        <v>105</v>
      </c>
      <c r="D302" s="8" t="s">
        <v>536</v>
      </c>
      <c r="E302" s="10" t="n">
        <v>5</v>
      </c>
      <c r="F302" s="10" t="n">
        <v>6</v>
      </c>
    </row>
    <row r="303" customFormat="false" ht="15" hidden="false" customHeight="false" outlineLevel="0" collapsed="false">
      <c r="A303" s="9" t="s">
        <v>220</v>
      </c>
      <c r="B303" s="27" t="s">
        <v>168</v>
      </c>
      <c r="C303" s="27" t="s">
        <v>105</v>
      </c>
      <c r="D303" s="8" t="s">
        <v>537</v>
      </c>
      <c r="E303" s="10" t="n">
        <v>3</v>
      </c>
      <c r="F303" s="10" t="n">
        <v>3</v>
      </c>
    </row>
    <row r="304" customFormat="false" ht="15" hidden="false" customHeight="false" outlineLevel="0" collapsed="false">
      <c r="A304" s="9" t="s">
        <v>220</v>
      </c>
      <c r="B304" s="27" t="s">
        <v>168</v>
      </c>
      <c r="C304" s="27" t="s">
        <v>105</v>
      </c>
      <c r="D304" s="8" t="s">
        <v>538</v>
      </c>
      <c r="E304" s="10" t="n">
        <v>4</v>
      </c>
      <c r="F304" s="10" t="n">
        <v>4</v>
      </c>
    </row>
    <row r="305" customFormat="false" ht="15" hidden="false" customHeight="false" outlineLevel="0" collapsed="false">
      <c r="A305" s="9" t="s">
        <v>220</v>
      </c>
      <c r="B305" s="27" t="s">
        <v>168</v>
      </c>
      <c r="C305" s="27" t="s">
        <v>105</v>
      </c>
      <c r="D305" s="8" t="s">
        <v>539</v>
      </c>
      <c r="E305" s="10" t="n">
        <v>6</v>
      </c>
      <c r="F305" s="10" t="n">
        <v>7</v>
      </c>
    </row>
    <row r="306" customFormat="false" ht="15" hidden="false" customHeight="false" outlineLevel="0" collapsed="false">
      <c r="A306" s="9" t="s">
        <v>220</v>
      </c>
      <c r="B306" s="27" t="s">
        <v>168</v>
      </c>
      <c r="C306" s="27" t="s">
        <v>105</v>
      </c>
      <c r="D306" s="8" t="s">
        <v>540</v>
      </c>
      <c r="E306" s="10" t="n">
        <v>3</v>
      </c>
      <c r="F306" s="10" t="n">
        <v>3</v>
      </c>
    </row>
    <row r="307" customFormat="false" ht="15" hidden="false" customHeight="false" outlineLevel="0" collapsed="false">
      <c r="A307" s="9" t="s">
        <v>220</v>
      </c>
      <c r="B307" s="27" t="s">
        <v>168</v>
      </c>
      <c r="C307" s="27" t="s">
        <v>105</v>
      </c>
      <c r="D307" s="11" t="s">
        <v>541</v>
      </c>
      <c r="E307" s="10" t="n">
        <v>5</v>
      </c>
      <c r="F307" s="10" t="n">
        <v>5</v>
      </c>
    </row>
    <row r="308" customFormat="false" ht="15" hidden="false" customHeight="false" outlineLevel="0" collapsed="false">
      <c r="A308" s="9" t="s">
        <v>220</v>
      </c>
      <c r="B308" s="27" t="s">
        <v>168</v>
      </c>
      <c r="C308" s="27" t="s">
        <v>105</v>
      </c>
      <c r="D308" s="8" t="s">
        <v>535</v>
      </c>
      <c r="E308" s="10" t="n">
        <v>2</v>
      </c>
      <c r="F308" s="10" t="n">
        <v>2</v>
      </c>
    </row>
    <row r="309" customFormat="false" ht="15" hidden="false" customHeight="false" outlineLevel="0" collapsed="false">
      <c r="A309" s="9" t="s">
        <v>220</v>
      </c>
      <c r="B309" s="27" t="s">
        <v>168</v>
      </c>
      <c r="C309" s="27" t="s">
        <v>105</v>
      </c>
      <c r="D309" s="8" t="s">
        <v>450</v>
      </c>
      <c r="E309" s="10" t="n">
        <v>2</v>
      </c>
      <c r="F309" s="10" t="n">
        <v>2</v>
      </c>
    </row>
    <row r="310" customFormat="false" ht="15" hidden="false" customHeight="false" outlineLevel="0" collapsed="false">
      <c r="A310" s="9" t="s">
        <v>220</v>
      </c>
      <c r="B310" s="27" t="s">
        <v>168</v>
      </c>
      <c r="C310" s="27" t="s">
        <v>105</v>
      </c>
      <c r="D310" s="8" t="s">
        <v>440</v>
      </c>
      <c r="E310" s="10" t="n">
        <v>0</v>
      </c>
      <c r="F310" s="10" t="n">
        <v>3</v>
      </c>
    </row>
    <row r="311" customFormat="false" ht="15" hidden="false" customHeight="false" outlineLevel="0" collapsed="false">
      <c r="A311" s="9" t="s">
        <v>224</v>
      </c>
      <c r="B311" s="27" t="s">
        <v>168</v>
      </c>
      <c r="C311" s="27" t="s">
        <v>105</v>
      </c>
      <c r="D311" s="8" t="s">
        <v>542</v>
      </c>
      <c r="E311" s="10" t="n">
        <v>5</v>
      </c>
      <c r="F311" s="10" t="n">
        <v>6</v>
      </c>
    </row>
    <row r="312" customFormat="false" ht="15" hidden="false" customHeight="false" outlineLevel="0" collapsed="false">
      <c r="A312" s="9" t="s">
        <v>224</v>
      </c>
      <c r="B312" s="27" t="s">
        <v>168</v>
      </c>
      <c r="C312" s="27" t="s">
        <v>105</v>
      </c>
      <c r="D312" s="8" t="s">
        <v>537</v>
      </c>
      <c r="E312" s="10" t="n">
        <v>3</v>
      </c>
      <c r="F312" s="10" t="n">
        <v>3</v>
      </c>
    </row>
    <row r="313" customFormat="false" ht="15" hidden="false" customHeight="false" outlineLevel="0" collapsed="false">
      <c r="A313" s="9" t="s">
        <v>224</v>
      </c>
      <c r="B313" s="27" t="s">
        <v>168</v>
      </c>
      <c r="C313" s="27" t="s">
        <v>105</v>
      </c>
      <c r="D313" s="8" t="s">
        <v>538</v>
      </c>
      <c r="E313" s="10" t="n">
        <v>4</v>
      </c>
      <c r="F313" s="10" t="n">
        <v>4</v>
      </c>
    </row>
    <row r="314" customFormat="false" ht="15" hidden="false" customHeight="false" outlineLevel="0" collapsed="false">
      <c r="A314" s="9" t="s">
        <v>224</v>
      </c>
      <c r="B314" s="27" t="s">
        <v>168</v>
      </c>
      <c r="C314" s="27" t="s">
        <v>105</v>
      </c>
      <c r="D314" s="8" t="s">
        <v>539</v>
      </c>
      <c r="E314" s="10" t="n">
        <v>6</v>
      </c>
      <c r="F314" s="10" t="n">
        <v>7</v>
      </c>
    </row>
    <row r="315" customFormat="false" ht="15" hidden="false" customHeight="false" outlineLevel="0" collapsed="false">
      <c r="A315" s="9" t="s">
        <v>224</v>
      </c>
      <c r="B315" s="27" t="s">
        <v>168</v>
      </c>
      <c r="C315" s="27" t="s">
        <v>105</v>
      </c>
      <c r="D315" s="8" t="s">
        <v>543</v>
      </c>
      <c r="E315" s="10" t="n">
        <v>2</v>
      </c>
      <c r="F315" s="10" t="n">
        <v>2</v>
      </c>
    </row>
    <row r="316" customFormat="false" ht="15" hidden="false" customHeight="false" outlineLevel="0" collapsed="false">
      <c r="A316" s="9" t="s">
        <v>224</v>
      </c>
      <c r="B316" s="27" t="s">
        <v>168</v>
      </c>
      <c r="C316" s="27" t="s">
        <v>105</v>
      </c>
      <c r="D316" s="11" t="s">
        <v>544</v>
      </c>
      <c r="E316" s="10" t="n">
        <v>4</v>
      </c>
      <c r="F316" s="10" t="n">
        <v>4</v>
      </c>
    </row>
    <row r="317" customFormat="false" ht="15" hidden="false" customHeight="false" outlineLevel="0" collapsed="false">
      <c r="A317" s="9" t="s">
        <v>224</v>
      </c>
      <c r="B317" s="27" t="s">
        <v>168</v>
      </c>
      <c r="C317" s="27" t="s">
        <v>105</v>
      </c>
      <c r="D317" s="8" t="s">
        <v>545</v>
      </c>
      <c r="E317" s="10" t="n">
        <v>4</v>
      </c>
      <c r="F317" s="10" t="n">
        <v>4</v>
      </c>
    </row>
    <row r="318" customFormat="false" ht="15" hidden="false" customHeight="false" outlineLevel="0" collapsed="false">
      <c r="A318" s="9" t="s">
        <v>224</v>
      </c>
      <c r="B318" s="27" t="s">
        <v>168</v>
      </c>
      <c r="C318" s="27" t="s">
        <v>105</v>
      </c>
      <c r="D318" s="8" t="s">
        <v>450</v>
      </c>
      <c r="E318" s="10" t="n">
        <v>2</v>
      </c>
      <c r="F318" s="10" t="n">
        <v>2</v>
      </c>
    </row>
    <row r="319" customFormat="false" ht="15" hidden="false" customHeight="false" outlineLevel="0" collapsed="false">
      <c r="A319" s="9" t="s">
        <v>224</v>
      </c>
      <c r="B319" s="27" t="s">
        <v>168</v>
      </c>
      <c r="C319" s="27" t="s">
        <v>105</v>
      </c>
      <c r="D319" s="8" t="s">
        <v>440</v>
      </c>
      <c r="E319" s="10" t="n">
        <v>0</v>
      </c>
      <c r="F319" s="10" t="n">
        <v>3</v>
      </c>
    </row>
    <row r="320" customFormat="false" ht="15" hidden="false" customHeight="false" outlineLevel="0" collapsed="false">
      <c r="A320" s="9" t="s">
        <v>228</v>
      </c>
      <c r="B320" s="27" t="s">
        <v>168</v>
      </c>
      <c r="C320" s="27" t="s">
        <v>125</v>
      </c>
      <c r="D320" s="8" t="s">
        <v>465</v>
      </c>
      <c r="E320" s="10" t="n">
        <v>4</v>
      </c>
      <c r="F320" s="10" t="n">
        <v>3</v>
      </c>
    </row>
    <row r="321" customFormat="false" ht="15" hidden="false" customHeight="false" outlineLevel="0" collapsed="false">
      <c r="A321" s="9" t="s">
        <v>228</v>
      </c>
      <c r="B321" s="27" t="s">
        <v>168</v>
      </c>
      <c r="C321" s="27" t="s">
        <v>125</v>
      </c>
      <c r="D321" s="8" t="s">
        <v>466</v>
      </c>
      <c r="E321" s="10" t="n">
        <v>3</v>
      </c>
      <c r="F321" s="10" t="n">
        <v>3</v>
      </c>
    </row>
    <row r="322" customFormat="false" ht="15" hidden="false" customHeight="false" outlineLevel="0" collapsed="false">
      <c r="A322" s="9" t="s">
        <v>228</v>
      </c>
      <c r="B322" s="27" t="s">
        <v>168</v>
      </c>
      <c r="C322" s="27" t="s">
        <v>125</v>
      </c>
      <c r="D322" s="8" t="s">
        <v>467</v>
      </c>
      <c r="E322" s="10" t="n">
        <v>3</v>
      </c>
      <c r="F322" s="10" t="n">
        <v>3</v>
      </c>
    </row>
    <row r="323" customFormat="false" ht="15" hidden="false" customHeight="false" outlineLevel="0" collapsed="false">
      <c r="A323" s="9" t="s">
        <v>228</v>
      </c>
      <c r="B323" s="27" t="s">
        <v>168</v>
      </c>
      <c r="C323" s="27" t="s">
        <v>125</v>
      </c>
      <c r="D323" s="11" t="s">
        <v>468</v>
      </c>
      <c r="E323" s="10" t="n">
        <v>3</v>
      </c>
      <c r="F323" s="10" t="n">
        <v>3</v>
      </c>
    </row>
    <row r="324" customFormat="false" ht="15" hidden="false" customHeight="false" outlineLevel="0" collapsed="false">
      <c r="A324" s="9" t="s">
        <v>228</v>
      </c>
      <c r="B324" s="27" t="s">
        <v>168</v>
      </c>
      <c r="C324" s="27" t="s">
        <v>125</v>
      </c>
      <c r="D324" s="8" t="s">
        <v>469</v>
      </c>
      <c r="E324" s="10" t="n">
        <v>5</v>
      </c>
      <c r="F324" s="10" t="n">
        <v>4</v>
      </c>
    </row>
    <row r="325" customFormat="false" ht="15" hidden="false" customHeight="false" outlineLevel="0" collapsed="false">
      <c r="A325" s="9" t="s">
        <v>228</v>
      </c>
      <c r="B325" s="27" t="s">
        <v>168</v>
      </c>
      <c r="C325" s="27" t="s">
        <v>125</v>
      </c>
      <c r="D325" s="8" t="s">
        <v>470</v>
      </c>
      <c r="E325" s="10" t="n">
        <v>4</v>
      </c>
      <c r="F325" s="10" t="n">
        <v>3</v>
      </c>
    </row>
    <row r="326" customFormat="false" ht="29.85" hidden="false" customHeight="false" outlineLevel="0" collapsed="false">
      <c r="A326" s="9" t="s">
        <v>228</v>
      </c>
      <c r="B326" s="27" t="s">
        <v>168</v>
      </c>
      <c r="C326" s="27" t="s">
        <v>125</v>
      </c>
      <c r="D326" s="8" t="s">
        <v>471</v>
      </c>
      <c r="E326" s="10" t="n">
        <v>6</v>
      </c>
      <c r="F326" s="10" t="n">
        <v>12</v>
      </c>
    </row>
    <row r="327" customFormat="false" ht="29.85" hidden="false" customHeight="false" outlineLevel="0" collapsed="false">
      <c r="A327" s="9" t="s">
        <v>228</v>
      </c>
      <c r="B327" s="27" t="s">
        <v>168</v>
      </c>
      <c r="C327" s="27" t="s">
        <v>125</v>
      </c>
      <c r="D327" s="8" t="s">
        <v>472</v>
      </c>
      <c r="E327" s="10" t="n">
        <v>5</v>
      </c>
      <c r="F327" s="10" t="n">
        <v>8</v>
      </c>
    </row>
    <row r="328" customFormat="false" ht="15" hidden="false" customHeight="false" outlineLevel="0" collapsed="false">
      <c r="A328" s="9" t="s">
        <v>228</v>
      </c>
      <c r="B328" s="27" t="s">
        <v>168</v>
      </c>
      <c r="C328" s="27" t="s">
        <v>125</v>
      </c>
      <c r="D328" s="8" t="s">
        <v>473</v>
      </c>
      <c r="E328" s="10" t="n">
        <v>3</v>
      </c>
      <c r="F328" s="10" t="n">
        <v>2</v>
      </c>
    </row>
    <row r="329" customFormat="false" ht="15" hidden="false" customHeight="false" outlineLevel="0" collapsed="false">
      <c r="A329" s="9" t="s">
        <v>228</v>
      </c>
      <c r="B329" s="27" t="s">
        <v>168</v>
      </c>
      <c r="C329" s="27" t="s">
        <v>125</v>
      </c>
      <c r="D329" s="8" t="s">
        <v>474</v>
      </c>
      <c r="E329" s="10" t="n">
        <v>4</v>
      </c>
      <c r="F329" s="10" t="n">
        <v>4</v>
      </c>
    </row>
    <row r="330" customFormat="false" ht="15" hidden="false" customHeight="false" outlineLevel="0" collapsed="false">
      <c r="A330" s="9" t="s">
        <v>228</v>
      </c>
      <c r="B330" s="27" t="s">
        <v>168</v>
      </c>
      <c r="C330" s="27" t="s">
        <v>125</v>
      </c>
      <c r="D330" s="8" t="s">
        <v>546</v>
      </c>
      <c r="E330" s="10" t="n">
        <v>5</v>
      </c>
      <c r="F330" s="10" t="n">
        <v>5</v>
      </c>
    </row>
    <row r="331" customFormat="false" ht="15" hidden="false" customHeight="false" outlineLevel="0" collapsed="false">
      <c r="A331" s="9" t="s">
        <v>232</v>
      </c>
      <c r="B331" s="27" t="s">
        <v>168</v>
      </c>
      <c r="C331" s="27" t="s">
        <v>125</v>
      </c>
      <c r="D331" s="8" t="s">
        <v>465</v>
      </c>
      <c r="E331" s="10" t="n">
        <v>4</v>
      </c>
      <c r="F331" s="10" t="n">
        <v>3</v>
      </c>
    </row>
    <row r="332" customFormat="false" ht="15" hidden="false" customHeight="false" outlineLevel="0" collapsed="false">
      <c r="A332" s="9" t="s">
        <v>232</v>
      </c>
      <c r="B332" s="27" t="s">
        <v>168</v>
      </c>
      <c r="C332" s="27" t="s">
        <v>125</v>
      </c>
      <c r="D332" s="8" t="s">
        <v>466</v>
      </c>
      <c r="E332" s="10" t="n">
        <v>3</v>
      </c>
      <c r="F332" s="10" t="n">
        <v>3</v>
      </c>
    </row>
    <row r="333" customFormat="false" ht="15" hidden="false" customHeight="false" outlineLevel="0" collapsed="false">
      <c r="A333" s="9" t="s">
        <v>232</v>
      </c>
      <c r="B333" s="27" t="s">
        <v>168</v>
      </c>
      <c r="C333" s="27" t="s">
        <v>125</v>
      </c>
      <c r="D333" s="8" t="s">
        <v>467</v>
      </c>
      <c r="E333" s="10" t="n">
        <v>3</v>
      </c>
      <c r="F333" s="10" t="n">
        <v>3</v>
      </c>
    </row>
    <row r="334" customFormat="false" ht="15" hidden="false" customHeight="false" outlineLevel="0" collapsed="false">
      <c r="A334" s="9" t="s">
        <v>232</v>
      </c>
      <c r="B334" s="27" t="s">
        <v>168</v>
      </c>
      <c r="C334" s="27" t="s">
        <v>125</v>
      </c>
      <c r="D334" s="11" t="s">
        <v>468</v>
      </c>
      <c r="E334" s="10" t="n">
        <v>3</v>
      </c>
      <c r="F334" s="10" t="n">
        <v>3</v>
      </c>
    </row>
    <row r="335" customFormat="false" ht="15" hidden="false" customHeight="false" outlineLevel="0" collapsed="false">
      <c r="A335" s="9" t="s">
        <v>232</v>
      </c>
      <c r="B335" s="27" t="s">
        <v>168</v>
      </c>
      <c r="C335" s="27" t="s">
        <v>125</v>
      </c>
      <c r="D335" s="8" t="s">
        <v>469</v>
      </c>
      <c r="E335" s="10" t="n">
        <v>5</v>
      </c>
      <c r="F335" s="10" t="n">
        <v>4</v>
      </c>
    </row>
    <row r="336" customFormat="false" ht="15" hidden="false" customHeight="false" outlineLevel="0" collapsed="false">
      <c r="A336" s="9" t="s">
        <v>232</v>
      </c>
      <c r="B336" s="27" t="s">
        <v>168</v>
      </c>
      <c r="C336" s="27" t="s">
        <v>125</v>
      </c>
      <c r="D336" s="8" t="s">
        <v>470</v>
      </c>
      <c r="E336" s="10" t="n">
        <v>4</v>
      </c>
      <c r="F336" s="10" t="n">
        <v>3</v>
      </c>
    </row>
    <row r="337" customFormat="false" ht="29.85" hidden="false" customHeight="false" outlineLevel="0" collapsed="false">
      <c r="A337" s="9" t="s">
        <v>232</v>
      </c>
      <c r="B337" s="27" t="s">
        <v>168</v>
      </c>
      <c r="C337" s="27" t="s">
        <v>125</v>
      </c>
      <c r="D337" s="8" t="s">
        <v>471</v>
      </c>
      <c r="E337" s="10" t="n">
        <v>6</v>
      </c>
      <c r="F337" s="10" t="n">
        <v>12</v>
      </c>
    </row>
    <row r="338" customFormat="false" ht="29.85" hidden="false" customHeight="false" outlineLevel="0" collapsed="false">
      <c r="A338" s="9" t="s">
        <v>232</v>
      </c>
      <c r="B338" s="27" t="s">
        <v>168</v>
      </c>
      <c r="C338" s="27" t="s">
        <v>125</v>
      </c>
      <c r="D338" s="8" t="s">
        <v>472</v>
      </c>
      <c r="E338" s="10" t="n">
        <v>5</v>
      </c>
      <c r="F338" s="10" t="n">
        <v>8</v>
      </c>
    </row>
    <row r="339" customFormat="false" ht="15" hidden="false" customHeight="false" outlineLevel="0" collapsed="false">
      <c r="A339" s="9" t="s">
        <v>232</v>
      </c>
      <c r="B339" s="27" t="s">
        <v>168</v>
      </c>
      <c r="C339" s="27" t="s">
        <v>125</v>
      </c>
      <c r="D339" s="8" t="s">
        <v>473</v>
      </c>
      <c r="E339" s="10" t="n">
        <v>3</v>
      </c>
      <c r="F339" s="10" t="n">
        <v>2</v>
      </c>
    </row>
    <row r="340" customFormat="false" ht="15" hidden="false" customHeight="false" outlineLevel="0" collapsed="false">
      <c r="A340" s="9" t="s">
        <v>232</v>
      </c>
      <c r="B340" s="27" t="s">
        <v>168</v>
      </c>
      <c r="C340" s="27" t="s">
        <v>125</v>
      </c>
      <c r="D340" s="8" t="s">
        <v>474</v>
      </c>
      <c r="E340" s="10" t="n">
        <v>4</v>
      </c>
      <c r="F340" s="10" t="n">
        <v>4</v>
      </c>
    </row>
    <row r="341" customFormat="false" ht="15" hidden="false" customHeight="false" outlineLevel="0" collapsed="false">
      <c r="A341" s="9" t="s">
        <v>235</v>
      </c>
      <c r="B341" s="27" t="s">
        <v>168</v>
      </c>
      <c r="C341" s="27" t="s">
        <v>125</v>
      </c>
      <c r="D341" s="8" t="s">
        <v>465</v>
      </c>
      <c r="E341" s="10" t="n">
        <v>4</v>
      </c>
      <c r="F341" s="10" t="n">
        <v>3</v>
      </c>
    </row>
    <row r="342" customFormat="false" ht="15" hidden="false" customHeight="false" outlineLevel="0" collapsed="false">
      <c r="A342" s="9" t="s">
        <v>235</v>
      </c>
      <c r="B342" s="27" t="s">
        <v>168</v>
      </c>
      <c r="C342" s="27" t="s">
        <v>125</v>
      </c>
      <c r="D342" s="8" t="s">
        <v>466</v>
      </c>
      <c r="E342" s="10" t="n">
        <v>3</v>
      </c>
      <c r="F342" s="10" t="n">
        <v>3</v>
      </c>
    </row>
    <row r="343" customFormat="false" ht="15" hidden="false" customHeight="false" outlineLevel="0" collapsed="false">
      <c r="A343" s="9" t="s">
        <v>235</v>
      </c>
      <c r="B343" s="27" t="s">
        <v>168</v>
      </c>
      <c r="C343" s="27" t="s">
        <v>125</v>
      </c>
      <c r="D343" s="8" t="s">
        <v>467</v>
      </c>
      <c r="E343" s="10" t="n">
        <v>3</v>
      </c>
      <c r="F343" s="10" t="n">
        <v>3</v>
      </c>
    </row>
    <row r="344" customFormat="false" ht="15" hidden="false" customHeight="false" outlineLevel="0" collapsed="false">
      <c r="A344" s="9" t="s">
        <v>235</v>
      </c>
      <c r="B344" s="27" t="s">
        <v>168</v>
      </c>
      <c r="C344" s="27" t="s">
        <v>125</v>
      </c>
      <c r="D344" s="11" t="s">
        <v>468</v>
      </c>
      <c r="E344" s="10" t="n">
        <v>3</v>
      </c>
      <c r="F344" s="10" t="n">
        <v>3</v>
      </c>
    </row>
    <row r="345" customFormat="false" ht="15" hidden="false" customHeight="false" outlineLevel="0" collapsed="false">
      <c r="A345" s="9" t="s">
        <v>235</v>
      </c>
      <c r="B345" s="27" t="s">
        <v>168</v>
      </c>
      <c r="C345" s="27" t="s">
        <v>125</v>
      </c>
      <c r="D345" s="8" t="s">
        <v>469</v>
      </c>
      <c r="E345" s="10" t="n">
        <v>5</v>
      </c>
      <c r="F345" s="10" t="n">
        <v>4</v>
      </c>
    </row>
    <row r="346" customFormat="false" ht="15" hidden="false" customHeight="false" outlineLevel="0" collapsed="false">
      <c r="A346" s="9" t="s">
        <v>235</v>
      </c>
      <c r="B346" s="27" t="s">
        <v>168</v>
      </c>
      <c r="C346" s="27" t="s">
        <v>125</v>
      </c>
      <c r="D346" s="8" t="s">
        <v>470</v>
      </c>
      <c r="E346" s="10" t="n">
        <v>4</v>
      </c>
      <c r="F346" s="10" t="n">
        <v>3</v>
      </c>
    </row>
    <row r="347" customFormat="false" ht="29.85" hidden="false" customHeight="false" outlineLevel="0" collapsed="false">
      <c r="A347" s="9" t="s">
        <v>235</v>
      </c>
      <c r="B347" s="27" t="s">
        <v>168</v>
      </c>
      <c r="C347" s="27" t="s">
        <v>125</v>
      </c>
      <c r="D347" s="8" t="s">
        <v>471</v>
      </c>
      <c r="E347" s="10" t="n">
        <v>6</v>
      </c>
      <c r="F347" s="10" t="n">
        <v>12</v>
      </c>
    </row>
    <row r="348" customFormat="false" ht="29.85" hidden="false" customHeight="false" outlineLevel="0" collapsed="false">
      <c r="A348" s="9" t="s">
        <v>235</v>
      </c>
      <c r="B348" s="27" t="s">
        <v>168</v>
      </c>
      <c r="C348" s="27" t="s">
        <v>125</v>
      </c>
      <c r="D348" s="8" t="s">
        <v>472</v>
      </c>
      <c r="E348" s="10" t="n">
        <v>5</v>
      </c>
      <c r="F348" s="10" t="n">
        <v>8</v>
      </c>
    </row>
    <row r="349" customFormat="false" ht="15" hidden="false" customHeight="false" outlineLevel="0" collapsed="false">
      <c r="A349" s="9" t="s">
        <v>235</v>
      </c>
      <c r="B349" s="27" t="s">
        <v>168</v>
      </c>
      <c r="C349" s="27" t="s">
        <v>125</v>
      </c>
      <c r="D349" s="8" t="s">
        <v>473</v>
      </c>
      <c r="E349" s="10" t="n">
        <v>3</v>
      </c>
      <c r="F349" s="10" t="n">
        <v>2</v>
      </c>
    </row>
    <row r="350" customFormat="false" ht="15" hidden="false" customHeight="false" outlineLevel="0" collapsed="false">
      <c r="A350" s="9" t="s">
        <v>235</v>
      </c>
      <c r="B350" s="27" t="s">
        <v>168</v>
      </c>
      <c r="C350" s="27" t="s">
        <v>125</v>
      </c>
      <c r="D350" s="8" t="s">
        <v>474</v>
      </c>
      <c r="E350" s="10" t="n">
        <v>4</v>
      </c>
      <c r="F350" s="10" t="n">
        <v>4</v>
      </c>
    </row>
    <row r="351" customFormat="false" ht="15" hidden="false" customHeight="false" outlineLevel="0" collapsed="false">
      <c r="A351" s="9" t="s">
        <v>235</v>
      </c>
      <c r="B351" s="27" t="s">
        <v>168</v>
      </c>
      <c r="C351" s="27" t="s">
        <v>125</v>
      </c>
      <c r="D351" s="8" t="s">
        <v>547</v>
      </c>
      <c r="E351" s="10" t="n">
        <v>5</v>
      </c>
      <c r="F351" s="10" t="n">
        <v>5</v>
      </c>
    </row>
    <row r="352" customFormat="false" ht="15" hidden="false" customHeight="false" outlineLevel="0" collapsed="false">
      <c r="A352" s="9" t="s">
        <v>240</v>
      </c>
      <c r="B352" s="27" t="s">
        <v>168</v>
      </c>
      <c r="C352" s="27" t="s">
        <v>125</v>
      </c>
      <c r="D352" s="8" t="s">
        <v>465</v>
      </c>
      <c r="E352" s="10" t="n">
        <v>4</v>
      </c>
      <c r="F352" s="10" t="n">
        <v>3</v>
      </c>
    </row>
    <row r="353" customFormat="false" ht="15" hidden="false" customHeight="false" outlineLevel="0" collapsed="false">
      <c r="A353" s="9" t="s">
        <v>240</v>
      </c>
      <c r="B353" s="27" t="s">
        <v>168</v>
      </c>
      <c r="C353" s="27" t="s">
        <v>125</v>
      </c>
      <c r="D353" s="8" t="s">
        <v>466</v>
      </c>
      <c r="E353" s="10" t="n">
        <v>3</v>
      </c>
      <c r="F353" s="10" t="n">
        <v>3</v>
      </c>
    </row>
    <row r="354" customFormat="false" ht="15" hidden="false" customHeight="false" outlineLevel="0" collapsed="false">
      <c r="A354" s="9" t="s">
        <v>240</v>
      </c>
      <c r="B354" s="27" t="s">
        <v>168</v>
      </c>
      <c r="C354" s="27" t="s">
        <v>125</v>
      </c>
      <c r="D354" s="8" t="s">
        <v>467</v>
      </c>
      <c r="E354" s="10" t="n">
        <v>3</v>
      </c>
      <c r="F354" s="10" t="n">
        <v>3</v>
      </c>
    </row>
    <row r="355" customFormat="false" ht="15" hidden="false" customHeight="false" outlineLevel="0" collapsed="false">
      <c r="A355" s="9" t="s">
        <v>240</v>
      </c>
      <c r="B355" s="27" t="s">
        <v>168</v>
      </c>
      <c r="C355" s="27" t="s">
        <v>125</v>
      </c>
      <c r="D355" s="11" t="s">
        <v>468</v>
      </c>
      <c r="E355" s="10" t="n">
        <v>3</v>
      </c>
      <c r="F355" s="10" t="n">
        <v>3</v>
      </c>
    </row>
    <row r="356" customFormat="false" ht="15" hidden="false" customHeight="false" outlineLevel="0" collapsed="false">
      <c r="A356" s="9" t="s">
        <v>240</v>
      </c>
      <c r="B356" s="27" t="s">
        <v>168</v>
      </c>
      <c r="C356" s="27" t="s">
        <v>125</v>
      </c>
      <c r="D356" s="8" t="s">
        <v>469</v>
      </c>
      <c r="E356" s="10" t="n">
        <v>5</v>
      </c>
      <c r="F356" s="10" t="n">
        <v>4</v>
      </c>
    </row>
    <row r="357" customFormat="false" ht="15" hidden="false" customHeight="false" outlineLevel="0" collapsed="false">
      <c r="A357" s="9" t="s">
        <v>240</v>
      </c>
      <c r="B357" s="27" t="s">
        <v>168</v>
      </c>
      <c r="C357" s="27" t="s">
        <v>125</v>
      </c>
      <c r="D357" s="8" t="s">
        <v>470</v>
      </c>
      <c r="E357" s="10" t="n">
        <v>4</v>
      </c>
      <c r="F357" s="10" t="n">
        <v>3</v>
      </c>
    </row>
    <row r="358" customFormat="false" ht="29.85" hidden="false" customHeight="false" outlineLevel="0" collapsed="false">
      <c r="A358" s="9" t="s">
        <v>240</v>
      </c>
      <c r="B358" s="27" t="s">
        <v>168</v>
      </c>
      <c r="C358" s="27" t="s">
        <v>125</v>
      </c>
      <c r="D358" s="8" t="s">
        <v>471</v>
      </c>
      <c r="E358" s="10" t="n">
        <v>6</v>
      </c>
      <c r="F358" s="10" t="n">
        <v>12</v>
      </c>
    </row>
    <row r="359" customFormat="false" ht="29.85" hidden="false" customHeight="false" outlineLevel="0" collapsed="false">
      <c r="A359" s="9" t="s">
        <v>240</v>
      </c>
      <c r="B359" s="27" t="s">
        <v>168</v>
      </c>
      <c r="C359" s="27" t="s">
        <v>125</v>
      </c>
      <c r="D359" s="8" t="s">
        <v>472</v>
      </c>
      <c r="E359" s="10" t="n">
        <v>5</v>
      </c>
      <c r="F359" s="10" t="n">
        <v>8</v>
      </c>
    </row>
    <row r="360" customFormat="false" ht="15" hidden="false" customHeight="false" outlineLevel="0" collapsed="false">
      <c r="A360" s="9" t="s">
        <v>240</v>
      </c>
      <c r="B360" s="27" t="s">
        <v>168</v>
      </c>
      <c r="C360" s="27" t="s">
        <v>125</v>
      </c>
      <c r="D360" s="8" t="s">
        <v>473</v>
      </c>
      <c r="E360" s="10" t="n">
        <v>3</v>
      </c>
      <c r="F360" s="10" t="n">
        <v>2</v>
      </c>
    </row>
    <row r="361" customFormat="false" ht="15" hidden="false" customHeight="false" outlineLevel="0" collapsed="false">
      <c r="A361" s="9" t="s">
        <v>240</v>
      </c>
      <c r="B361" s="27" t="s">
        <v>168</v>
      </c>
      <c r="C361" s="27" t="s">
        <v>125</v>
      </c>
      <c r="D361" s="8" t="s">
        <v>474</v>
      </c>
      <c r="E361" s="10" t="n">
        <v>4</v>
      </c>
      <c r="F361" s="10" t="n">
        <v>4</v>
      </c>
    </row>
    <row r="362" customFormat="false" ht="15" hidden="false" customHeight="false" outlineLevel="0" collapsed="false">
      <c r="A362" s="9" t="s">
        <v>240</v>
      </c>
      <c r="B362" s="27" t="s">
        <v>168</v>
      </c>
      <c r="C362" s="27" t="s">
        <v>125</v>
      </c>
      <c r="D362" s="8" t="s">
        <v>548</v>
      </c>
      <c r="E362" s="10" t="n">
        <v>5</v>
      </c>
      <c r="F362" s="10" t="n">
        <v>5</v>
      </c>
    </row>
    <row r="363" customFormat="false" ht="15" hidden="false" customHeight="false" outlineLevel="0" collapsed="false">
      <c r="A363" s="9" t="s">
        <v>244</v>
      </c>
      <c r="B363" s="27" t="s">
        <v>168</v>
      </c>
      <c r="C363" s="27" t="s">
        <v>125</v>
      </c>
      <c r="D363" s="8" t="s">
        <v>465</v>
      </c>
      <c r="E363" s="10" t="n">
        <v>4</v>
      </c>
      <c r="F363" s="10" t="n">
        <v>3</v>
      </c>
    </row>
    <row r="364" customFormat="false" ht="15" hidden="false" customHeight="false" outlineLevel="0" collapsed="false">
      <c r="A364" s="9" t="s">
        <v>244</v>
      </c>
      <c r="B364" s="27" t="s">
        <v>168</v>
      </c>
      <c r="C364" s="27" t="s">
        <v>125</v>
      </c>
      <c r="D364" s="8" t="s">
        <v>466</v>
      </c>
      <c r="E364" s="10" t="n">
        <v>3</v>
      </c>
      <c r="F364" s="10" t="n">
        <v>3</v>
      </c>
    </row>
    <row r="365" customFormat="false" ht="15" hidden="false" customHeight="false" outlineLevel="0" collapsed="false">
      <c r="A365" s="9" t="s">
        <v>244</v>
      </c>
      <c r="B365" s="27" t="s">
        <v>168</v>
      </c>
      <c r="C365" s="27" t="s">
        <v>125</v>
      </c>
      <c r="D365" s="8" t="s">
        <v>467</v>
      </c>
      <c r="E365" s="10" t="n">
        <v>3</v>
      </c>
      <c r="F365" s="10" t="n">
        <v>3</v>
      </c>
    </row>
    <row r="366" customFormat="false" ht="15" hidden="false" customHeight="false" outlineLevel="0" collapsed="false">
      <c r="A366" s="9" t="s">
        <v>244</v>
      </c>
      <c r="B366" s="27" t="s">
        <v>168</v>
      </c>
      <c r="C366" s="27" t="s">
        <v>125</v>
      </c>
      <c r="D366" s="11" t="s">
        <v>468</v>
      </c>
      <c r="E366" s="10" t="n">
        <v>3</v>
      </c>
      <c r="F366" s="10" t="n">
        <v>3</v>
      </c>
    </row>
    <row r="367" customFormat="false" ht="15" hidden="false" customHeight="false" outlineLevel="0" collapsed="false">
      <c r="A367" s="9" t="s">
        <v>244</v>
      </c>
      <c r="B367" s="27" t="s">
        <v>168</v>
      </c>
      <c r="C367" s="27" t="s">
        <v>125</v>
      </c>
      <c r="D367" s="8" t="s">
        <v>469</v>
      </c>
      <c r="E367" s="10" t="n">
        <v>5</v>
      </c>
      <c r="F367" s="10" t="n">
        <v>4</v>
      </c>
    </row>
    <row r="368" customFormat="false" ht="15" hidden="false" customHeight="false" outlineLevel="0" collapsed="false">
      <c r="A368" s="9" t="s">
        <v>244</v>
      </c>
      <c r="B368" s="27" t="s">
        <v>168</v>
      </c>
      <c r="C368" s="27" t="s">
        <v>125</v>
      </c>
      <c r="D368" s="8" t="s">
        <v>470</v>
      </c>
      <c r="E368" s="10" t="n">
        <v>4</v>
      </c>
      <c r="F368" s="10" t="n">
        <v>3</v>
      </c>
    </row>
    <row r="369" customFormat="false" ht="29.85" hidden="false" customHeight="false" outlineLevel="0" collapsed="false">
      <c r="A369" s="9" t="s">
        <v>244</v>
      </c>
      <c r="B369" s="27" t="s">
        <v>168</v>
      </c>
      <c r="C369" s="27" t="s">
        <v>125</v>
      </c>
      <c r="D369" s="8" t="s">
        <v>471</v>
      </c>
      <c r="E369" s="10" t="n">
        <v>6</v>
      </c>
      <c r="F369" s="10" t="n">
        <v>12</v>
      </c>
    </row>
    <row r="370" customFormat="false" ht="29.85" hidden="false" customHeight="false" outlineLevel="0" collapsed="false">
      <c r="A370" s="9" t="s">
        <v>244</v>
      </c>
      <c r="B370" s="27" t="s">
        <v>168</v>
      </c>
      <c r="C370" s="27" t="s">
        <v>125</v>
      </c>
      <c r="D370" s="8" t="s">
        <v>472</v>
      </c>
      <c r="E370" s="10" t="n">
        <v>5</v>
      </c>
      <c r="F370" s="10" t="n">
        <v>8</v>
      </c>
    </row>
    <row r="371" customFormat="false" ht="15" hidden="false" customHeight="false" outlineLevel="0" collapsed="false">
      <c r="A371" s="9" t="s">
        <v>244</v>
      </c>
      <c r="B371" s="27" t="s">
        <v>168</v>
      </c>
      <c r="C371" s="27" t="s">
        <v>125</v>
      </c>
      <c r="D371" s="8" t="s">
        <v>473</v>
      </c>
      <c r="E371" s="10" t="n">
        <v>3</v>
      </c>
      <c r="F371" s="10" t="n">
        <v>2</v>
      </c>
    </row>
    <row r="372" customFormat="false" ht="15" hidden="false" customHeight="false" outlineLevel="0" collapsed="false">
      <c r="A372" s="9" t="s">
        <v>244</v>
      </c>
      <c r="B372" s="27" t="s">
        <v>168</v>
      </c>
      <c r="C372" s="27" t="s">
        <v>125</v>
      </c>
      <c r="D372" s="8" t="s">
        <v>474</v>
      </c>
      <c r="E372" s="10" t="n">
        <v>4</v>
      </c>
      <c r="F372" s="10" t="n">
        <v>4</v>
      </c>
    </row>
    <row r="373" customFormat="false" ht="15" hidden="false" customHeight="false" outlineLevel="0" collapsed="false">
      <c r="A373" s="9" t="s">
        <v>247</v>
      </c>
      <c r="B373" s="27" t="s">
        <v>168</v>
      </c>
      <c r="C373" s="27" t="s">
        <v>125</v>
      </c>
      <c r="D373" s="8" t="s">
        <v>465</v>
      </c>
      <c r="E373" s="10" t="n">
        <v>4</v>
      </c>
      <c r="F373" s="10" t="n">
        <v>3</v>
      </c>
    </row>
    <row r="374" customFormat="false" ht="15" hidden="false" customHeight="false" outlineLevel="0" collapsed="false">
      <c r="A374" s="9" t="s">
        <v>247</v>
      </c>
      <c r="B374" s="27" t="s">
        <v>168</v>
      </c>
      <c r="C374" s="27" t="s">
        <v>125</v>
      </c>
      <c r="D374" s="8" t="s">
        <v>466</v>
      </c>
      <c r="E374" s="10" t="n">
        <v>3</v>
      </c>
      <c r="F374" s="10" t="n">
        <v>3</v>
      </c>
    </row>
    <row r="375" customFormat="false" ht="15" hidden="false" customHeight="false" outlineLevel="0" collapsed="false">
      <c r="A375" s="9" t="s">
        <v>247</v>
      </c>
      <c r="B375" s="27" t="s">
        <v>168</v>
      </c>
      <c r="C375" s="27" t="s">
        <v>125</v>
      </c>
      <c r="D375" s="8" t="s">
        <v>467</v>
      </c>
      <c r="E375" s="10" t="n">
        <v>3</v>
      </c>
      <c r="F375" s="10" t="n">
        <v>3</v>
      </c>
    </row>
    <row r="376" customFormat="false" ht="15" hidden="false" customHeight="false" outlineLevel="0" collapsed="false">
      <c r="A376" s="9" t="s">
        <v>247</v>
      </c>
      <c r="B376" s="27" t="s">
        <v>168</v>
      </c>
      <c r="C376" s="27" t="s">
        <v>125</v>
      </c>
      <c r="D376" s="11" t="s">
        <v>468</v>
      </c>
      <c r="E376" s="10" t="n">
        <v>3</v>
      </c>
      <c r="F376" s="10" t="n">
        <v>3</v>
      </c>
    </row>
    <row r="377" customFormat="false" ht="15" hidden="false" customHeight="false" outlineLevel="0" collapsed="false">
      <c r="A377" s="9" t="s">
        <v>247</v>
      </c>
      <c r="B377" s="27" t="s">
        <v>168</v>
      </c>
      <c r="C377" s="27" t="s">
        <v>125</v>
      </c>
      <c r="D377" s="8" t="s">
        <v>469</v>
      </c>
      <c r="E377" s="10" t="n">
        <v>5</v>
      </c>
      <c r="F377" s="10" t="n">
        <v>4</v>
      </c>
    </row>
    <row r="378" customFormat="false" ht="15" hidden="false" customHeight="false" outlineLevel="0" collapsed="false">
      <c r="A378" s="9" t="s">
        <v>247</v>
      </c>
      <c r="B378" s="27" t="s">
        <v>168</v>
      </c>
      <c r="C378" s="27" t="s">
        <v>125</v>
      </c>
      <c r="D378" s="8" t="s">
        <v>470</v>
      </c>
      <c r="E378" s="10" t="n">
        <v>4</v>
      </c>
      <c r="F378" s="10" t="n">
        <v>3</v>
      </c>
    </row>
    <row r="379" customFormat="false" ht="29.85" hidden="false" customHeight="false" outlineLevel="0" collapsed="false">
      <c r="A379" s="9" t="s">
        <v>247</v>
      </c>
      <c r="B379" s="27" t="s">
        <v>168</v>
      </c>
      <c r="C379" s="27" t="s">
        <v>125</v>
      </c>
      <c r="D379" s="8" t="s">
        <v>471</v>
      </c>
      <c r="E379" s="10" t="n">
        <v>6</v>
      </c>
      <c r="F379" s="10" t="n">
        <v>12</v>
      </c>
    </row>
    <row r="380" customFormat="false" ht="29.85" hidden="false" customHeight="false" outlineLevel="0" collapsed="false">
      <c r="A380" s="9" t="s">
        <v>247</v>
      </c>
      <c r="B380" s="27" t="s">
        <v>168</v>
      </c>
      <c r="C380" s="27" t="s">
        <v>125</v>
      </c>
      <c r="D380" s="8" t="s">
        <v>472</v>
      </c>
      <c r="E380" s="10" t="n">
        <v>5</v>
      </c>
      <c r="F380" s="10" t="n">
        <v>8</v>
      </c>
    </row>
    <row r="381" customFormat="false" ht="15" hidden="false" customHeight="false" outlineLevel="0" collapsed="false">
      <c r="A381" s="9" t="s">
        <v>247</v>
      </c>
      <c r="B381" s="27" t="s">
        <v>168</v>
      </c>
      <c r="C381" s="27" t="s">
        <v>125</v>
      </c>
      <c r="D381" s="8" t="s">
        <v>473</v>
      </c>
      <c r="E381" s="10" t="n">
        <v>3</v>
      </c>
      <c r="F381" s="10" t="n">
        <v>2</v>
      </c>
    </row>
    <row r="382" customFormat="false" ht="15" hidden="false" customHeight="false" outlineLevel="0" collapsed="false">
      <c r="A382" s="9" t="s">
        <v>247</v>
      </c>
      <c r="B382" s="27" t="s">
        <v>168</v>
      </c>
      <c r="C382" s="27" t="s">
        <v>125</v>
      </c>
      <c r="D382" s="8" t="s">
        <v>474</v>
      </c>
      <c r="E382" s="10" t="n">
        <v>4</v>
      </c>
      <c r="F382" s="10" t="n">
        <v>4</v>
      </c>
    </row>
    <row r="383" customFormat="false" ht="15" hidden="false" customHeight="false" outlineLevel="0" collapsed="false">
      <c r="A383" s="9" t="s">
        <v>250</v>
      </c>
      <c r="B383" s="27" t="s">
        <v>168</v>
      </c>
      <c r="C383" s="27" t="s">
        <v>125</v>
      </c>
      <c r="D383" s="8" t="s">
        <v>465</v>
      </c>
      <c r="E383" s="10" t="n">
        <v>4</v>
      </c>
      <c r="F383" s="10" t="n">
        <v>3</v>
      </c>
    </row>
    <row r="384" customFormat="false" ht="15" hidden="false" customHeight="false" outlineLevel="0" collapsed="false">
      <c r="A384" s="9" t="s">
        <v>250</v>
      </c>
      <c r="B384" s="27" t="s">
        <v>168</v>
      </c>
      <c r="C384" s="27" t="s">
        <v>125</v>
      </c>
      <c r="D384" s="8" t="s">
        <v>466</v>
      </c>
      <c r="E384" s="10" t="n">
        <v>3</v>
      </c>
      <c r="F384" s="10" t="n">
        <v>3</v>
      </c>
    </row>
    <row r="385" customFormat="false" ht="15" hidden="false" customHeight="false" outlineLevel="0" collapsed="false">
      <c r="A385" s="9" t="s">
        <v>250</v>
      </c>
      <c r="B385" s="27" t="s">
        <v>168</v>
      </c>
      <c r="C385" s="27" t="s">
        <v>125</v>
      </c>
      <c r="D385" s="8" t="s">
        <v>467</v>
      </c>
      <c r="E385" s="10" t="n">
        <v>3</v>
      </c>
      <c r="F385" s="10" t="n">
        <v>3</v>
      </c>
    </row>
    <row r="386" customFormat="false" ht="15" hidden="false" customHeight="false" outlineLevel="0" collapsed="false">
      <c r="A386" s="9" t="s">
        <v>250</v>
      </c>
      <c r="B386" s="27" t="s">
        <v>168</v>
      </c>
      <c r="C386" s="27" t="s">
        <v>125</v>
      </c>
      <c r="D386" s="11" t="s">
        <v>468</v>
      </c>
      <c r="E386" s="10" t="n">
        <v>3</v>
      </c>
      <c r="F386" s="10" t="n">
        <v>3</v>
      </c>
    </row>
    <row r="387" customFormat="false" ht="15" hidden="false" customHeight="false" outlineLevel="0" collapsed="false">
      <c r="A387" s="9" t="s">
        <v>250</v>
      </c>
      <c r="B387" s="27" t="s">
        <v>168</v>
      </c>
      <c r="C387" s="27" t="s">
        <v>125</v>
      </c>
      <c r="D387" s="8" t="s">
        <v>469</v>
      </c>
      <c r="E387" s="10" t="n">
        <v>5</v>
      </c>
      <c r="F387" s="10" t="n">
        <v>4</v>
      </c>
    </row>
    <row r="388" customFormat="false" ht="15" hidden="false" customHeight="false" outlineLevel="0" collapsed="false">
      <c r="A388" s="9" t="s">
        <v>250</v>
      </c>
      <c r="B388" s="27" t="s">
        <v>168</v>
      </c>
      <c r="C388" s="27" t="s">
        <v>125</v>
      </c>
      <c r="D388" s="8" t="s">
        <v>470</v>
      </c>
      <c r="E388" s="10" t="n">
        <v>4</v>
      </c>
      <c r="F388" s="10" t="n">
        <v>3</v>
      </c>
    </row>
    <row r="389" customFormat="false" ht="29.85" hidden="false" customHeight="false" outlineLevel="0" collapsed="false">
      <c r="A389" s="9" t="s">
        <v>250</v>
      </c>
      <c r="B389" s="27" t="s">
        <v>168</v>
      </c>
      <c r="C389" s="27" t="s">
        <v>125</v>
      </c>
      <c r="D389" s="8" t="s">
        <v>471</v>
      </c>
      <c r="E389" s="10" t="n">
        <v>6</v>
      </c>
      <c r="F389" s="10" t="n">
        <v>12</v>
      </c>
    </row>
    <row r="390" customFormat="false" ht="29.85" hidden="false" customHeight="false" outlineLevel="0" collapsed="false">
      <c r="A390" s="9" t="s">
        <v>250</v>
      </c>
      <c r="B390" s="27" t="s">
        <v>168</v>
      </c>
      <c r="C390" s="27" t="s">
        <v>125</v>
      </c>
      <c r="D390" s="8" t="s">
        <v>472</v>
      </c>
      <c r="E390" s="10" t="n">
        <v>5</v>
      </c>
      <c r="F390" s="10" t="n">
        <v>8</v>
      </c>
    </row>
    <row r="391" customFormat="false" ht="15" hidden="false" customHeight="false" outlineLevel="0" collapsed="false">
      <c r="A391" s="9" t="s">
        <v>250</v>
      </c>
      <c r="B391" s="27" t="s">
        <v>168</v>
      </c>
      <c r="C391" s="27" t="s">
        <v>125</v>
      </c>
      <c r="D391" s="8" t="s">
        <v>473</v>
      </c>
      <c r="E391" s="10" t="n">
        <v>3</v>
      </c>
      <c r="F391" s="10" t="n">
        <v>2</v>
      </c>
    </row>
    <row r="392" customFormat="false" ht="15" hidden="false" customHeight="false" outlineLevel="0" collapsed="false">
      <c r="A392" s="9" t="s">
        <v>250</v>
      </c>
      <c r="B392" s="27" t="s">
        <v>168</v>
      </c>
      <c r="C392" s="27" t="s">
        <v>125</v>
      </c>
      <c r="D392" s="8" t="s">
        <v>474</v>
      </c>
      <c r="E392" s="10" t="n">
        <v>4</v>
      </c>
      <c r="F392" s="10" t="n">
        <v>4</v>
      </c>
    </row>
    <row r="393" customFormat="false" ht="15" hidden="false" customHeight="false" outlineLevel="0" collapsed="false">
      <c r="A393" s="9" t="s">
        <v>254</v>
      </c>
      <c r="B393" s="27" t="s">
        <v>168</v>
      </c>
      <c r="C393" s="27" t="s">
        <v>125</v>
      </c>
      <c r="D393" s="8" t="s">
        <v>465</v>
      </c>
      <c r="E393" s="10" t="n">
        <v>4</v>
      </c>
      <c r="F393" s="10" t="n">
        <v>3</v>
      </c>
    </row>
    <row r="394" customFormat="false" ht="15" hidden="false" customHeight="false" outlineLevel="0" collapsed="false">
      <c r="A394" s="9" t="s">
        <v>254</v>
      </c>
      <c r="B394" s="27" t="s">
        <v>168</v>
      </c>
      <c r="C394" s="27" t="s">
        <v>125</v>
      </c>
      <c r="D394" s="8" t="s">
        <v>466</v>
      </c>
      <c r="E394" s="10" t="n">
        <v>3</v>
      </c>
      <c r="F394" s="10" t="n">
        <v>3</v>
      </c>
    </row>
    <row r="395" customFormat="false" ht="15" hidden="false" customHeight="false" outlineLevel="0" collapsed="false">
      <c r="A395" s="9" t="s">
        <v>254</v>
      </c>
      <c r="B395" s="27" t="s">
        <v>168</v>
      </c>
      <c r="C395" s="27" t="s">
        <v>125</v>
      </c>
      <c r="D395" s="8" t="s">
        <v>467</v>
      </c>
      <c r="E395" s="10" t="n">
        <v>3</v>
      </c>
      <c r="F395" s="10" t="n">
        <v>3</v>
      </c>
    </row>
    <row r="396" customFormat="false" ht="15" hidden="false" customHeight="false" outlineLevel="0" collapsed="false">
      <c r="A396" s="9" t="s">
        <v>254</v>
      </c>
      <c r="B396" s="27" t="s">
        <v>168</v>
      </c>
      <c r="C396" s="27" t="s">
        <v>125</v>
      </c>
      <c r="D396" s="11" t="s">
        <v>468</v>
      </c>
      <c r="E396" s="10" t="n">
        <v>3</v>
      </c>
      <c r="F396" s="10" t="n">
        <v>3</v>
      </c>
    </row>
    <row r="397" customFormat="false" ht="15" hidden="false" customHeight="false" outlineLevel="0" collapsed="false">
      <c r="A397" s="9" t="s">
        <v>254</v>
      </c>
      <c r="B397" s="27" t="s">
        <v>168</v>
      </c>
      <c r="C397" s="27" t="s">
        <v>125</v>
      </c>
      <c r="D397" s="8" t="s">
        <v>469</v>
      </c>
      <c r="E397" s="10" t="n">
        <v>5</v>
      </c>
      <c r="F397" s="10" t="n">
        <v>4</v>
      </c>
    </row>
    <row r="398" customFormat="false" ht="15" hidden="false" customHeight="false" outlineLevel="0" collapsed="false">
      <c r="A398" s="9" t="s">
        <v>254</v>
      </c>
      <c r="B398" s="27" t="s">
        <v>168</v>
      </c>
      <c r="C398" s="27" t="s">
        <v>125</v>
      </c>
      <c r="D398" s="8" t="s">
        <v>470</v>
      </c>
      <c r="E398" s="10" t="n">
        <v>4</v>
      </c>
      <c r="F398" s="10" t="n">
        <v>3</v>
      </c>
    </row>
    <row r="399" customFormat="false" ht="29.85" hidden="false" customHeight="false" outlineLevel="0" collapsed="false">
      <c r="A399" s="9" t="s">
        <v>254</v>
      </c>
      <c r="B399" s="27" t="s">
        <v>168</v>
      </c>
      <c r="C399" s="27" t="s">
        <v>125</v>
      </c>
      <c r="D399" s="8" t="s">
        <v>471</v>
      </c>
      <c r="E399" s="10" t="n">
        <v>6</v>
      </c>
      <c r="F399" s="10" t="n">
        <v>12</v>
      </c>
    </row>
    <row r="400" customFormat="false" ht="29.85" hidden="false" customHeight="false" outlineLevel="0" collapsed="false">
      <c r="A400" s="9" t="s">
        <v>254</v>
      </c>
      <c r="B400" s="27" t="s">
        <v>168</v>
      </c>
      <c r="C400" s="27" t="s">
        <v>125</v>
      </c>
      <c r="D400" s="8" t="s">
        <v>472</v>
      </c>
      <c r="E400" s="10" t="n">
        <v>5</v>
      </c>
      <c r="F400" s="10" t="n">
        <v>8</v>
      </c>
    </row>
    <row r="401" customFormat="false" ht="15" hidden="false" customHeight="false" outlineLevel="0" collapsed="false">
      <c r="A401" s="9" t="s">
        <v>254</v>
      </c>
      <c r="B401" s="27" t="s">
        <v>168</v>
      </c>
      <c r="C401" s="27" t="s">
        <v>125</v>
      </c>
      <c r="D401" s="8" t="s">
        <v>473</v>
      </c>
      <c r="E401" s="10" t="n">
        <v>3</v>
      </c>
      <c r="F401" s="10" t="n">
        <v>2</v>
      </c>
    </row>
    <row r="402" customFormat="false" ht="15" hidden="false" customHeight="false" outlineLevel="0" collapsed="false">
      <c r="A402" s="9" t="s">
        <v>254</v>
      </c>
      <c r="B402" s="27" t="s">
        <v>168</v>
      </c>
      <c r="C402" s="27" t="s">
        <v>125</v>
      </c>
      <c r="D402" s="8" t="s">
        <v>474</v>
      </c>
      <c r="E402" s="10" t="n">
        <v>4</v>
      </c>
      <c r="F402" s="10" t="n">
        <v>4</v>
      </c>
    </row>
    <row r="403" customFormat="false" ht="15" hidden="false" customHeight="false" outlineLevel="0" collapsed="false">
      <c r="A403" s="9" t="s">
        <v>254</v>
      </c>
      <c r="B403" s="27" t="s">
        <v>168</v>
      </c>
      <c r="C403" s="27" t="s">
        <v>125</v>
      </c>
      <c r="D403" s="8" t="s">
        <v>549</v>
      </c>
      <c r="E403" s="10" t="n">
        <v>5</v>
      </c>
      <c r="F403" s="10" t="n">
        <v>5</v>
      </c>
    </row>
    <row r="404" customFormat="false" ht="15" hidden="false" customHeight="false" outlineLevel="0" collapsed="false">
      <c r="A404" s="9" t="s">
        <v>258</v>
      </c>
      <c r="B404" s="9" t="s">
        <v>257</v>
      </c>
      <c r="C404" s="27" t="s">
        <v>50</v>
      </c>
      <c r="D404" s="8" t="s">
        <v>368</v>
      </c>
      <c r="E404" s="10" t="n">
        <v>5</v>
      </c>
      <c r="F404" s="10" t="n">
        <v>4</v>
      </c>
    </row>
    <row r="405" customFormat="false" ht="15" hidden="false" customHeight="false" outlineLevel="0" collapsed="false">
      <c r="A405" s="9" t="s">
        <v>258</v>
      </c>
      <c r="B405" s="9" t="s">
        <v>257</v>
      </c>
      <c r="C405" s="27" t="s">
        <v>50</v>
      </c>
      <c r="D405" s="8" t="s">
        <v>550</v>
      </c>
      <c r="E405" s="10" t="n">
        <v>4</v>
      </c>
      <c r="F405" s="10" t="n">
        <v>4</v>
      </c>
    </row>
    <row r="406" customFormat="false" ht="15" hidden="false" customHeight="false" outlineLevel="0" collapsed="false">
      <c r="A406" s="9" t="s">
        <v>258</v>
      </c>
      <c r="B406" s="9" t="s">
        <v>257</v>
      </c>
      <c r="C406" s="27" t="s">
        <v>50</v>
      </c>
      <c r="D406" s="8" t="s">
        <v>551</v>
      </c>
      <c r="E406" s="10" t="n">
        <v>5</v>
      </c>
      <c r="F406" s="10" t="n">
        <v>6</v>
      </c>
    </row>
    <row r="407" customFormat="false" ht="15" hidden="false" customHeight="false" outlineLevel="0" collapsed="false">
      <c r="A407" s="9" t="s">
        <v>258</v>
      </c>
      <c r="B407" s="9" t="s">
        <v>257</v>
      </c>
      <c r="C407" s="27" t="s">
        <v>50</v>
      </c>
      <c r="D407" s="8" t="s">
        <v>552</v>
      </c>
      <c r="E407" s="10" t="n">
        <v>5</v>
      </c>
      <c r="F407" s="10" t="n">
        <v>6</v>
      </c>
    </row>
    <row r="408" customFormat="false" ht="15" hidden="false" customHeight="false" outlineLevel="0" collapsed="false">
      <c r="A408" s="9" t="s">
        <v>258</v>
      </c>
      <c r="B408" s="9" t="s">
        <v>257</v>
      </c>
      <c r="C408" s="27" t="s">
        <v>50</v>
      </c>
      <c r="D408" s="11" t="s">
        <v>553</v>
      </c>
      <c r="E408" s="10" t="n">
        <v>9</v>
      </c>
      <c r="F408" s="10" t="n">
        <v>20</v>
      </c>
    </row>
    <row r="409" customFormat="false" ht="15" hidden="false" customHeight="false" outlineLevel="0" collapsed="false">
      <c r="A409" s="9" t="s">
        <v>258</v>
      </c>
      <c r="B409" s="9" t="s">
        <v>257</v>
      </c>
      <c r="C409" s="27" t="s">
        <v>50</v>
      </c>
      <c r="D409" s="8" t="s">
        <v>554</v>
      </c>
      <c r="E409" s="10" t="n">
        <v>0</v>
      </c>
      <c r="F409" s="10" t="n">
        <v>5</v>
      </c>
    </row>
    <row r="410" customFormat="false" ht="15" hidden="false" customHeight="false" outlineLevel="0" collapsed="false">
      <c r="A410" s="9" t="s">
        <v>258</v>
      </c>
      <c r="B410" s="9" t="s">
        <v>257</v>
      </c>
      <c r="C410" s="27" t="s">
        <v>50</v>
      </c>
      <c r="D410" s="8" t="s">
        <v>347</v>
      </c>
      <c r="E410" s="10" t="n">
        <v>2</v>
      </c>
      <c r="F410" s="10" t="n">
        <v>0</v>
      </c>
    </row>
    <row r="411" customFormat="false" ht="15" hidden="false" customHeight="false" outlineLevel="0" collapsed="false">
      <c r="A411" s="9" t="s">
        <v>263</v>
      </c>
      <c r="B411" s="9" t="s">
        <v>257</v>
      </c>
      <c r="C411" s="27" t="s">
        <v>50</v>
      </c>
      <c r="D411" s="8" t="s">
        <v>555</v>
      </c>
      <c r="E411" s="10" t="n">
        <v>6</v>
      </c>
      <c r="F411" s="10" t="n">
        <v>6</v>
      </c>
    </row>
    <row r="412" customFormat="false" ht="15" hidden="false" customHeight="false" outlineLevel="0" collapsed="false">
      <c r="A412" s="9" t="s">
        <v>263</v>
      </c>
      <c r="B412" s="9" t="s">
        <v>257</v>
      </c>
      <c r="C412" s="27" t="s">
        <v>50</v>
      </c>
      <c r="D412" s="8" t="s">
        <v>556</v>
      </c>
      <c r="E412" s="10" t="n">
        <v>12</v>
      </c>
      <c r="F412" s="10" t="n">
        <v>20</v>
      </c>
    </row>
    <row r="413" customFormat="false" ht="15" hidden="false" customHeight="false" outlineLevel="0" collapsed="false">
      <c r="A413" s="9" t="s">
        <v>263</v>
      </c>
      <c r="B413" s="9" t="s">
        <v>257</v>
      </c>
      <c r="C413" s="27" t="s">
        <v>50</v>
      </c>
      <c r="D413" s="8" t="s">
        <v>557</v>
      </c>
      <c r="E413" s="10" t="n">
        <v>7</v>
      </c>
      <c r="F413" s="10" t="n">
        <v>6</v>
      </c>
    </row>
    <row r="414" customFormat="false" ht="15" hidden="false" customHeight="false" outlineLevel="0" collapsed="false">
      <c r="A414" s="9" t="s">
        <v>263</v>
      </c>
      <c r="B414" s="9" t="s">
        <v>257</v>
      </c>
      <c r="C414" s="27" t="s">
        <v>50</v>
      </c>
      <c r="D414" s="8" t="s">
        <v>558</v>
      </c>
      <c r="E414" s="10" t="n">
        <v>0</v>
      </c>
      <c r="F414" s="10" t="n">
        <v>8</v>
      </c>
    </row>
    <row r="415" customFormat="false" ht="15" hidden="false" customHeight="false" outlineLevel="0" collapsed="false">
      <c r="A415" s="9" t="s">
        <v>263</v>
      </c>
      <c r="B415" s="9" t="s">
        <v>257</v>
      </c>
      <c r="C415" s="27" t="s">
        <v>50</v>
      </c>
      <c r="D415" s="8" t="s">
        <v>347</v>
      </c>
      <c r="E415" s="10" t="n">
        <v>5</v>
      </c>
      <c r="F415" s="10" t="n">
        <v>5</v>
      </c>
    </row>
    <row r="416" customFormat="false" ht="15" hidden="false" customHeight="false" outlineLevel="0" collapsed="false">
      <c r="A416" s="9" t="s">
        <v>268</v>
      </c>
      <c r="B416" s="9" t="s">
        <v>257</v>
      </c>
      <c r="C416" s="27" t="s">
        <v>50</v>
      </c>
      <c r="D416" s="8" t="s">
        <v>559</v>
      </c>
      <c r="E416" s="10" t="n">
        <v>5</v>
      </c>
      <c r="F416" s="10" t="n">
        <v>4</v>
      </c>
    </row>
    <row r="417" customFormat="false" ht="15" hidden="false" customHeight="false" outlineLevel="0" collapsed="false">
      <c r="A417" s="9" t="s">
        <v>268</v>
      </c>
      <c r="B417" s="9" t="s">
        <v>257</v>
      </c>
      <c r="C417" s="27" t="s">
        <v>50</v>
      </c>
      <c r="D417" s="8" t="s">
        <v>560</v>
      </c>
      <c r="E417" s="10" t="n">
        <v>7</v>
      </c>
      <c r="F417" s="10" t="n">
        <v>6</v>
      </c>
    </row>
    <row r="418" customFormat="false" ht="15" hidden="false" customHeight="false" outlineLevel="0" collapsed="false">
      <c r="A418" s="9" t="s">
        <v>268</v>
      </c>
      <c r="B418" s="9" t="s">
        <v>257</v>
      </c>
      <c r="C418" s="27" t="s">
        <v>50</v>
      </c>
      <c r="D418" s="8" t="s">
        <v>561</v>
      </c>
      <c r="E418" s="10" t="n">
        <v>6</v>
      </c>
      <c r="F418" s="10" t="n">
        <v>5</v>
      </c>
    </row>
    <row r="419" customFormat="false" ht="15" hidden="false" customHeight="false" outlineLevel="0" collapsed="false">
      <c r="A419" s="9" t="s">
        <v>268</v>
      </c>
      <c r="B419" s="9" t="s">
        <v>257</v>
      </c>
      <c r="C419" s="27" t="s">
        <v>50</v>
      </c>
      <c r="D419" s="8" t="s">
        <v>562</v>
      </c>
      <c r="E419" s="10" t="n">
        <v>7</v>
      </c>
      <c r="F419" s="10" t="n">
        <v>5</v>
      </c>
    </row>
    <row r="420" customFormat="false" ht="15" hidden="false" customHeight="false" outlineLevel="0" collapsed="false">
      <c r="A420" s="9" t="s">
        <v>268</v>
      </c>
      <c r="B420" s="9" t="s">
        <v>257</v>
      </c>
      <c r="C420" s="27" t="s">
        <v>50</v>
      </c>
      <c r="D420" s="8" t="s">
        <v>563</v>
      </c>
      <c r="E420" s="10" t="n">
        <v>5</v>
      </c>
      <c r="F420" s="10" t="n">
        <v>15</v>
      </c>
    </row>
    <row r="421" customFormat="false" ht="15" hidden="false" customHeight="false" outlineLevel="0" collapsed="false">
      <c r="A421" s="9" t="s">
        <v>268</v>
      </c>
      <c r="B421" s="9" t="s">
        <v>257</v>
      </c>
      <c r="C421" s="27" t="s">
        <v>50</v>
      </c>
      <c r="D421" s="8" t="s">
        <v>347</v>
      </c>
      <c r="E421" s="10" t="n">
        <v>0</v>
      </c>
      <c r="F421" s="10" t="n">
        <v>5</v>
      </c>
    </row>
    <row r="422" customFormat="false" ht="15" hidden="false" customHeight="false" outlineLevel="0" collapsed="false">
      <c r="A422" s="9" t="s">
        <v>273</v>
      </c>
      <c r="B422" s="9" t="s">
        <v>257</v>
      </c>
      <c r="C422" s="27" t="s">
        <v>50</v>
      </c>
      <c r="D422" s="8" t="s">
        <v>564</v>
      </c>
      <c r="E422" s="10" t="n">
        <v>7</v>
      </c>
      <c r="F422" s="10" t="n">
        <v>6</v>
      </c>
    </row>
    <row r="423" customFormat="false" ht="15" hidden="false" customHeight="false" outlineLevel="0" collapsed="false">
      <c r="A423" s="9" t="s">
        <v>273</v>
      </c>
      <c r="B423" s="9" t="s">
        <v>257</v>
      </c>
      <c r="C423" s="27" t="s">
        <v>50</v>
      </c>
      <c r="D423" s="8" t="s">
        <v>565</v>
      </c>
      <c r="E423" s="10" t="n">
        <v>6</v>
      </c>
      <c r="F423" s="10" t="n">
        <v>5</v>
      </c>
    </row>
    <row r="424" customFormat="false" ht="15" hidden="false" customHeight="false" outlineLevel="0" collapsed="false">
      <c r="A424" s="9" t="s">
        <v>273</v>
      </c>
      <c r="B424" s="9" t="s">
        <v>257</v>
      </c>
      <c r="C424" s="27" t="s">
        <v>50</v>
      </c>
      <c r="D424" s="8" t="s">
        <v>566</v>
      </c>
      <c r="E424" s="10" t="n">
        <v>5</v>
      </c>
      <c r="F424" s="10" t="n">
        <v>4</v>
      </c>
    </row>
    <row r="425" customFormat="false" ht="15" hidden="false" customHeight="false" outlineLevel="0" collapsed="false">
      <c r="A425" s="9" t="s">
        <v>273</v>
      </c>
      <c r="B425" s="9" t="s">
        <v>257</v>
      </c>
      <c r="C425" s="27" t="s">
        <v>50</v>
      </c>
      <c r="D425" s="8" t="s">
        <v>567</v>
      </c>
      <c r="E425" s="10" t="n">
        <v>4</v>
      </c>
      <c r="F425" s="10" t="n">
        <v>3</v>
      </c>
    </row>
    <row r="426" customFormat="false" ht="15" hidden="false" customHeight="false" outlineLevel="0" collapsed="false">
      <c r="A426" s="9" t="s">
        <v>273</v>
      </c>
      <c r="B426" s="9" t="s">
        <v>257</v>
      </c>
      <c r="C426" s="27" t="s">
        <v>50</v>
      </c>
      <c r="D426" s="11" t="s">
        <v>568</v>
      </c>
      <c r="E426" s="10" t="n">
        <v>8</v>
      </c>
      <c r="F426" s="10" t="n">
        <v>20</v>
      </c>
    </row>
    <row r="427" customFormat="false" ht="15" hidden="false" customHeight="false" outlineLevel="0" collapsed="false">
      <c r="A427" s="9" t="s">
        <v>273</v>
      </c>
      <c r="B427" s="9" t="s">
        <v>257</v>
      </c>
      <c r="C427" s="27" t="s">
        <v>50</v>
      </c>
      <c r="D427" s="8" t="s">
        <v>440</v>
      </c>
      <c r="E427" s="10" t="n">
        <v>0</v>
      </c>
      <c r="F427" s="10" t="n">
        <v>2</v>
      </c>
    </row>
    <row r="428" customFormat="false" ht="15" hidden="false" customHeight="false" outlineLevel="0" collapsed="false">
      <c r="A428" s="9" t="s">
        <v>278</v>
      </c>
      <c r="B428" s="9" t="s">
        <v>257</v>
      </c>
      <c r="C428" s="27" t="s">
        <v>50</v>
      </c>
      <c r="D428" s="8" t="s">
        <v>569</v>
      </c>
      <c r="E428" s="10" t="n">
        <v>6</v>
      </c>
      <c r="F428" s="10" t="n">
        <v>5</v>
      </c>
    </row>
    <row r="429" customFormat="false" ht="15" hidden="false" customHeight="false" outlineLevel="0" collapsed="false">
      <c r="A429" s="9" t="s">
        <v>278</v>
      </c>
      <c r="B429" s="9" t="s">
        <v>257</v>
      </c>
      <c r="C429" s="27" t="s">
        <v>50</v>
      </c>
      <c r="D429" s="8" t="s">
        <v>570</v>
      </c>
      <c r="E429" s="10" t="n">
        <v>6</v>
      </c>
      <c r="F429" s="10" t="n">
        <v>5</v>
      </c>
    </row>
    <row r="430" customFormat="false" ht="15" hidden="false" customHeight="false" outlineLevel="0" collapsed="false">
      <c r="A430" s="9" t="s">
        <v>278</v>
      </c>
      <c r="B430" s="9" t="s">
        <v>257</v>
      </c>
      <c r="C430" s="27" t="s">
        <v>50</v>
      </c>
      <c r="D430" s="8" t="s">
        <v>571</v>
      </c>
      <c r="E430" s="10" t="n">
        <v>8</v>
      </c>
      <c r="F430" s="10" t="n">
        <v>7</v>
      </c>
    </row>
    <row r="431" customFormat="false" ht="15" hidden="false" customHeight="false" outlineLevel="0" collapsed="false">
      <c r="A431" s="9" t="s">
        <v>278</v>
      </c>
      <c r="B431" s="9" t="s">
        <v>257</v>
      </c>
      <c r="C431" s="27" t="s">
        <v>50</v>
      </c>
      <c r="D431" s="8" t="s">
        <v>572</v>
      </c>
      <c r="E431" s="10" t="n">
        <v>7</v>
      </c>
      <c r="F431" s="10" t="n">
        <v>15</v>
      </c>
    </row>
    <row r="432" customFormat="false" ht="15" hidden="false" customHeight="false" outlineLevel="0" collapsed="false">
      <c r="A432" s="9" t="s">
        <v>278</v>
      </c>
      <c r="B432" s="9" t="s">
        <v>257</v>
      </c>
      <c r="C432" s="27" t="s">
        <v>50</v>
      </c>
      <c r="D432" s="8" t="s">
        <v>347</v>
      </c>
      <c r="E432" s="10" t="n">
        <v>3</v>
      </c>
      <c r="F432" s="10" t="n">
        <v>3</v>
      </c>
    </row>
    <row r="433" customFormat="false" ht="15" hidden="false" customHeight="false" outlineLevel="0" collapsed="false">
      <c r="A433" s="9" t="s">
        <v>283</v>
      </c>
      <c r="B433" s="9" t="s">
        <v>257</v>
      </c>
      <c r="C433" s="27" t="s">
        <v>50</v>
      </c>
      <c r="D433" s="8" t="s">
        <v>573</v>
      </c>
      <c r="E433" s="10" t="n">
        <v>6</v>
      </c>
      <c r="F433" s="10" t="n">
        <v>5</v>
      </c>
    </row>
    <row r="434" customFormat="false" ht="15" hidden="false" customHeight="false" outlineLevel="0" collapsed="false">
      <c r="A434" s="9" t="s">
        <v>283</v>
      </c>
      <c r="B434" s="9" t="s">
        <v>257</v>
      </c>
      <c r="C434" s="27" t="s">
        <v>50</v>
      </c>
      <c r="D434" s="8" t="s">
        <v>574</v>
      </c>
      <c r="E434" s="10" t="n">
        <v>6</v>
      </c>
      <c r="F434" s="10" t="n">
        <v>5</v>
      </c>
    </row>
    <row r="435" customFormat="false" ht="15" hidden="false" customHeight="false" outlineLevel="0" collapsed="false">
      <c r="A435" s="9" t="s">
        <v>283</v>
      </c>
      <c r="B435" s="9" t="s">
        <v>257</v>
      </c>
      <c r="C435" s="27" t="s">
        <v>50</v>
      </c>
      <c r="D435" s="8" t="s">
        <v>575</v>
      </c>
      <c r="E435" s="10" t="n">
        <v>8</v>
      </c>
      <c r="F435" s="10" t="n">
        <v>12</v>
      </c>
    </row>
    <row r="436" customFormat="false" ht="15" hidden="false" customHeight="false" outlineLevel="0" collapsed="false">
      <c r="A436" s="9" t="s">
        <v>283</v>
      </c>
      <c r="B436" s="9" t="s">
        <v>257</v>
      </c>
      <c r="C436" s="27" t="s">
        <v>50</v>
      </c>
      <c r="D436" s="8" t="s">
        <v>347</v>
      </c>
      <c r="E436" s="10" t="n">
        <v>5</v>
      </c>
      <c r="F436" s="10" t="n">
        <v>3</v>
      </c>
    </row>
    <row r="437" customFormat="false" ht="15" hidden="false" customHeight="false" outlineLevel="0" collapsed="false">
      <c r="A437" s="9" t="s">
        <v>288</v>
      </c>
      <c r="B437" s="9" t="s">
        <v>257</v>
      </c>
      <c r="C437" s="27" t="s">
        <v>50</v>
      </c>
      <c r="D437" s="8" t="s">
        <v>419</v>
      </c>
      <c r="E437" s="10" t="n">
        <v>10</v>
      </c>
      <c r="F437" s="10" t="n">
        <v>10</v>
      </c>
    </row>
    <row r="438" customFormat="false" ht="15" hidden="false" customHeight="false" outlineLevel="0" collapsed="false">
      <c r="A438" s="9" t="s">
        <v>290</v>
      </c>
      <c r="B438" s="9" t="s">
        <v>257</v>
      </c>
      <c r="C438" s="27" t="s">
        <v>105</v>
      </c>
      <c r="D438" s="8" t="s">
        <v>576</v>
      </c>
      <c r="E438" s="10" t="n">
        <v>3</v>
      </c>
      <c r="F438" s="10" t="n">
        <v>3</v>
      </c>
    </row>
    <row r="439" customFormat="false" ht="15" hidden="false" customHeight="false" outlineLevel="0" collapsed="false">
      <c r="A439" s="9" t="s">
        <v>290</v>
      </c>
      <c r="B439" s="9" t="s">
        <v>257</v>
      </c>
      <c r="C439" s="27" t="s">
        <v>105</v>
      </c>
      <c r="D439" s="11" t="s">
        <v>577</v>
      </c>
      <c r="E439" s="10" t="n">
        <v>11</v>
      </c>
      <c r="F439" s="10" t="n">
        <v>17</v>
      </c>
    </row>
    <row r="440" customFormat="false" ht="15" hidden="false" customHeight="false" outlineLevel="0" collapsed="false">
      <c r="A440" s="9" t="s">
        <v>290</v>
      </c>
      <c r="B440" s="9" t="s">
        <v>257</v>
      </c>
      <c r="C440" s="27" t="s">
        <v>105</v>
      </c>
      <c r="D440" s="8" t="s">
        <v>578</v>
      </c>
      <c r="E440" s="10" t="n">
        <v>2</v>
      </c>
      <c r="F440" s="10" t="n">
        <v>2</v>
      </c>
    </row>
    <row r="441" customFormat="false" ht="15" hidden="false" customHeight="false" outlineLevel="0" collapsed="false">
      <c r="A441" s="9" t="s">
        <v>290</v>
      </c>
      <c r="B441" s="9" t="s">
        <v>257</v>
      </c>
      <c r="C441" s="27" t="s">
        <v>105</v>
      </c>
      <c r="D441" s="8" t="s">
        <v>579</v>
      </c>
      <c r="E441" s="10" t="n">
        <v>2</v>
      </c>
      <c r="F441" s="10" t="n">
        <v>3</v>
      </c>
    </row>
    <row r="442" customFormat="false" ht="15" hidden="false" customHeight="false" outlineLevel="0" collapsed="false">
      <c r="A442" s="9" t="s">
        <v>290</v>
      </c>
      <c r="B442" s="9" t="s">
        <v>257</v>
      </c>
      <c r="C442" s="27" t="s">
        <v>105</v>
      </c>
      <c r="D442" s="8" t="s">
        <v>580</v>
      </c>
      <c r="E442" s="10" t="n">
        <v>5</v>
      </c>
      <c r="F442" s="10" t="n">
        <v>6</v>
      </c>
    </row>
    <row r="443" customFormat="false" ht="15" hidden="false" customHeight="false" outlineLevel="0" collapsed="false">
      <c r="A443" s="9" t="s">
        <v>290</v>
      </c>
      <c r="B443" s="9" t="s">
        <v>257</v>
      </c>
      <c r="C443" s="27" t="s">
        <v>105</v>
      </c>
      <c r="D443" s="8" t="s">
        <v>581</v>
      </c>
      <c r="E443" s="10" t="n">
        <v>2</v>
      </c>
      <c r="F443" s="10" t="n">
        <v>2</v>
      </c>
    </row>
    <row r="444" customFormat="false" ht="15" hidden="false" customHeight="false" outlineLevel="0" collapsed="false">
      <c r="A444" s="9" t="s">
        <v>290</v>
      </c>
      <c r="B444" s="9" t="s">
        <v>257</v>
      </c>
      <c r="C444" s="27" t="s">
        <v>105</v>
      </c>
      <c r="D444" s="8" t="s">
        <v>582</v>
      </c>
      <c r="E444" s="10" t="n">
        <v>3</v>
      </c>
      <c r="F444" s="10" t="n">
        <v>4</v>
      </c>
    </row>
    <row r="445" customFormat="false" ht="15" hidden="false" customHeight="false" outlineLevel="0" collapsed="false">
      <c r="A445" s="9" t="s">
        <v>290</v>
      </c>
      <c r="B445" s="9" t="s">
        <v>257</v>
      </c>
      <c r="C445" s="27" t="s">
        <v>105</v>
      </c>
      <c r="D445" s="8" t="s">
        <v>583</v>
      </c>
      <c r="E445" s="10" t="n">
        <v>1</v>
      </c>
      <c r="F445" s="10" t="n">
        <v>1</v>
      </c>
    </row>
    <row r="446" customFormat="false" ht="15" hidden="false" customHeight="false" outlineLevel="0" collapsed="false">
      <c r="A446" s="9" t="s">
        <v>290</v>
      </c>
      <c r="B446" s="9" t="s">
        <v>257</v>
      </c>
      <c r="C446" s="27" t="s">
        <v>105</v>
      </c>
      <c r="D446" s="8" t="s">
        <v>584</v>
      </c>
      <c r="E446" s="10" t="n">
        <v>1</v>
      </c>
      <c r="F446" s="10" t="n">
        <v>1</v>
      </c>
    </row>
    <row r="447" customFormat="false" ht="15" hidden="false" customHeight="false" outlineLevel="0" collapsed="false">
      <c r="A447" s="9" t="s">
        <v>290</v>
      </c>
      <c r="B447" s="9" t="s">
        <v>257</v>
      </c>
      <c r="C447" s="27" t="s">
        <v>105</v>
      </c>
      <c r="D447" s="8" t="s">
        <v>585</v>
      </c>
      <c r="E447" s="10" t="n">
        <v>0</v>
      </c>
      <c r="F447" s="10" t="n">
        <v>6</v>
      </c>
    </row>
    <row r="448" customFormat="false" ht="15" hidden="false" customHeight="false" outlineLevel="0" collapsed="false">
      <c r="A448" s="9" t="s">
        <v>294</v>
      </c>
      <c r="B448" s="9" t="s">
        <v>257</v>
      </c>
      <c r="C448" s="27" t="s">
        <v>105</v>
      </c>
      <c r="D448" s="8" t="s">
        <v>586</v>
      </c>
      <c r="E448" s="10" t="n">
        <v>2</v>
      </c>
      <c r="F448" s="10" t="n">
        <v>2</v>
      </c>
    </row>
    <row r="449" customFormat="false" ht="15" hidden="false" customHeight="false" outlineLevel="0" collapsed="false">
      <c r="A449" s="9" t="s">
        <v>294</v>
      </c>
      <c r="B449" s="9" t="s">
        <v>257</v>
      </c>
      <c r="C449" s="27" t="s">
        <v>105</v>
      </c>
      <c r="D449" s="11" t="s">
        <v>587</v>
      </c>
      <c r="E449" s="10" t="n">
        <v>4</v>
      </c>
      <c r="F449" s="10" t="n">
        <v>4</v>
      </c>
    </row>
    <row r="450" customFormat="false" ht="15" hidden="false" customHeight="false" outlineLevel="0" collapsed="false">
      <c r="A450" s="9" t="s">
        <v>294</v>
      </c>
      <c r="B450" s="9" t="s">
        <v>257</v>
      </c>
      <c r="C450" s="27" t="s">
        <v>105</v>
      </c>
      <c r="D450" s="8" t="s">
        <v>588</v>
      </c>
      <c r="E450" s="10" t="n">
        <v>2</v>
      </c>
      <c r="F450" s="10" t="n">
        <v>2</v>
      </c>
    </row>
    <row r="451" customFormat="false" ht="15" hidden="false" customHeight="false" outlineLevel="0" collapsed="false">
      <c r="A451" s="9" t="s">
        <v>294</v>
      </c>
      <c r="B451" s="9" t="s">
        <v>257</v>
      </c>
      <c r="C451" s="27" t="s">
        <v>105</v>
      </c>
      <c r="D451" s="8" t="s">
        <v>589</v>
      </c>
      <c r="E451" s="10" t="n">
        <v>2</v>
      </c>
      <c r="F451" s="10" t="n">
        <v>3</v>
      </c>
    </row>
    <row r="452" customFormat="false" ht="15" hidden="false" customHeight="false" outlineLevel="0" collapsed="false">
      <c r="A452" s="9" t="s">
        <v>294</v>
      </c>
      <c r="B452" s="9" t="s">
        <v>257</v>
      </c>
      <c r="C452" s="27" t="s">
        <v>105</v>
      </c>
      <c r="D452" s="8" t="s">
        <v>590</v>
      </c>
      <c r="E452" s="10" t="n">
        <v>2</v>
      </c>
      <c r="F452" s="10" t="n">
        <v>2</v>
      </c>
    </row>
    <row r="453" customFormat="false" ht="15" hidden="false" customHeight="false" outlineLevel="0" collapsed="false">
      <c r="A453" s="9" t="s">
        <v>294</v>
      </c>
      <c r="B453" s="9" t="s">
        <v>257</v>
      </c>
      <c r="C453" s="27" t="s">
        <v>105</v>
      </c>
      <c r="D453" s="8" t="s">
        <v>591</v>
      </c>
      <c r="E453" s="10" t="n">
        <v>2</v>
      </c>
      <c r="F453" s="10" t="n">
        <v>2</v>
      </c>
    </row>
    <row r="454" customFormat="false" ht="15" hidden="false" customHeight="false" outlineLevel="0" collapsed="false">
      <c r="A454" s="9" t="s">
        <v>294</v>
      </c>
      <c r="B454" s="9" t="s">
        <v>257</v>
      </c>
      <c r="C454" s="27" t="s">
        <v>105</v>
      </c>
      <c r="D454" s="8" t="s">
        <v>592</v>
      </c>
      <c r="E454" s="10" t="n">
        <v>3</v>
      </c>
      <c r="F454" s="10" t="n">
        <v>3</v>
      </c>
    </row>
    <row r="455" customFormat="false" ht="15" hidden="false" customHeight="false" outlineLevel="0" collapsed="false">
      <c r="A455" s="9" t="s">
        <v>294</v>
      </c>
      <c r="B455" s="9" t="s">
        <v>257</v>
      </c>
      <c r="C455" s="27" t="s">
        <v>105</v>
      </c>
      <c r="D455" s="8" t="s">
        <v>593</v>
      </c>
      <c r="E455" s="10" t="n">
        <v>5</v>
      </c>
      <c r="F455" s="10" t="n">
        <v>5</v>
      </c>
    </row>
    <row r="456" customFormat="false" ht="15" hidden="false" customHeight="false" outlineLevel="0" collapsed="false">
      <c r="A456" s="9" t="s">
        <v>294</v>
      </c>
      <c r="B456" s="9" t="s">
        <v>257</v>
      </c>
      <c r="C456" s="27" t="s">
        <v>105</v>
      </c>
      <c r="D456" s="8" t="s">
        <v>594</v>
      </c>
      <c r="E456" s="10" t="n">
        <v>2</v>
      </c>
      <c r="F456" s="10" t="n">
        <v>2</v>
      </c>
    </row>
    <row r="457" customFormat="false" ht="15" hidden="false" customHeight="false" outlineLevel="0" collapsed="false">
      <c r="A457" s="9" t="s">
        <v>294</v>
      </c>
      <c r="B457" s="9" t="s">
        <v>257</v>
      </c>
      <c r="C457" s="27" t="s">
        <v>105</v>
      </c>
      <c r="D457" s="8" t="s">
        <v>571</v>
      </c>
      <c r="E457" s="10" t="n">
        <v>2</v>
      </c>
      <c r="F457" s="10" t="n">
        <v>2</v>
      </c>
    </row>
    <row r="458" customFormat="false" ht="15" hidden="false" customHeight="false" outlineLevel="0" collapsed="false">
      <c r="A458" s="9" t="s">
        <v>294</v>
      </c>
      <c r="B458" s="9" t="s">
        <v>257</v>
      </c>
      <c r="C458" s="27" t="s">
        <v>105</v>
      </c>
      <c r="D458" s="8" t="s">
        <v>535</v>
      </c>
      <c r="E458" s="10" t="n">
        <v>2</v>
      </c>
      <c r="F458" s="10" t="n">
        <v>2</v>
      </c>
    </row>
    <row r="459" customFormat="false" ht="15" hidden="false" customHeight="false" outlineLevel="0" collapsed="false">
      <c r="A459" s="9" t="s">
        <v>294</v>
      </c>
      <c r="B459" s="9" t="s">
        <v>257</v>
      </c>
      <c r="C459" s="27" t="s">
        <v>105</v>
      </c>
      <c r="D459" s="8" t="s">
        <v>595</v>
      </c>
      <c r="E459" s="10" t="n">
        <v>2</v>
      </c>
      <c r="F459" s="10" t="n">
        <v>3</v>
      </c>
    </row>
    <row r="460" customFormat="false" ht="15" hidden="false" customHeight="false" outlineLevel="0" collapsed="false">
      <c r="A460" s="9" t="s">
        <v>294</v>
      </c>
      <c r="B460" s="9" t="s">
        <v>257</v>
      </c>
      <c r="C460" s="27" t="s">
        <v>105</v>
      </c>
      <c r="D460" s="8" t="s">
        <v>440</v>
      </c>
      <c r="E460" s="10" t="n">
        <v>0</v>
      </c>
      <c r="F460" s="10" t="n">
        <v>3</v>
      </c>
    </row>
    <row r="461" customFormat="false" ht="15" hidden="false" customHeight="false" outlineLevel="0" collapsed="false">
      <c r="A461" s="9" t="s">
        <v>297</v>
      </c>
      <c r="B461" s="9" t="s">
        <v>257</v>
      </c>
      <c r="C461" s="27" t="s">
        <v>105</v>
      </c>
      <c r="D461" s="11" t="s">
        <v>596</v>
      </c>
      <c r="E461" s="10" t="n">
        <v>7</v>
      </c>
      <c r="F461" s="10" t="n">
        <v>9</v>
      </c>
    </row>
    <row r="462" customFormat="false" ht="15" hidden="false" customHeight="false" outlineLevel="0" collapsed="false">
      <c r="A462" s="9" t="s">
        <v>297</v>
      </c>
      <c r="B462" s="9" t="s">
        <v>257</v>
      </c>
      <c r="C462" s="27" t="s">
        <v>105</v>
      </c>
      <c r="D462" s="8" t="s">
        <v>597</v>
      </c>
      <c r="E462" s="10" t="n">
        <v>5</v>
      </c>
      <c r="F462" s="10" t="n">
        <v>6</v>
      </c>
    </row>
    <row r="463" customFormat="false" ht="15" hidden="false" customHeight="false" outlineLevel="0" collapsed="false">
      <c r="A463" s="9" t="s">
        <v>297</v>
      </c>
      <c r="B463" s="9" t="s">
        <v>257</v>
      </c>
      <c r="C463" s="27" t="s">
        <v>105</v>
      </c>
      <c r="D463" s="8" t="s">
        <v>598</v>
      </c>
      <c r="E463" s="10" t="n">
        <v>5</v>
      </c>
      <c r="F463" s="10" t="n">
        <v>5</v>
      </c>
    </row>
    <row r="464" customFormat="false" ht="15" hidden="false" customHeight="false" outlineLevel="0" collapsed="false">
      <c r="A464" s="9" t="s">
        <v>297</v>
      </c>
      <c r="B464" s="9" t="s">
        <v>257</v>
      </c>
      <c r="C464" s="27" t="s">
        <v>105</v>
      </c>
      <c r="D464" s="8" t="s">
        <v>599</v>
      </c>
      <c r="E464" s="10" t="n">
        <v>1</v>
      </c>
      <c r="F464" s="10" t="n">
        <v>2</v>
      </c>
    </row>
    <row r="465" customFormat="false" ht="15" hidden="false" customHeight="false" outlineLevel="0" collapsed="false">
      <c r="A465" s="9" t="s">
        <v>297</v>
      </c>
      <c r="B465" s="9" t="s">
        <v>257</v>
      </c>
      <c r="C465" s="27" t="s">
        <v>105</v>
      </c>
      <c r="D465" s="8" t="s">
        <v>600</v>
      </c>
      <c r="E465" s="10" t="n">
        <v>2</v>
      </c>
      <c r="F465" s="10" t="n">
        <v>2</v>
      </c>
    </row>
    <row r="466" customFormat="false" ht="15" hidden="false" customHeight="false" outlineLevel="0" collapsed="false">
      <c r="A466" s="9" t="s">
        <v>297</v>
      </c>
      <c r="B466" s="9" t="s">
        <v>257</v>
      </c>
      <c r="C466" s="27" t="s">
        <v>105</v>
      </c>
      <c r="D466" s="8" t="s">
        <v>601</v>
      </c>
      <c r="E466" s="10" t="n">
        <v>3</v>
      </c>
      <c r="F466" s="10" t="n">
        <v>3</v>
      </c>
    </row>
    <row r="467" customFormat="false" ht="15" hidden="false" customHeight="false" outlineLevel="0" collapsed="false">
      <c r="A467" s="9" t="s">
        <v>297</v>
      </c>
      <c r="B467" s="9" t="s">
        <v>257</v>
      </c>
      <c r="C467" s="27" t="s">
        <v>105</v>
      </c>
      <c r="D467" s="8" t="s">
        <v>602</v>
      </c>
      <c r="E467" s="10" t="n">
        <v>2</v>
      </c>
      <c r="F467" s="10" t="n">
        <v>2</v>
      </c>
    </row>
    <row r="468" customFormat="false" ht="15" hidden="false" customHeight="false" outlineLevel="0" collapsed="false">
      <c r="A468" s="9" t="s">
        <v>297</v>
      </c>
      <c r="B468" s="9" t="s">
        <v>257</v>
      </c>
      <c r="C468" s="27" t="s">
        <v>105</v>
      </c>
      <c r="D468" s="8" t="s">
        <v>603</v>
      </c>
      <c r="E468" s="10" t="n">
        <v>2</v>
      </c>
      <c r="F468" s="10" t="n">
        <v>2</v>
      </c>
    </row>
    <row r="469" customFormat="false" ht="15" hidden="false" customHeight="false" outlineLevel="0" collapsed="false">
      <c r="A469" s="9" t="s">
        <v>297</v>
      </c>
      <c r="B469" s="9" t="s">
        <v>257</v>
      </c>
      <c r="C469" s="27" t="s">
        <v>105</v>
      </c>
      <c r="D469" s="8" t="s">
        <v>604</v>
      </c>
      <c r="E469" s="10" t="n">
        <v>2</v>
      </c>
      <c r="F469" s="10" t="n">
        <v>2</v>
      </c>
    </row>
    <row r="470" customFormat="false" ht="15" hidden="false" customHeight="false" outlineLevel="0" collapsed="false">
      <c r="A470" s="9" t="s">
        <v>297</v>
      </c>
      <c r="B470" s="9" t="s">
        <v>257</v>
      </c>
      <c r="C470" s="27" t="s">
        <v>105</v>
      </c>
      <c r="D470" s="8" t="s">
        <v>440</v>
      </c>
      <c r="E470" s="10" t="n">
        <v>0</v>
      </c>
      <c r="F470" s="10" t="n">
        <v>6</v>
      </c>
    </row>
    <row r="471" customFormat="false" ht="15" hidden="false" customHeight="false" outlineLevel="0" collapsed="false">
      <c r="A471" s="9" t="s">
        <v>297</v>
      </c>
      <c r="B471" s="9" t="s">
        <v>257</v>
      </c>
      <c r="C471" s="27" t="s">
        <v>105</v>
      </c>
      <c r="D471" s="8" t="s">
        <v>535</v>
      </c>
      <c r="E471" s="10" t="n">
        <v>1</v>
      </c>
      <c r="F471" s="10" t="n">
        <v>1</v>
      </c>
    </row>
    <row r="472" customFormat="false" ht="15" hidden="false" customHeight="false" outlineLevel="0" collapsed="false">
      <c r="A472" s="9" t="s">
        <v>302</v>
      </c>
      <c r="B472" s="9" t="s">
        <v>257</v>
      </c>
      <c r="C472" s="27" t="s">
        <v>105</v>
      </c>
      <c r="D472" s="8" t="s">
        <v>605</v>
      </c>
      <c r="E472" s="10" t="n">
        <v>8</v>
      </c>
      <c r="F472" s="10" t="n">
        <v>11</v>
      </c>
    </row>
    <row r="473" customFormat="false" ht="15" hidden="false" customHeight="false" outlineLevel="0" collapsed="false">
      <c r="A473" s="9" t="s">
        <v>302</v>
      </c>
      <c r="B473" s="9" t="s">
        <v>257</v>
      </c>
      <c r="C473" s="27" t="s">
        <v>105</v>
      </c>
      <c r="D473" s="8" t="s">
        <v>597</v>
      </c>
      <c r="E473" s="10" t="n">
        <v>4</v>
      </c>
      <c r="F473" s="10" t="n">
        <v>6</v>
      </c>
    </row>
    <row r="474" customFormat="false" ht="15" hidden="false" customHeight="false" outlineLevel="0" collapsed="false">
      <c r="A474" s="9" t="s">
        <v>302</v>
      </c>
      <c r="B474" s="9" t="s">
        <v>257</v>
      </c>
      <c r="C474" s="27" t="s">
        <v>105</v>
      </c>
      <c r="D474" s="8" t="s">
        <v>606</v>
      </c>
      <c r="E474" s="10" t="n">
        <v>5</v>
      </c>
      <c r="F474" s="10" t="n">
        <v>5</v>
      </c>
    </row>
    <row r="475" customFormat="false" ht="15" hidden="false" customHeight="false" outlineLevel="0" collapsed="false">
      <c r="A475" s="9" t="s">
        <v>302</v>
      </c>
      <c r="B475" s="9" t="s">
        <v>257</v>
      </c>
      <c r="C475" s="27" t="s">
        <v>105</v>
      </c>
      <c r="D475" s="8" t="s">
        <v>607</v>
      </c>
      <c r="E475" s="10" t="n">
        <v>1</v>
      </c>
      <c r="F475" s="10" t="n">
        <v>2</v>
      </c>
    </row>
    <row r="476" customFormat="false" ht="15" hidden="false" customHeight="false" outlineLevel="0" collapsed="false">
      <c r="A476" s="9" t="s">
        <v>302</v>
      </c>
      <c r="B476" s="9" t="s">
        <v>257</v>
      </c>
      <c r="C476" s="27" t="s">
        <v>105</v>
      </c>
      <c r="D476" s="8" t="s">
        <v>608</v>
      </c>
      <c r="E476" s="10" t="n">
        <v>1</v>
      </c>
      <c r="F476" s="10" t="n">
        <v>1</v>
      </c>
    </row>
    <row r="477" customFormat="false" ht="15" hidden="false" customHeight="false" outlineLevel="0" collapsed="false">
      <c r="A477" s="9" t="s">
        <v>302</v>
      </c>
      <c r="B477" s="9" t="s">
        <v>257</v>
      </c>
      <c r="C477" s="27" t="s">
        <v>105</v>
      </c>
      <c r="D477" s="8" t="s">
        <v>609</v>
      </c>
      <c r="E477" s="10" t="n">
        <v>2</v>
      </c>
      <c r="F477" s="10" t="n">
        <v>4</v>
      </c>
    </row>
    <row r="478" customFormat="false" ht="15" hidden="false" customHeight="false" outlineLevel="0" collapsed="false">
      <c r="A478" s="9" t="s">
        <v>302</v>
      </c>
      <c r="B478" s="9" t="s">
        <v>257</v>
      </c>
      <c r="C478" s="27" t="s">
        <v>105</v>
      </c>
      <c r="D478" s="8" t="s">
        <v>610</v>
      </c>
      <c r="E478" s="10" t="n">
        <v>1</v>
      </c>
      <c r="F478" s="10" t="n">
        <v>1</v>
      </c>
    </row>
    <row r="479" customFormat="false" ht="15" hidden="false" customHeight="false" outlineLevel="0" collapsed="false">
      <c r="A479" s="9" t="s">
        <v>302</v>
      </c>
      <c r="B479" s="9" t="s">
        <v>257</v>
      </c>
      <c r="C479" s="27" t="s">
        <v>105</v>
      </c>
      <c r="D479" s="8" t="s">
        <v>611</v>
      </c>
      <c r="E479" s="10" t="n">
        <v>2</v>
      </c>
      <c r="F479" s="10" t="n">
        <v>2</v>
      </c>
    </row>
    <row r="480" customFormat="false" ht="15" hidden="false" customHeight="false" outlineLevel="0" collapsed="false">
      <c r="A480" s="9" t="s">
        <v>302</v>
      </c>
      <c r="B480" s="9" t="s">
        <v>257</v>
      </c>
      <c r="C480" s="27" t="s">
        <v>105</v>
      </c>
      <c r="D480" s="8" t="s">
        <v>612</v>
      </c>
      <c r="E480" s="10" t="n">
        <v>3</v>
      </c>
      <c r="F480" s="10" t="n">
        <v>3</v>
      </c>
    </row>
    <row r="481" customFormat="false" ht="15" hidden="false" customHeight="false" outlineLevel="0" collapsed="false">
      <c r="A481" s="9" t="s">
        <v>302</v>
      </c>
      <c r="B481" s="9" t="s">
        <v>257</v>
      </c>
      <c r="C481" s="27" t="s">
        <v>105</v>
      </c>
      <c r="D481" s="8" t="s">
        <v>604</v>
      </c>
      <c r="E481" s="10" t="n">
        <v>1</v>
      </c>
      <c r="F481" s="10" t="n">
        <v>1</v>
      </c>
    </row>
    <row r="482" customFormat="false" ht="15" hidden="false" customHeight="false" outlineLevel="0" collapsed="false">
      <c r="A482" s="9" t="s">
        <v>302</v>
      </c>
      <c r="B482" s="9" t="s">
        <v>257</v>
      </c>
      <c r="C482" s="27" t="s">
        <v>105</v>
      </c>
      <c r="D482" s="8" t="s">
        <v>613</v>
      </c>
      <c r="E482" s="10" t="n">
        <v>2</v>
      </c>
      <c r="F482" s="10" t="n">
        <v>3</v>
      </c>
    </row>
    <row r="483" customFormat="false" ht="15" hidden="false" customHeight="false" outlineLevel="0" collapsed="false">
      <c r="A483" s="9" t="s">
        <v>302</v>
      </c>
      <c r="B483" s="9" t="s">
        <v>257</v>
      </c>
      <c r="C483" s="27" t="s">
        <v>105</v>
      </c>
      <c r="D483" s="8" t="s">
        <v>440</v>
      </c>
      <c r="E483" s="10" t="n">
        <v>0</v>
      </c>
      <c r="F483" s="10" t="n">
        <v>6</v>
      </c>
    </row>
    <row r="484" customFormat="false" ht="15" hidden="false" customHeight="false" outlineLevel="0" collapsed="false">
      <c r="A484" s="9" t="s">
        <v>307</v>
      </c>
      <c r="B484" s="9" t="s">
        <v>257</v>
      </c>
      <c r="C484" s="27" t="s">
        <v>125</v>
      </c>
      <c r="D484" s="8" t="s">
        <v>465</v>
      </c>
      <c r="E484" s="10" t="n">
        <v>4</v>
      </c>
      <c r="F484" s="10" t="n">
        <v>3</v>
      </c>
    </row>
    <row r="485" customFormat="false" ht="15" hidden="false" customHeight="false" outlineLevel="0" collapsed="false">
      <c r="A485" s="9" t="s">
        <v>307</v>
      </c>
      <c r="B485" s="9" t="s">
        <v>257</v>
      </c>
      <c r="C485" s="27" t="s">
        <v>125</v>
      </c>
      <c r="D485" s="8" t="s">
        <v>466</v>
      </c>
      <c r="E485" s="10" t="n">
        <v>3</v>
      </c>
      <c r="F485" s="10" t="n">
        <v>3</v>
      </c>
    </row>
    <row r="486" customFormat="false" ht="15" hidden="false" customHeight="false" outlineLevel="0" collapsed="false">
      <c r="A486" s="9" t="s">
        <v>307</v>
      </c>
      <c r="B486" s="9" t="s">
        <v>257</v>
      </c>
      <c r="C486" s="27" t="s">
        <v>125</v>
      </c>
      <c r="D486" s="8" t="s">
        <v>467</v>
      </c>
      <c r="E486" s="10" t="n">
        <v>3</v>
      </c>
      <c r="F486" s="10" t="n">
        <v>3</v>
      </c>
    </row>
    <row r="487" customFormat="false" ht="15" hidden="false" customHeight="false" outlineLevel="0" collapsed="false">
      <c r="A487" s="9" t="s">
        <v>307</v>
      </c>
      <c r="B487" s="9" t="s">
        <v>257</v>
      </c>
      <c r="C487" s="27" t="s">
        <v>125</v>
      </c>
      <c r="D487" s="11" t="s">
        <v>468</v>
      </c>
      <c r="E487" s="10" t="n">
        <v>3</v>
      </c>
      <c r="F487" s="10" t="n">
        <v>3</v>
      </c>
    </row>
    <row r="488" customFormat="false" ht="15" hidden="false" customHeight="false" outlineLevel="0" collapsed="false">
      <c r="A488" s="9" t="s">
        <v>307</v>
      </c>
      <c r="B488" s="9" t="s">
        <v>257</v>
      </c>
      <c r="C488" s="27" t="s">
        <v>125</v>
      </c>
      <c r="D488" s="8" t="s">
        <v>469</v>
      </c>
      <c r="E488" s="10" t="n">
        <v>5</v>
      </c>
      <c r="F488" s="10" t="n">
        <v>4</v>
      </c>
    </row>
    <row r="489" customFormat="false" ht="15" hidden="false" customHeight="false" outlineLevel="0" collapsed="false">
      <c r="A489" s="9" t="s">
        <v>307</v>
      </c>
      <c r="B489" s="9" t="s">
        <v>257</v>
      </c>
      <c r="C489" s="27" t="s">
        <v>125</v>
      </c>
      <c r="D489" s="8" t="s">
        <v>470</v>
      </c>
      <c r="E489" s="10" t="n">
        <v>4</v>
      </c>
      <c r="F489" s="10" t="n">
        <v>3</v>
      </c>
    </row>
    <row r="490" customFormat="false" ht="29.85" hidden="false" customHeight="false" outlineLevel="0" collapsed="false">
      <c r="A490" s="9" t="s">
        <v>307</v>
      </c>
      <c r="B490" s="9" t="s">
        <v>257</v>
      </c>
      <c r="C490" s="27" t="s">
        <v>125</v>
      </c>
      <c r="D490" s="8" t="s">
        <v>471</v>
      </c>
      <c r="E490" s="10" t="n">
        <v>6</v>
      </c>
      <c r="F490" s="10" t="n">
        <v>12</v>
      </c>
    </row>
    <row r="491" customFormat="false" ht="29.85" hidden="false" customHeight="false" outlineLevel="0" collapsed="false">
      <c r="A491" s="9" t="s">
        <v>307</v>
      </c>
      <c r="B491" s="9" t="s">
        <v>257</v>
      </c>
      <c r="C491" s="27" t="s">
        <v>125</v>
      </c>
      <c r="D491" s="8" t="s">
        <v>472</v>
      </c>
      <c r="E491" s="10" t="n">
        <v>5</v>
      </c>
      <c r="F491" s="10" t="n">
        <v>8</v>
      </c>
    </row>
    <row r="492" customFormat="false" ht="15" hidden="false" customHeight="false" outlineLevel="0" collapsed="false">
      <c r="A492" s="9" t="s">
        <v>307</v>
      </c>
      <c r="B492" s="9" t="s">
        <v>257</v>
      </c>
      <c r="C492" s="27" t="s">
        <v>125</v>
      </c>
      <c r="D492" s="8" t="s">
        <v>473</v>
      </c>
      <c r="E492" s="10" t="n">
        <v>3</v>
      </c>
      <c r="F492" s="10" t="n">
        <v>2</v>
      </c>
    </row>
    <row r="493" customFormat="false" ht="15" hidden="false" customHeight="false" outlineLevel="0" collapsed="false">
      <c r="A493" s="9" t="s">
        <v>307</v>
      </c>
      <c r="B493" s="9" t="s">
        <v>257</v>
      </c>
      <c r="C493" s="27" t="s">
        <v>125</v>
      </c>
      <c r="D493" s="8" t="s">
        <v>474</v>
      </c>
      <c r="E493" s="10" t="n">
        <v>4</v>
      </c>
      <c r="F493" s="10" t="n">
        <v>4</v>
      </c>
    </row>
    <row r="494" customFormat="false" ht="15" hidden="false" customHeight="false" outlineLevel="0" collapsed="false">
      <c r="A494" s="9" t="s">
        <v>307</v>
      </c>
      <c r="B494" s="9" t="s">
        <v>257</v>
      </c>
      <c r="C494" s="27" t="s">
        <v>125</v>
      </c>
      <c r="D494" s="11" t="s">
        <v>614</v>
      </c>
      <c r="E494" s="10" t="n">
        <v>5</v>
      </c>
      <c r="F494" s="10" t="n">
        <v>5</v>
      </c>
    </row>
    <row r="495" customFormat="false" ht="15" hidden="false" customHeight="false" outlineLevel="0" collapsed="false">
      <c r="A495" s="9" t="s">
        <v>311</v>
      </c>
      <c r="B495" s="9" t="s">
        <v>257</v>
      </c>
      <c r="C495" s="27" t="s">
        <v>125</v>
      </c>
      <c r="D495" s="8" t="s">
        <v>465</v>
      </c>
      <c r="E495" s="10" t="n">
        <v>4</v>
      </c>
      <c r="F495" s="10" t="n">
        <v>3</v>
      </c>
    </row>
    <row r="496" customFormat="false" ht="15" hidden="false" customHeight="false" outlineLevel="0" collapsed="false">
      <c r="A496" s="9" t="s">
        <v>311</v>
      </c>
      <c r="B496" s="9" t="s">
        <v>257</v>
      </c>
      <c r="C496" s="27" t="s">
        <v>125</v>
      </c>
      <c r="D496" s="8" t="s">
        <v>466</v>
      </c>
      <c r="E496" s="10" t="n">
        <v>3</v>
      </c>
      <c r="F496" s="10" t="n">
        <v>3</v>
      </c>
    </row>
    <row r="497" customFormat="false" ht="15" hidden="false" customHeight="false" outlineLevel="0" collapsed="false">
      <c r="A497" s="9" t="s">
        <v>311</v>
      </c>
      <c r="B497" s="9" t="s">
        <v>257</v>
      </c>
      <c r="C497" s="27" t="s">
        <v>125</v>
      </c>
      <c r="D497" s="8" t="s">
        <v>467</v>
      </c>
      <c r="E497" s="10" t="n">
        <v>3</v>
      </c>
      <c r="F497" s="10" t="n">
        <v>3</v>
      </c>
    </row>
    <row r="498" customFormat="false" ht="15" hidden="false" customHeight="false" outlineLevel="0" collapsed="false">
      <c r="A498" s="9" t="s">
        <v>311</v>
      </c>
      <c r="B498" s="9" t="s">
        <v>257</v>
      </c>
      <c r="C498" s="27" t="s">
        <v>125</v>
      </c>
      <c r="D498" s="11" t="s">
        <v>468</v>
      </c>
      <c r="E498" s="10" t="n">
        <v>3</v>
      </c>
      <c r="F498" s="10" t="n">
        <v>3</v>
      </c>
    </row>
    <row r="499" customFormat="false" ht="15" hidden="false" customHeight="false" outlineLevel="0" collapsed="false">
      <c r="A499" s="9" t="s">
        <v>311</v>
      </c>
      <c r="B499" s="9" t="s">
        <v>257</v>
      </c>
      <c r="C499" s="27" t="s">
        <v>125</v>
      </c>
      <c r="D499" s="8" t="s">
        <v>469</v>
      </c>
      <c r="E499" s="10" t="n">
        <v>5</v>
      </c>
      <c r="F499" s="10" t="n">
        <v>4</v>
      </c>
    </row>
    <row r="500" customFormat="false" ht="15" hidden="false" customHeight="false" outlineLevel="0" collapsed="false">
      <c r="A500" s="9" t="s">
        <v>311</v>
      </c>
      <c r="B500" s="9" t="s">
        <v>257</v>
      </c>
      <c r="C500" s="27" t="s">
        <v>125</v>
      </c>
      <c r="D500" s="8" t="s">
        <v>470</v>
      </c>
      <c r="E500" s="10" t="n">
        <v>4</v>
      </c>
      <c r="F500" s="10" t="n">
        <v>3</v>
      </c>
    </row>
    <row r="501" customFormat="false" ht="29.85" hidden="false" customHeight="false" outlineLevel="0" collapsed="false">
      <c r="A501" s="9" t="s">
        <v>311</v>
      </c>
      <c r="B501" s="9" t="s">
        <v>257</v>
      </c>
      <c r="C501" s="27" t="s">
        <v>125</v>
      </c>
      <c r="D501" s="8" t="s">
        <v>471</v>
      </c>
      <c r="E501" s="10" t="n">
        <v>6</v>
      </c>
      <c r="F501" s="10" t="n">
        <v>12</v>
      </c>
    </row>
    <row r="502" customFormat="false" ht="29.85" hidden="false" customHeight="false" outlineLevel="0" collapsed="false">
      <c r="A502" s="9" t="s">
        <v>311</v>
      </c>
      <c r="B502" s="9" t="s">
        <v>257</v>
      </c>
      <c r="C502" s="27" t="s">
        <v>125</v>
      </c>
      <c r="D502" s="8" t="s">
        <v>472</v>
      </c>
      <c r="E502" s="10" t="n">
        <v>5</v>
      </c>
      <c r="F502" s="10" t="n">
        <v>8</v>
      </c>
    </row>
    <row r="503" customFormat="false" ht="15" hidden="false" customHeight="false" outlineLevel="0" collapsed="false">
      <c r="A503" s="9" t="s">
        <v>311</v>
      </c>
      <c r="B503" s="9" t="s">
        <v>257</v>
      </c>
      <c r="C503" s="27" t="s">
        <v>125</v>
      </c>
      <c r="D503" s="8" t="s">
        <v>473</v>
      </c>
      <c r="E503" s="10" t="n">
        <v>3</v>
      </c>
      <c r="F503" s="10" t="n">
        <v>2</v>
      </c>
    </row>
    <row r="504" customFormat="false" ht="15" hidden="false" customHeight="false" outlineLevel="0" collapsed="false">
      <c r="A504" s="9" t="s">
        <v>311</v>
      </c>
      <c r="B504" s="9" t="s">
        <v>257</v>
      </c>
      <c r="C504" s="27" t="s">
        <v>125</v>
      </c>
      <c r="D504" s="8" t="s">
        <v>474</v>
      </c>
      <c r="E504" s="10" t="n">
        <v>4</v>
      </c>
      <c r="F504" s="10" t="n">
        <v>4</v>
      </c>
    </row>
    <row r="505" customFormat="false" ht="15" hidden="false" customHeight="false" outlineLevel="0" collapsed="false">
      <c r="A505" s="9" t="s">
        <v>314</v>
      </c>
      <c r="B505" s="9" t="s">
        <v>257</v>
      </c>
      <c r="C505" s="27" t="s">
        <v>125</v>
      </c>
      <c r="D505" s="8" t="s">
        <v>615</v>
      </c>
      <c r="E505" s="10" t="n">
        <v>3</v>
      </c>
      <c r="F505" s="10" t="n">
        <v>3</v>
      </c>
    </row>
    <row r="506" customFormat="false" ht="15" hidden="false" customHeight="false" outlineLevel="0" collapsed="false">
      <c r="A506" s="9" t="s">
        <v>314</v>
      </c>
      <c r="B506" s="9" t="s">
        <v>257</v>
      </c>
      <c r="C506" s="27" t="s">
        <v>125</v>
      </c>
      <c r="D506" s="8" t="s">
        <v>616</v>
      </c>
      <c r="E506" s="10" t="n">
        <v>5</v>
      </c>
      <c r="F506" s="10" t="n">
        <v>5</v>
      </c>
    </row>
    <row r="507" customFormat="false" ht="15" hidden="false" customHeight="false" outlineLevel="0" collapsed="false">
      <c r="A507" s="9" t="s">
        <v>314</v>
      </c>
      <c r="B507" s="9" t="s">
        <v>257</v>
      </c>
      <c r="C507" s="27" t="s">
        <v>125</v>
      </c>
      <c r="D507" s="8" t="s">
        <v>617</v>
      </c>
      <c r="E507" s="10" t="n">
        <v>6</v>
      </c>
      <c r="F507" s="10" t="n">
        <v>6</v>
      </c>
    </row>
    <row r="508" customFormat="false" ht="15" hidden="false" customHeight="false" outlineLevel="0" collapsed="false">
      <c r="A508" s="9" t="s">
        <v>314</v>
      </c>
      <c r="B508" s="9" t="s">
        <v>257</v>
      </c>
      <c r="C508" s="27" t="s">
        <v>125</v>
      </c>
      <c r="D508" s="8" t="s">
        <v>618</v>
      </c>
      <c r="E508" s="10" t="n">
        <v>8</v>
      </c>
      <c r="F508" s="10" t="n">
        <v>12</v>
      </c>
    </row>
    <row r="509" customFormat="false" ht="15" hidden="false" customHeight="false" outlineLevel="0" collapsed="false">
      <c r="A509" s="9" t="s">
        <v>314</v>
      </c>
      <c r="B509" s="9" t="s">
        <v>257</v>
      </c>
      <c r="C509" s="27" t="s">
        <v>125</v>
      </c>
      <c r="D509" s="8" t="s">
        <v>619</v>
      </c>
      <c r="E509" s="10" t="n">
        <v>2</v>
      </c>
      <c r="F509" s="10" t="n">
        <v>5</v>
      </c>
    </row>
    <row r="510" customFormat="false" ht="15" hidden="false" customHeight="false" outlineLevel="0" collapsed="false">
      <c r="A510" s="9" t="s">
        <v>314</v>
      </c>
      <c r="B510" s="9" t="s">
        <v>257</v>
      </c>
      <c r="C510" s="27" t="s">
        <v>125</v>
      </c>
      <c r="D510" s="8" t="s">
        <v>620</v>
      </c>
      <c r="E510" s="10" t="n">
        <v>3</v>
      </c>
      <c r="F510" s="10" t="n">
        <v>2</v>
      </c>
    </row>
    <row r="511" customFormat="false" ht="15" hidden="false" customHeight="false" outlineLevel="0" collapsed="false">
      <c r="A511" s="9" t="s">
        <v>314</v>
      </c>
      <c r="B511" s="9" t="s">
        <v>257</v>
      </c>
      <c r="C511" s="27" t="s">
        <v>125</v>
      </c>
      <c r="D511" s="8" t="s">
        <v>347</v>
      </c>
      <c r="E511" s="10" t="n">
        <v>3</v>
      </c>
      <c r="F511" s="10" t="n">
        <v>2</v>
      </c>
    </row>
    <row r="512" customFormat="false" ht="15" hidden="false" customHeight="false" outlineLevel="0" collapsed="false">
      <c r="A512" s="9" t="s">
        <v>318</v>
      </c>
      <c r="B512" s="9" t="s">
        <v>257</v>
      </c>
      <c r="C512" s="27" t="s">
        <v>125</v>
      </c>
      <c r="D512" s="8" t="s">
        <v>465</v>
      </c>
      <c r="E512" s="10" t="n">
        <v>4</v>
      </c>
      <c r="F512" s="10" t="n">
        <v>3</v>
      </c>
    </row>
    <row r="513" customFormat="false" ht="15" hidden="false" customHeight="false" outlineLevel="0" collapsed="false">
      <c r="A513" s="9" t="s">
        <v>318</v>
      </c>
      <c r="B513" s="9" t="s">
        <v>257</v>
      </c>
      <c r="C513" s="27" t="s">
        <v>125</v>
      </c>
      <c r="D513" s="8" t="s">
        <v>466</v>
      </c>
      <c r="E513" s="10" t="n">
        <v>3</v>
      </c>
      <c r="F513" s="10" t="n">
        <v>3</v>
      </c>
    </row>
    <row r="514" customFormat="false" ht="15" hidden="false" customHeight="false" outlineLevel="0" collapsed="false">
      <c r="A514" s="9" t="s">
        <v>318</v>
      </c>
      <c r="B514" s="9" t="s">
        <v>257</v>
      </c>
      <c r="C514" s="27" t="s">
        <v>125</v>
      </c>
      <c r="D514" s="8" t="s">
        <v>467</v>
      </c>
      <c r="E514" s="10" t="n">
        <v>3</v>
      </c>
      <c r="F514" s="10" t="n">
        <v>3</v>
      </c>
    </row>
    <row r="515" customFormat="false" ht="15" hidden="false" customHeight="false" outlineLevel="0" collapsed="false">
      <c r="A515" s="9" t="s">
        <v>318</v>
      </c>
      <c r="B515" s="9" t="s">
        <v>257</v>
      </c>
      <c r="C515" s="27" t="s">
        <v>125</v>
      </c>
      <c r="D515" s="11" t="s">
        <v>468</v>
      </c>
      <c r="E515" s="10" t="n">
        <v>3</v>
      </c>
      <c r="F515" s="10" t="n">
        <v>3</v>
      </c>
    </row>
    <row r="516" customFormat="false" ht="15" hidden="false" customHeight="false" outlineLevel="0" collapsed="false">
      <c r="A516" s="9" t="s">
        <v>318</v>
      </c>
      <c r="B516" s="9" t="s">
        <v>257</v>
      </c>
      <c r="C516" s="27" t="s">
        <v>125</v>
      </c>
      <c r="D516" s="8" t="s">
        <v>469</v>
      </c>
      <c r="E516" s="10" t="n">
        <v>5</v>
      </c>
      <c r="F516" s="10" t="n">
        <v>4</v>
      </c>
    </row>
    <row r="517" customFormat="false" ht="15" hidden="false" customHeight="false" outlineLevel="0" collapsed="false">
      <c r="A517" s="9" t="s">
        <v>318</v>
      </c>
      <c r="B517" s="9" t="s">
        <v>257</v>
      </c>
      <c r="C517" s="27" t="s">
        <v>125</v>
      </c>
      <c r="D517" s="8" t="s">
        <v>470</v>
      </c>
      <c r="E517" s="10" t="n">
        <v>4</v>
      </c>
      <c r="F517" s="10" t="n">
        <v>3</v>
      </c>
    </row>
    <row r="518" customFormat="false" ht="29.85" hidden="false" customHeight="false" outlineLevel="0" collapsed="false">
      <c r="A518" s="9" t="s">
        <v>318</v>
      </c>
      <c r="B518" s="9" t="s">
        <v>257</v>
      </c>
      <c r="C518" s="27" t="s">
        <v>125</v>
      </c>
      <c r="D518" s="8" t="s">
        <v>471</v>
      </c>
      <c r="E518" s="10" t="n">
        <v>6</v>
      </c>
      <c r="F518" s="10" t="n">
        <v>12</v>
      </c>
    </row>
    <row r="519" customFormat="false" ht="29.85" hidden="false" customHeight="false" outlineLevel="0" collapsed="false">
      <c r="A519" s="9" t="s">
        <v>318</v>
      </c>
      <c r="B519" s="9" t="s">
        <v>257</v>
      </c>
      <c r="C519" s="27" t="s">
        <v>125</v>
      </c>
      <c r="D519" s="8" t="s">
        <v>472</v>
      </c>
      <c r="E519" s="10" t="n">
        <v>5</v>
      </c>
      <c r="F519" s="10" t="n">
        <v>8</v>
      </c>
    </row>
    <row r="520" customFormat="false" ht="15" hidden="false" customHeight="false" outlineLevel="0" collapsed="false">
      <c r="A520" s="9" t="s">
        <v>318</v>
      </c>
      <c r="B520" s="9" t="s">
        <v>257</v>
      </c>
      <c r="C520" s="27" t="s">
        <v>125</v>
      </c>
      <c r="D520" s="8" t="s">
        <v>473</v>
      </c>
      <c r="E520" s="10" t="n">
        <v>3</v>
      </c>
      <c r="F520" s="10" t="n">
        <v>2</v>
      </c>
    </row>
    <row r="521" customFormat="false" ht="15" hidden="false" customHeight="false" outlineLevel="0" collapsed="false">
      <c r="A521" s="9" t="s">
        <v>318</v>
      </c>
      <c r="B521" s="9" t="s">
        <v>257</v>
      </c>
      <c r="C521" s="27" t="s">
        <v>125</v>
      </c>
      <c r="D521" s="8" t="s">
        <v>474</v>
      </c>
      <c r="E521" s="10" t="n">
        <v>4</v>
      </c>
      <c r="F521" s="10" t="n">
        <v>4</v>
      </c>
    </row>
    <row r="522" customFormat="false" ht="15" hidden="false" customHeight="false" outlineLevel="0" collapsed="false">
      <c r="A522" s="9" t="s">
        <v>321</v>
      </c>
      <c r="B522" s="9" t="s">
        <v>257</v>
      </c>
      <c r="C522" s="27" t="s">
        <v>125</v>
      </c>
      <c r="D522" s="8" t="s">
        <v>465</v>
      </c>
      <c r="E522" s="10" t="n">
        <v>4</v>
      </c>
      <c r="F522" s="10" t="n">
        <v>3</v>
      </c>
    </row>
    <row r="523" customFormat="false" ht="15" hidden="false" customHeight="false" outlineLevel="0" collapsed="false">
      <c r="A523" s="9" t="s">
        <v>321</v>
      </c>
      <c r="B523" s="9" t="s">
        <v>257</v>
      </c>
      <c r="C523" s="27" t="s">
        <v>125</v>
      </c>
      <c r="D523" s="8" t="s">
        <v>466</v>
      </c>
      <c r="E523" s="10" t="n">
        <v>3</v>
      </c>
      <c r="F523" s="10" t="n">
        <v>3</v>
      </c>
    </row>
    <row r="524" customFormat="false" ht="15" hidden="false" customHeight="false" outlineLevel="0" collapsed="false">
      <c r="A524" s="9" t="s">
        <v>321</v>
      </c>
      <c r="B524" s="9" t="s">
        <v>257</v>
      </c>
      <c r="C524" s="27" t="s">
        <v>125</v>
      </c>
      <c r="D524" s="8" t="s">
        <v>467</v>
      </c>
      <c r="E524" s="10" t="n">
        <v>3</v>
      </c>
      <c r="F524" s="10" t="n">
        <v>3</v>
      </c>
    </row>
    <row r="525" customFormat="false" ht="15" hidden="false" customHeight="false" outlineLevel="0" collapsed="false">
      <c r="A525" s="9" t="s">
        <v>321</v>
      </c>
      <c r="B525" s="9" t="s">
        <v>257</v>
      </c>
      <c r="C525" s="27" t="s">
        <v>125</v>
      </c>
      <c r="D525" s="11" t="s">
        <v>468</v>
      </c>
      <c r="E525" s="10" t="n">
        <v>3</v>
      </c>
      <c r="F525" s="10" t="n">
        <v>3</v>
      </c>
    </row>
    <row r="526" customFormat="false" ht="15" hidden="false" customHeight="false" outlineLevel="0" collapsed="false">
      <c r="A526" s="9" t="s">
        <v>321</v>
      </c>
      <c r="B526" s="9" t="s">
        <v>257</v>
      </c>
      <c r="C526" s="27" t="s">
        <v>125</v>
      </c>
      <c r="D526" s="8" t="s">
        <v>469</v>
      </c>
      <c r="E526" s="10" t="n">
        <v>5</v>
      </c>
      <c r="F526" s="10" t="n">
        <v>4</v>
      </c>
    </row>
    <row r="527" customFormat="false" ht="15" hidden="false" customHeight="false" outlineLevel="0" collapsed="false">
      <c r="A527" s="9" t="s">
        <v>321</v>
      </c>
      <c r="B527" s="9" t="s">
        <v>257</v>
      </c>
      <c r="C527" s="27" t="s">
        <v>125</v>
      </c>
      <c r="D527" s="8" t="s">
        <v>470</v>
      </c>
      <c r="E527" s="10" t="n">
        <v>4</v>
      </c>
      <c r="F527" s="10" t="n">
        <v>3</v>
      </c>
    </row>
    <row r="528" customFormat="false" ht="29.85" hidden="false" customHeight="false" outlineLevel="0" collapsed="false">
      <c r="A528" s="9" t="s">
        <v>321</v>
      </c>
      <c r="B528" s="9" t="s">
        <v>257</v>
      </c>
      <c r="C528" s="27" t="s">
        <v>125</v>
      </c>
      <c r="D528" s="8" t="s">
        <v>471</v>
      </c>
      <c r="E528" s="10" t="n">
        <v>6</v>
      </c>
      <c r="F528" s="10" t="n">
        <v>12</v>
      </c>
    </row>
    <row r="529" customFormat="false" ht="29.85" hidden="false" customHeight="false" outlineLevel="0" collapsed="false">
      <c r="A529" s="9" t="s">
        <v>321</v>
      </c>
      <c r="B529" s="9" t="s">
        <v>257</v>
      </c>
      <c r="C529" s="27" t="s">
        <v>125</v>
      </c>
      <c r="D529" s="8" t="s">
        <v>472</v>
      </c>
      <c r="E529" s="10" t="n">
        <v>5</v>
      </c>
      <c r="F529" s="10" t="n">
        <v>8</v>
      </c>
    </row>
    <row r="530" customFormat="false" ht="15" hidden="false" customHeight="false" outlineLevel="0" collapsed="false">
      <c r="A530" s="9" t="s">
        <v>321</v>
      </c>
      <c r="B530" s="9" t="s">
        <v>257</v>
      </c>
      <c r="C530" s="27" t="s">
        <v>125</v>
      </c>
      <c r="D530" s="8" t="s">
        <v>473</v>
      </c>
      <c r="E530" s="10" t="n">
        <v>3</v>
      </c>
      <c r="F530" s="10" t="n">
        <v>2</v>
      </c>
    </row>
    <row r="531" customFormat="false" ht="15" hidden="false" customHeight="false" outlineLevel="0" collapsed="false">
      <c r="A531" s="9" t="s">
        <v>321</v>
      </c>
      <c r="B531" s="9" t="s">
        <v>257</v>
      </c>
      <c r="C531" s="27" t="s">
        <v>125</v>
      </c>
      <c r="D531" s="8" t="s">
        <v>474</v>
      </c>
      <c r="E531" s="10" t="n">
        <v>4</v>
      </c>
      <c r="F531" s="10" t="n">
        <v>4</v>
      </c>
    </row>
    <row r="532" customFormat="false" ht="15" hidden="false" customHeight="false" outlineLevel="0" collapsed="false">
      <c r="A532" s="9" t="s">
        <v>286</v>
      </c>
      <c r="B532" s="9" t="s">
        <v>257</v>
      </c>
      <c r="C532" s="27" t="s">
        <v>125</v>
      </c>
      <c r="D532" s="8" t="s">
        <v>465</v>
      </c>
      <c r="E532" s="10" t="n">
        <v>4</v>
      </c>
      <c r="F532" s="10" t="n">
        <v>3</v>
      </c>
    </row>
    <row r="533" customFormat="false" ht="15" hidden="false" customHeight="false" outlineLevel="0" collapsed="false">
      <c r="A533" s="9" t="s">
        <v>286</v>
      </c>
      <c r="B533" s="9" t="s">
        <v>257</v>
      </c>
      <c r="C533" s="27" t="s">
        <v>125</v>
      </c>
      <c r="D533" s="8" t="s">
        <v>466</v>
      </c>
      <c r="E533" s="10" t="n">
        <v>3</v>
      </c>
      <c r="F533" s="10" t="n">
        <v>3</v>
      </c>
    </row>
    <row r="534" customFormat="false" ht="15" hidden="false" customHeight="false" outlineLevel="0" collapsed="false">
      <c r="A534" s="9" t="s">
        <v>286</v>
      </c>
      <c r="B534" s="9" t="s">
        <v>257</v>
      </c>
      <c r="C534" s="27" t="s">
        <v>125</v>
      </c>
      <c r="D534" s="8" t="s">
        <v>467</v>
      </c>
      <c r="E534" s="10" t="n">
        <v>3</v>
      </c>
      <c r="F534" s="10" t="n">
        <v>3</v>
      </c>
    </row>
    <row r="535" customFormat="false" ht="15" hidden="false" customHeight="false" outlineLevel="0" collapsed="false">
      <c r="A535" s="9" t="s">
        <v>286</v>
      </c>
      <c r="B535" s="9" t="s">
        <v>257</v>
      </c>
      <c r="C535" s="27" t="s">
        <v>125</v>
      </c>
      <c r="D535" s="11" t="s">
        <v>468</v>
      </c>
      <c r="E535" s="10" t="n">
        <v>3</v>
      </c>
      <c r="F535" s="10" t="n">
        <v>3</v>
      </c>
    </row>
    <row r="536" customFormat="false" ht="15" hidden="false" customHeight="false" outlineLevel="0" collapsed="false">
      <c r="A536" s="9" t="s">
        <v>286</v>
      </c>
      <c r="B536" s="9" t="s">
        <v>257</v>
      </c>
      <c r="C536" s="27" t="s">
        <v>125</v>
      </c>
      <c r="D536" s="8" t="s">
        <v>469</v>
      </c>
      <c r="E536" s="10" t="n">
        <v>5</v>
      </c>
      <c r="F536" s="10" t="n">
        <v>4</v>
      </c>
    </row>
    <row r="537" customFormat="false" ht="15" hidden="false" customHeight="false" outlineLevel="0" collapsed="false">
      <c r="A537" s="9" t="s">
        <v>286</v>
      </c>
      <c r="B537" s="9" t="s">
        <v>257</v>
      </c>
      <c r="C537" s="27" t="s">
        <v>125</v>
      </c>
      <c r="D537" s="8" t="s">
        <v>470</v>
      </c>
      <c r="E537" s="10" t="n">
        <v>4</v>
      </c>
      <c r="F537" s="10" t="n">
        <v>3</v>
      </c>
    </row>
    <row r="538" customFormat="false" ht="29.85" hidden="false" customHeight="false" outlineLevel="0" collapsed="false">
      <c r="A538" s="9" t="s">
        <v>286</v>
      </c>
      <c r="B538" s="9" t="s">
        <v>257</v>
      </c>
      <c r="C538" s="27" t="s">
        <v>125</v>
      </c>
      <c r="D538" s="8" t="s">
        <v>471</v>
      </c>
      <c r="E538" s="10" t="n">
        <v>6</v>
      </c>
      <c r="F538" s="10" t="n">
        <v>12</v>
      </c>
    </row>
    <row r="539" customFormat="false" ht="29.85" hidden="false" customHeight="false" outlineLevel="0" collapsed="false">
      <c r="A539" s="9" t="s">
        <v>286</v>
      </c>
      <c r="B539" s="9" t="s">
        <v>257</v>
      </c>
      <c r="C539" s="27" t="s">
        <v>125</v>
      </c>
      <c r="D539" s="8" t="s">
        <v>472</v>
      </c>
      <c r="E539" s="10" t="n">
        <v>5</v>
      </c>
      <c r="F539" s="10" t="n">
        <v>8</v>
      </c>
    </row>
    <row r="540" customFormat="false" ht="15" hidden="false" customHeight="false" outlineLevel="0" collapsed="false">
      <c r="A540" s="9" t="s">
        <v>286</v>
      </c>
      <c r="B540" s="9" t="s">
        <v>257</v>
      </c>
      <c r="C540" s="27" t="s">
        <v>125</v>
      </c>
      <c r="D540" s="8" t="s">
        <v>473</v>
      </c>
      <c r="E540" s="10" t="n">
        <v>3</v>
      </c>
      <c r="F540" s="10" t="n">
        <v>2</v>
      </c>
    </row>
    <row r="541" customFormat="false" ht="15" hidden="false" customHeight="false" outlineLevel="0" collapsed="false">
      <c r="A541" s="9" t="s">
        <v>286</v>
      </c>
      <c r="B541" s="9" t="s">
        <v>257</v>
      </c>
      <c r="C541" s="27" t="s">
        <v>125</v>
      </c>
      <c r="D541" s="8" t="s">
        <v>474</v>
      </c>
      <c r="E541" s="10" t="n">
        <v>4</v>
      </c>
      <c r="F541" s="10" t="n">
        <v>4</v>
      </c>
    </row>
    <row r="542" customFormat="false" ht="15" hidden="false" customHeight="false" outlineLevel="0" collapsed="false">
      <c r="A542" s="9" t="s">
        <v>286</v>
      </c>
      <c r="B542" s="9" t="s">
        <v>257</v>
      </c>
      <c r="C542" s="27" t="s">
        <v>125</v>
      </c>
      <c r="D542" s="8" t="s">
        <v>621</v>
      </c>
      <c r="E542" s="10" t="n">
        <v>5</v>
      </c>
      <c r="F542" s="10" t="n">
        <v>5</v>
      </c>
    </row>
    <row r="543" customFormat="false" ht="15" hidden="false" customHeight="false" outlineLevel="0" collapsed="false">
      <c r="A543" s="9" t="s">
        <v>328</v>
      </c>
      <c r="B543" s="27" t="s">
        <v>327</v>
      </c>
      <c r="C543" s="27" t="s">
        <v>327</v>
      </c>
      <c r="D543" s="8" t="s">
        <v>622</v>
      </c>
      <c r="E543" s="10" t="n">
        <v>15</v>
      </c>
      <c r="F543" s="10" t="n">
        <v>15</v>
      </c>
    </row>
    <row r="544" customFormat="false" ht="15" hidden="false" customHeight="false" outlineLevel="0" collapsed="false">
      <c r="A544" s="9" t="s">
        <v>328</v>
      </c>
      <c r="B544" s="27" t="s">
        <v>327</v>
      </c>
      <c r="C544" s="27" t="s">
        <v>327</v>
      </c>
      <c r="D544" s="8" t="s">
        <v>623</v>
      </c>
      <c r="E544" s="10" t="n">
        <v>15</v>
      </c>
      <c r="F544" s="10" t="n">
        <v>15</v>
      </c>
    </row>
    <row r="545" customFormat="false" ht="15" hidden="false" customHeight="false" outlineLevel="0" collapsed="false">
      <c r="A545" s="9" t="s">
        <v>328</v>
      </c>
      <c r="B545" s="27" t="s">
        <v>327</v>
      </c>
      <c r="C545" s="27" t="s">
        <v>327</v>
      </c>
      <c r="D545" s="8" t="s">
        <v>624</v>
      </c>
      <c r="E545" s="10" t="n">
        <v>12</v>
      </c>
      <c r="F545" s="10" t="n">
        <v>12</v>
      </c>
    </row>
    <row r="546" customFormat="false" ht="15" hidden="false" customHeight="false" outlineLevel="0" collapsed="false">
      <c r="A546" s="9" t="s">
        <v>328</v>
      </c>
      <c r="B546" s="27" t="s">
        <v>327</v>
      </c>
      <c r="C546" s="27" t="s">
        <v>327</v>
      </c>
      <c r="D546" s="8" t="s">
        <v>625</v>
      </c>
      <c r="E546" s="10" t="n">
        <v>8</v>
      </c>
      <c r="F546" s="10" t="n">
        <v>8</v>
      </c>
    </row>
  </sheetData>
  <autoFilter ref="A1:F5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109.18"/>
  </cols>
  <sheetData>
    <row r="1" customFormat="false" ht="15" hidden="false" customHeight="false" outlineLevel="0" collapsed="false">
      <c r="A1" s="5" t="s">
        <v>626</v>
      </c>
      <c r="B1" s="5" t="s">
        <v>627</v>
      </c>
    </row>
    <row r="2" customFormat="false" ht="15" hidden="false" customHeight="false" outlineLevel="0" collapsed="false">
      <c r="A2" s="28" t="s">
        <v>628</v>
      </c>
      <c r="B2" s="2" t="s">
        <v>629</v>
      </c>
    </row>
    <row r="3" customFormat="false" ht="15" hidden="false" customHeight="false" outlineLevel="0" collapsed="false">
      <c r="A3" s="28" t="s">
        <v>219</v>
      </c>
      <c r="B3" s="2" t="s">
        <v>630</v>
      </c>
    </row>
    <row r="4" customFormat="false" ht="15" hidden="false" customHeight="false" outlineLevel="0" collapsed="false">
      <c r="A4" s="28" t="s">
        <v>631</v>
      </c>
      <c r="B4" s="2" t="s">
        <v>632</v>
      </c>
    </row>
    <row r="5" customFormat="false" ht="15" hidden="false" customHeight="false" outlineLevel="0" collapsed="false">
      <c r="A5" s="28" t="s">
        <v>633</v>
      </c>
      <c r="B5" s="29" t="s">
        <v>634</v>
      </c>
    </row>
    <row r="6" customFormat="false" ht="15" hidden="false" customHeight="false" outlineLevel="0" collapsed="false">
      <c r="A6" s="28" t="s">
        <v>115</v>
      </c>
      <c r="B6" s="2" t="s">
        <v>635</v>
      </c>
    </row>
    <row r="7" customFormat="false" ht="15" hidden="false" customHeight="false" outlineLevel="0" collapsed="false">
      <c r="A7" s="28" t="s">
        <v>636</v>
      </c>
      <c r="B7" s="29" t="s">
        <v>637</v>
      </c>
    </row>
    <row r="8" customFormat="false" ht="15" hidden="false" customHeight="false" outlineLevel="0" collapsed="false">
      <c r="A8" s="28" t="s">
        <v>638</v>
      </c>
      <c r="B8" s="29" t="s">
        <v>639</v>
      </c>
    </row>
    <row r="9" customFormat="false" ht="15" hidden="false" customHeight="false" outlineLevel="0" collapsed="false">
      <c r="A9" s="28" t="s">
        <v>640</v>
      </c>
      <c r="B9" s="2" t="s">
        <v>641</v>
      </c>
    </row>
    <row r="10" customFormat="false" ht="15" hidden="false" customHeight="false" outlineLevel="0" collapsed="false">
      <c r="A10" s="28" t="s">
        <v>642</v>
      </c>
      <c r="B10" s="2" t="s">
        <v>643</v>
      </c>
    </row>
    <row r="11" customFormat="false" ht="15" hidden="false" customHeight="false" outlineLevel="0" collapsed="false">
      <c r="A11" s="28" t="s">
        <v>644</v>
      </c>
      <c r="B11" s="2" t="s">
        <v>645</v>
      </c>
    </row>
    <row r="12" customFormat="false" ht="15" hidden="false" customHeight="false" outlineLevel="0" collapsed="false">
      <c r="A12" s="28" t="s">
        <v>130</v>
      </c>
      <c r="B12" s="29" t="s">
        <v>646</v>
      </c>
    </row>
    <row r="13" customFormat="false" ht="15" hidden="false" customHeight="false" outlineLevel="0" collapsed="false">
      <c r="A13" s="28" t="s">
        <v>647</v>
      </c>
      <c r="B13" s="2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2026-10-09T05:30:10Z</dcterms:created>
  <dc:creator>openpyxl</dc:creator>
  <dc:description/>
  <dc:language>ko-KR</dc:language>
  <cp:lastModifiedBy/>
  <dcterms:modified xsi:type="dcterms:W3CDTF">2026-10-09T05:30:10Z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