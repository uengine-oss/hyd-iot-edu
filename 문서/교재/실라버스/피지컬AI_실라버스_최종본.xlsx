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684752491b4e33" /></Relationships>
</file>

<file path=xl/workbook.xml><?xml version="1.0" encoding="utf-8"?>
<x:workbook xmlns:x="http://schemas.openxmlformats.org/spreadsheetml/2006/main">
  <x:sheets>
    <x:sheet xmlns:r="http://schemas.openxmlformats.org/officeDocument/2006/relationships" name="통합반 온라인 44H" sheetId="1" r:id="Rc10916e20a7c4c8d"/>
    <x:sheet xmlns:r="http://schemas.openxmlformats.org/officeDocument/2006/relationships" name="실전반 온라인 32H" sheetId="2" r:id="R8c64c90e0aba4c4b"/>
    <x:sheet xmlns:r="http://schemas.openxmlformats.org/officeDocument/2006/relationships" name="통합반 오프라인 정규 10회" sheetId="3" r:id="R4bd41221b5ac405f"/>
    <x:sheet xmlns:r="http://schemas.openxmlformats.org/officeDocument/2006/relationships" name="실전반 오프라인 정규 9회" sheetId="4" r:id="Rea900fb1e68f4ad8"/>
  </x:sheets>
</x:workbook>
</file>

<file path=xl/sharedStrings.xml><?xml version="1.0" encoding="utf-8"?>
<x:sst xmlns:x="http://schemas.openxmlformats.org/spreadsheetml/2006/main"/>
</file>

<file path=xl/styles.xml><?xml version="1.0" encoding="utf-8"?>
<x:styleSheet xmlns:x="http://schemas.openxmlformats.org/spreadsheetml/2006/main">
  <x:fonts count="21">
    <x:font>
      <x:sz val="11"/>
      <x:name val="Carlito"/>
    </x:font>
    <x:font>
      <x:sz val="10.5"/>
      <x:color rgb="FF24394C"/>
      <x:name val="맑은 고딕"/>
    </x:font>
    <x:font>
      <x:b/>
      <x:sz val="15"/>
      <x:color rgb="FFFFFFFF"/>
      <x:name val="맑은 고딕"/>
    </x:font>
    <x:font>
      <x:sz val="10"/>
      <x:color rgb="FF526A7C"/>
      <x:name val="맑은 고딕"/>
    </x:font>
    <x:font>
      <x:b/>
      <x:sz val="11"/>
      <x:color rgb="FF173C57"/>
      <x:name val="맑은 고딕"/>
    </x:font>
    <x:font>
      <x:b/>
      <x:sz val="12"/>
      <x:color rgb="FF173C57"/>
      <x:name val="맑은 고딕"/>
    </x:font>
    <x:font>
      <x:b/>
      <x:sz val="10.5"/>
      <x:color rgb="FFFFFFFF"/>
      <x:name val="맑은 고딕"/>
    </x:font>
    <x:font>
      <x:b/>
      <x:sz val="10"/>
      <x:color rgb="FF245D87"/>
      <x:name val="맑은 고딕"/>
    </x:font>
    <x:font>
      <x:b/>
      <x:sz val="10.5"/>
      <x:color rgb="FF24394C"/>
      <x:name val="맑은 고딕"/>
    </x:font>
    <x:font>
      <x:b/>
      <x:sz val="10"/>
      <x:color rgb="FF1B694B"/>
      <x:name val="맑은 고딕"/>
    </x:font>
    <x:font>
      <x:b/>
      <x:sz val="10.5"/>
      <x:color rgb="FF173C57"/>
      <x:name val="맑은 고딕"/>
    </x:font>
    <x:font>
      <x:b/>
      <x:sz val="10"/>
      <x:color rgb="FFFFFFFF"/>
      <x:name val="맑은 고딕"/>
    </x:font>
    <x:font>
      <x:b/>
      <x:sz val="10"/>
      <x:color rgb="FF0B3660"/>
      <x:name val="맑은 고딕"/>
    </x:font>
    <x:font>
      <x:sz val="10"/>
      <x:color rgb="FF203244"/>
      <x:name val="맑은 고딕"/>
    </x:font>
    <x:font>
      <x:b/>
      <x:sz val="10"/>
      <x:color rgb="FF203244"/>
      <x:name val="맑은 고딕"/>
    </x:font>
    <x:font>
      <x:sz val="10"/>
      <x:color rgb="FF0B3660"/>
      <x:name val="맑은 고딕"/>
    </x:font>
    <x:font>
      <x:sz val="10"/>
      <x:color rgb="FF145A46"/>
      <x:name val="맑은 고딕"/>
    </x:font>
    <x:font>
      <x:sz val="10"/>
      <x:color rgb="FF536679"/>
      <x:name val="맑은 고딕"/>
    </x:font>
    <x:font>
      <x:sz val="11"/>
      <x:color rgb="FF24364B"/>
      <x:name val="맑은 고딕"/>
    </x:font>
    <x:font>
      <x:b/>
      <x:sz val="16"/>
      <x:color rgb="FFFFFFFF"/>
      <x:name val="맑은 고딕"/>
    </x:font>
    <x:font>
      <x:b/>
      <x:sz val="12"/>
      <x:color rgb="FFFFFFFF"/>
      <x:name val="맑은 고딕"/>
    </x:font>
  </x:fonts>
  <x:fills count="19">
    <x:fill>
      <x:patternFill patternType="none"/>
    </x:fill>
    <x:fill>
      <x:patternFill patternType="gray125"/>
    </x:fill>
    <x:fill>
      <x:patternFill patternType="solid">
        <x:fgColor rgb="FF173C57"/>
      </x:patternFill>
    </x:fill>
    <x:fill>
      <x:patternFill patternType="solid">
        <x:fgColor rgb="FFF0F5F9"/>
      </x:patternFill>
    </x:fill>
    <x:fill>
      <x:patternFill patternType="solid">
        <x:fgColor rgb="FFDBEAF5"/>
      </x:patternFill>
    </x:fill>
    <x:fill>
      <x:patternFill patternType="solid">
        <x:fgColor rgb="FF244E69"/>
      </x:patternFill>
    </x:fill>
    <x:fill>
      <x:patternFill patternType="solid">
        <x:fgColor rgb="FFFFFFFF"/>
      </x:patternFill>
    </x:fill>
    <x:fill>
      <x:patternFill patternType="solid">
        <x:fgColor rgb="FFE6F0FA"/>
      </x:patternFill>
    </x:fill>
    <x:fill>
      <x:patternFill patternType="solid">
        <x:fgColor rgb="FFF6F8FB"/>
      </x:patternFill>
    </x:fill>
    <x:fill>
      <x:patternFill patternType="solid">
        <x:fgColor rgb="FFE6F3EA"/>
      </x:patternFill>
    </x:fill>
    <x:fill>
      <x:patternFill patternType="solid">
        <x:fgColor rgb="FFE5EFF8"/>
      </x:patternFill>
    </x:fill>
    <x:fill>
      <x:patternFill patternType="solid">
        <x:fgColor rgb="FF16273E"/>
      </x:patternFill>
    </x:fill>
    <x:fill>
      <x:patternFill patternType="solid">
        <x:fgColor rgb="FFE9F0F7"/>
      </x:patternFill>
    </x:fill>
    <x:fill>
      <x:patternFill patternType="solid">
        <x:fgColor rgb="FFFFFFFF"/>
      </x:patternFill>
    </x:fill>
    <x:fill>
      <x:patternFill patternType="solid">
        <x:fgColor rgb="FFF3F7FB"/>
      </x:patternFill>
    </x:fill>
    <x:fill>
      <x:patternFill patternType="solid">
        <x:fgColor rgb="FF173C57"/>
      </x:patternFill>
    </x:fill>
    <x:fill>
      <x:patternFill patternType="solid">
        <x:fgColor rgb="FFE6EFF5"/>
      </x:patternFill>
    </x:fill>
    <x:fill>
      <x:patternFill patternType="solid">
        <x:fgColor rgb="FFFFFFFF"/>
      </x:patternFill>
    </x:fill>
    <x:fill>
      <x:patternFill patternType="solid">
        <x:fgColor rgb="FFF3F7FA"/>
      </x:patternFill>
    </x:fill>
  </x:fills>
  <x:borders count="1">
    <x:border/>
  </x:borders>
  <x:cellStyleXfs count="1">
    <x:xf numFmtId="0" fontId="0" fillId="0" borderId="0"/>
  </x:cellStyleXfs>
  <x:cellXfs count="145">
    <x:xf numFmtId="0" fontId="0" fillId="0" borderId="0" xfId="0"/>
    <x:xf numFmtId="0" fontId="0" fillId="0" borderId="0" xfId="0"/>
    <x:xf numFmtId="0" fontId="1" fillId="0" borderId="0" xfId="0"/>
    <x:xf numFmtId="0" fontId="1" fillId="0" borderId="0" xfId="0" applyAlignment="1">
      <x:alignment vertical="center"/>
    </x:xf>
    <x:xf numFmtId="0" fontId="1" fillId="2" borderId="0" xfId="0" applyAlignment="1">
      <x:alignment vertical="center"/>
    </x:xf>
    <x:xf numFmtId="0" fontId="2" fillId="2" borderId="0" xfId="0" applyAlignment="1">
      <x:alignment vertical="center"/>
    </x:xf>
    <x:xf numFmtId="0" fontId="2" fillId="2" borderId="0" xfId="0" applyAlignment="1">
      <x:alignment horizontal="left" vertical="center"/>
    </x:xf>
    <x:xf numFmtId="0" fontId="1" fillId="3" borderId="0" xfId="0" applyAlignment="1">
      <x:alignment vertical="center"/>
    </x:xf>
    <x:xf numFmtId="0" fontId="3" fillId="3" borderId="0" xfId="0" applyAlignment="1">
      <x:alignment vertical="center"/>
    </x:xf>
    <x:xf numFmtId="0" fontId="4" fillId="3" borderId="0" xfId="0" applyAlignment="1">
      <x:alignment vertical="center"/>
    </x:xf>
    <x:xf numFmtId="0" fontId="4" fillId="3" borderId="0" xfId="0" applyAlignment="1">
      <x:alignment horizontal="center" vertical="center"/>
    </x:xf>
    <x:xf numFmtId="0" fontId="1" fillId="4" borderId="0" xfId="0" applyAlignment="1">
      <x:alignment vertical="center"/>
    </x:xf>
    <x:xf numFmtId="0" fontId="5" fillId="4" borderId="0" xfId="0" applyAlignment="1">
      <x:alignment vertical="center"/>
    </x:xf>
    <x:xf numFmtId="0" fontId="4" fillId="4" borderId="0" xfId="0" applyAlignment="1">
      <x:alignment vertical="center"/>
    </x:xf>
    <x:xf numFmtId="0" fontId="4" fillId="4" borderId="0" xfId="0" applyAlignment="1">
      <x:alignment horizontal="center" vertical="center"/>
    </x:xf>
    <x:xf numFmtId="0" fontId="1" fillId="5" borderId="0" xfId="0" applyAlignment="1">
      <x:alignment vertical="center"/>
    </x:xf>
    <x:xf numFmtId="0" fontId="6" fillId="5" borderId="0" xfId="0" applyAlignment="1">
      <x:alignment vertical="center"/>
    </x:xf>
    <x:xf numFmtId="0" fontId="6" fillId="5" borderId="0" xfId="0" applyAlignment="1">
      <x:alignment horizontal="center" vertical="center"/>
    </x:xf>
    <x:xf numFmtId="0" fontId="1" fillId="6" borderId="0" xfId="0" applyAlignment="1">
      <x:alignment vertical="center"/>
    </x:xf>
    <x:xf numFmtId="0" fontId="1" fillId="6" borderId="0" xfId="0" applyAlignment="1">
      <x:alignment vertical="center" wrapText="1"/>
    </x:xf>
    <x:xf numFmtId="0" fontId="1" fillId="7" borderId="0" xfId="0" applyAlignment="1">
      <x:alignment vertical="center" wrapText="1"/>
    </x:xf>
    <x:xf numFmtId="0" fontId="7" fillId="7" borderId="0" xfId="0" applyAlignment="1">
      <x:alignment vertical="center" wrapText="1"/>
    </x:xf>
    <x:xf numFmtId="0" fontId="7" fillId="7" borderId="0" xfId="0" applyAlignment="1">
      <x:alignment horizontal="center" vertical="center" wrapText="1"/>
    </x:xf>
    <x:xf numFmtId="0" fontId="8" fillId="6" borderId="0" xfId="0" applyAlignment="1">
      <x:alignment vertical="center" wrapText="1"/>
    </x:xf>
    <x:xf numFmtId="0" fontId="4" fillId="6" borderId="0" xfId="0" applyAlignment="1">
      <x:alignment vertical="center" wrapText="1"/>
    </x:xf>
    <x:xf numFmtId="0" fontId="4" fillId="6" borderId="0" xfId="0" applyAlignment="1">
      <x:alignment horizontal="center" vertical="center" wrapText="1"/>
    </x:xf>
    <x:xf numFmtId="0" fontId="1" fillId="8" borderId="0" xfId="0" applyAlignment="1">
      <x:alignment vertical="center"/>
    </x:xf>
    <x:xf numFmtId="0" fontId="1" fillId="8" borderId="0" xfId="0" applyAlignment="1">
      <x:alignment vertical="center" wrapText="1"/>
    </x:xf>
    <x:xf numFmtId="0" fontId="1" fillId="9" borderId="0" xfId="0" applyAlignment="1">
      <x:alignment vertical="center" wrapText="1"/>
    </x:xf>
    <x:xf numFmtId="0" fontId="9" fillId="9" borderId="0" xfId="0" applyAlignment="1">
      <x:alignment vertical="center" wrapText="1"/>
    </x:xf>
    <x:xf numFmtId="0" fontId="9" fillId="9" borderId="0" xfId="0" applyAlignment="1">
      <x:alignment horizontal="center" vertical="center" wrapText="1"/>
    </x:xf>
    <x:xf numFmtId="0" fontId="8" fillId="8" borderId="0" xfId="0" applyAlignment="1">
      <x:alignment vertical="center" wrapText="1"/>
    </x:xf>
    <x:xf numFmtId="0" fontId="4" fillId="8" borderId="0" xfId="0" applyAlignment="1">
      <x:alignment vertical="center" wrapText="1"/>
    </x:xf>
    <x:xf numFmtId="0" fontId="4" fillId="8" borderId="0" xfId="0" applyAlignment="1">
      <x:alignment horizontal="center" vertical="center" wrapText="1"/>
    </x:xf>
    <x:xf numFmtId="0" fontId="1" fillId="10" borderId="0" xfId="0" applyAlignment="1">
      <x:alignment vertical="center"/>
    </x:xf>
    <x:xf numFmtId="0" fontId="10" fillId="10" borderId="0" xfId="0" applyAlignment="1">
      <x:alignment vertical="center"/>
    </x:xf>
    <x:xf numFmtId="0" fontId="4" fillId="10" borderId="0" xfId="0" applyAlignment="1">
      <x:alignment vertical="center"/>
    </x:xf>
    <x:xf numFmtId="0" fontId="4" fillId="10" borderId="0" xfId="0" applyAlignment="1">
      <x:alignment horizontal="center" vertical="center"/>
    </x:xf>
    <x:xf numFmtId="0" fontId="10" fillId="10" borderId="0" xfId="0" applyAlignment="1">
      <x:alignment horizontal="center" vertical="center"/>
    </x:xf>
    <x:xf numFmtId="0" fontId="5" fillId="10" borderId="0" xfId="0" applyAlignment="1">
      <x:alignment vertical="center"/>
    </x:xf>
    <x:xf numFmtId="0" fontId="0" fillId="11" borderId="0" xfId="0"/>
    <x:xf numFmtId="0" fontId="11" fillId="11" borderId="0" xfId="0"/>
    <x:xf numFmtId="0" fontId="11" fillId="11" borderId="0" xfId="0" applyAlignment="1">
      <x:alignment wrapText="1"/>
    </x:xf>
    <x:xf numFmtId="0" fontId="11" fillId="11" borderId="0" xfId="0" applyAlignment="1">
      <x:alignment vertical="center" wrapText="1"/>
    </x:xf>
    <x:xf numFmtId="0" fontId="11" fillId="11" borderId="0" xfId="0" applyAlignment="1">
      <x:alignment horizontal="center" vertical="center" wrapText="1"/>
    </x:xf>
    <x:xf numFmtId="0" fontId="0" fillId="12" borderId="0" xfId="0"/>
    <x:xf numFmtId="0" fontId="12" fillId="12" borderId="0" xfId="0"/>
    <x:xf numFmtId="0" fontId="12" fillId="12" borderId="0" xfId="0" applyAlignment="1">
      <x:alignment wrapText="1"/>
    </x:xf>
    <x:xf numFmtId="0" fontId="12" fillId="12" borderId="0" xfId="0" applyAlignment="1">
      <x:alignment horizontal="center" wrapText="1"/>
    </x:xf>
    <x:xf numFmtId="0" fontId="12" fillId="12" borderId="0" xfId="0" applyAlignment="1">
      <x:alignment horizontal="center" vertical="center" wrapText="1"/>
    </x:xf>
    <x:xf numFmtId="0" fontId="0" fillId="13" borderId="0" xfId="0"/>
    <x:xf numFmtId="0" fontId="13" fillId="13" borderId="0" xfId="0"/>
    <x:xf numFmtId="0" fontId="13" fillId="13" borderId="0" xfId="0" applyAlignment="1">
      <x:alignment wrapText="1"/>
    </x:xf>
    <x:xf numFmtId="0" fontId="13" fillId="13" borderId="0" xfId="0" applyAlignment="1">
      <x:alignment vertical="center" wrapText="1"/>
    </x:xf>
    <x:xf numFmtId="0" fontId="13" fillId="13" borderId="0" xfId="0" applyAlignment="1">
      <x:alignment horizontal="center" vertical="center" wrapText="1"/>
    </x:xf>
    <x:xf numFmtId="0" fontId="14" fillId="13" borderId="0" xfId="0" applyAlignment="1">
      <x:alignment vertical="center" wrapText="1"/>
    </x:xf>
    <x:xf numFmtId="0" fontId="15" fillId="13" borderId="0" xfId="0" applyAlignment="1">
      <x:alignment horizontal="center" vertical="center" wrapText="1"/>
    </x:xf>
    <x:xf numFmtId="0" fontId="0" fillId="14" borderId="0" xfId="0"/>
    <x:xf numFmtId="0" fontId="13" fillId="14" borderId="0" xfId="0"/>
    <x:xf numFmtId="0" fontId="13" fillId="14" borderId="0" xfId="0" applyAlignment="1">
      <x:alignment wrapText="1"/>
    </x:xf>
    <x:xf numFmtId="0" fontId="13" fillId="14" borderId="0" xfId="0" applyAlignment="1">
      <x:alignment vertical="center" wrapText="1"/>
    </x:xf>
    <x:xf numFmtId="0" fontId="13" fillId="14" borderId="0" xfId="0" applyAlignment="1">
      <x:alignment horizontal="center" vertical="center" wrapText="1"/>
    </x:xf>
    <x:xf numFmtId="0" fontId="14" fillId="14" borderId="0" xfId="0" applyAlignment="1">
      <x:alignment vertical="center" wrapText="1"/>
    </x:xf>
    <x:xf numFmtId="0" fontId="15" fillId="14" borderId="0" xfId="0" applyAlignment="1">
      <x:alignment horizontal="center" vertical="center" wrapText="1"/>
    </x:xf>
    <x:xf numFmtId="0" fontId="16" fillId="13" borderId="0" xfId="0" applyAlignment="1">
      <x:alignment horizontal="center" vertical="center" wrapText="1"/>
    </x:xf>
    <x:xf numFmtId="0" fontId="16" fillId="14" borderId="0" xfId="0" applyAlignment="1">
      <x:alignment horizontal="center" vertical="center" wrapText="1"/>
    </x:xf>
    <x:xf numFmtId="0" fontId="12" fillId="12" borderId="0" xfId="0" applyAlignment="1">
      <x:alignment vertical="center" wrapText="1"/>
    </x:xf>
    <x:xf numFmtId="0" fontId="17" fillId="14" borderId="0" xfId="0"/>
    <x:xf numFmtId="0" fontId="17" fillId="14" borderId="0" xfId="0" applyAlignment="1">
      <x:alignment wrapText="1"/>
    </x:xf>
    <x:xf numFmtId="0" fontId="17" fillId="14" borderId="0" xfId="0" applyAlignment="1">
      <x:alignment vertical="center" wrapText="1"/>
    </x:xf>
    <x:xf numFmtId="0" fontId="2" fillId="13" borderId="0" xfId="0" applyAlignment="1">
      <x:alignment horizontal="left" vertical="center"/>
    </x:xf>
    <x:xf numFmtId="0" fontId="3" fillId="13" borderId="0" xfId="0" applyAlignment="1">
      <x:alignment vertical="center"/>
    </x:xf>
    <x:xf numFmtId="0" fontId="4" fillId="13" borderId="0" xfId="0" applyAlignment="1">
      <x:alignment horizontal="center" vertical="center"/>
    </x:xf>
    <x:xf numFmtId="0" fontId="1" fillId="13" borderId="0" xfId="0" applyAlignment="1">
      <x:alignment vertical="center"/>
    </x:xf>
    <x:xf numFmtId="0" fontId="5" fillId="13" borderId="0" xfId="0" applyAlignment="1">
      <x:alignment vertical="center"/>
    </x:xf>
    <x:xf numFmtId="0" fontId="6" fillId="13" borderId="0" xfId="0" applyAlignment="1">
      <x:alignment horizontal="center" vertical="center"/>
    </x:xf>
    <x:xf numFmtId="0" fontId="7" fillId="13" borderId="0" xfId="0" applyAlignment="1">
      <x:alignment horizontal="center" vertical="center" wrapText="1"/>
    </x:xf>
    <x:xf numFmtId="0" fontId="8" fillId="13" borderId="0" xfId="0" applyAlignment="1">
      <x:alignment vertical="center" wrapText="1"/>
    </x:xf>
    <x:xf numFmtId="0" fontId="1" fillId="13" borderId="0" xfId="0" applyAlignment="1">
      <x:alignment vertical="center" wrapText="1"/>
    </x:xf>
    <x:xf numFmtId="0" fontId="4" fillId="13" borderId="0" xfId="0" applyAlignment="1">
      <x:alignment horizontal="center" vertical="center" wrapText="1"/>
    </x:xf>
    <x:xf numFmtId="0" fontId="9" fillId="13" borderId="0" xfId="0" applyAlignment="1">
      <x:alignment horizontal="center" vertical="center" wrapText="1"/>
    </x:xf>
    <x:xf numFmtId="0" fontId="10" fillId="13" borderId="0" xfId="0" applyAlignment="1">
      <x:alignment vertical="center"/>
    </x:xf>
    <x:xf numFmtId="0" fontId="2" fillId="11" borderId="0" xfId="0" applyAlignment="1">
      <x:alignment horizontal="left" vertical="center"/>
    </x:xf>
    <x:xf numFmtId="0" fontId="11" fillId="11" borderId="0" xfId="0" applyAlignment="1">
      <x:alignment horizontal="left" vertical="center"/>
    </x:xf>
    <x:xf numFmtId="0" fontId="11" fillId="11" borderId="0" xfId="0" applyAlignment="1">
      <x:alignment horizontal="left" vertical="center" wrapText="1"/>
    </x:xf>
    <x:xf numFmtId="0" fontId="3" fillId="12" borderId="0" xfId="0" applyAlignment="1">
      <x:alignment vertical="center"/>
    </x:xf>
    <x:xf numFmtId="0" fontId="4" fillId="12" borderId="0" xfId="0" applyAlignment="1">
      <x:alignment horizontal="center" vertical="center"/>
    </x:xf>
    <x:xf numFmtId="0" fontId="12" fillId="12" borderId="0" xfId="0" applyAlignment="1">
      <x:alignment vertical="center"/>
    </x:xf>
    <x:xf numFmtId="0" fontId="12" fillId="12" borderId="0" xfId="0" applyAlignment="1">
      <x:alignment horizontal="center" vertical="center"/>
    </x:xf>
    <x:xf numFmtId="0" fontId="5" fillId="11" borderId="0" xfId="0" applyAlignment="1">
      <x:alignment vertical="center"/>
    </x:xf>
    <x:xf numFmtId="0" fontId="4" fillId="11" borderId="0" xfId="0" applyAlignment="1">
      <x:alignment horizontal="center" vertical="center"/>
    </x:xf>
    <x:xf numFmtId="0" fontId="11" fillId="11" borderId="0" xfId="0" applyAlignment="1">
      <x:alignment vertical="center"/>
    </x:xf>
    <x:xf numFmtId="0" fontId="11" fillId="11" borderId="0" xfId="0" applyAlignment="1">
      <x:alignment horizontal="center" vertical="center"/>
    </x:xf>
    <x:xf numFmtId="0" fontId="6" fillId="12" borderId="0" xfId="0" applyAlignment="1">
      <x:alignment horizontal="center" vertical="center"/>
    </x:xf>
    <x:xf numFmtId="0" fontId="9" fillId="14" borderId="0" xfId="0" applyAlignment="1">
      <x:alignment horizontal="center" vertical="center" wrapText="1"/>
    </x:xf>
    <x:xf numFmtId="0" fontId="8" fillId="14" borderId="0" xfId="0" applyAlignment="1">
      <x:alignment vertical="center" wrapText="1"/>
    </x:xf>
    <x:xf numFmtId="0" fontId="1" fillId="14" borderId="0" xfId="0" applyAlignment="1">
      <x:alignment vertical="center" wrapText="1"/>
    </x:xf>
    <x:xf numFmtId="0" fontId="4" fillId="14" borderId="0" xfId="0" applyAlignment="1">
      <x:alignment horizontal="center" vertical="center" wrapText="1"/>
    </x:xf>
    <x:xf numFmtId="0" fontId="7" fillId="14" borderId="0" xfId="0" applyAlignment="1">
      <x:alignment horizontal="center" vertical="center" wrapText="1"/>
    </x:xf>
    <x:xf numFmtId="0" fontId="10" fillId="12" borderId="0" xfId="0" applyAlignment="1">
      <x:alignment vertical="center"/>
    </x:xf>
    <x:xf numFmtId="0" fontId="13" fillId="13" borderId="0" xfId="0" applyAlignment="1">
      <x:alignment vertical="center"/>
    </x:xf>
    <x:xf numFmtId="0" fontId="13" fillId="13" borderId="0" xfId="0" applyAlignment="1">
      <x:alignment horizontal="center" vertical="center"/>
    </x:xf>
    <x:xf numFmtId="0" fontId="1" fillId="12" borderId="0" xfId="0" applyAlignment="1">
      <x:alignment vertical="center"/>
    </x:xf>
    <x:xf numFmtId="0" fontId="6" fillId="11" borderId="0" xfId="0" applyAlignment="1">
      <x:alignment horizontal="center" vertical="center"/>
    </x:xf>
    <x:xf numFmtId="0" fontId="9" fillId="12" borderId="0" xfId="0" applyAlignment="1">
      <x:alignment horizontal="center" vertical="center" wrapText="1"/>
    </x:xf>
    <x:xf numFmtId="0" fontId="8" fillId="12" borderId="0" xfId="0" applyAlignment="1">
      <x:alignment vertical="center" wrapText="1"/>
    </x:xf>
    <x:xf numFmtId="0" fontId="1" fillId="12" borderId="0" xfId="0" applyAlignment="1">
      <x:alignment vertical="center" wrapText="1"/>
    </x:xf>
    <x:xf numFmtId="0" fontId="4" fillId="12" borderId="0" xfId="0" applyAlignment="1">
      <x:alignment horizontal="center" vertical="center" wrapText="1"/>
    </x:xf>
    <x:xf numFmtId="0" fontId="10" fillId="14" borderId="0" xfId="0" applyAlignment="1">
      <x:alignment vertical="center"/>
    </x:xf>
    <x:xf numFmtId="0" fontId="4" fillId="14" borderId="0" xfId="0" applyAlignment="1">
      <x:alignment horizontal="center" vertical="center"/>
    </x:xf>
    <x:xf numFmtId="0" fontId="13" fillId="14" borderId="0" xfId="0" applyAlignment="1">
      <x:alignment vertical="center"/>
    </x:xf>
    <x:xf numFmtId="0" fontId="13" fillId="14" borderId="0" xfId="0" applyAlignment="1">
      <x:alignment horizontal="center" vertical="center"/>
    </x:xf>
    <x:xf numFmtId="0" fontId="5" fillId="12" borderId="0" xfId="0" applyAlignment="1">
      <x:alignment vertical="center"/>
    </x:xf>
    <x:xf numFmtId="0" fontId="9" fillId="11" borderId="0" xfId="0" applyAlignment="1">
      <x:alignment horizontal="center" vertical="center" wrapText="1"/>
    </x:xf>
    <x:xf numFmtId="0" fontId="8" fillId="11" borderId="0" xfId="0" applyAlignment="1">
      <x:alignment vertical="center" wrapText="1"/>
    </x:xf>
    <x:xf numFmtId="0" fontId="1" fillId="11" borderId="0" xfId="0" applyAlignment="1">
      <x:alignment vertical="center" wrapText="1"/>
    </x:xf>
    <x:xf numFmtId="0" fontId="4" fillId="11" borderId="0" xfId="0" applyAlignment="1">
      <x:alignment horizontal="center" vertical="center" wrapText="1"/>
    </x:xf>
    <x:xf numFmtId="0" fontId="1" fillId="14" borderId="0" xfId="0" applyAlignment="1">
      <x:alignment vertical="center"/>
    </x:xf>
    <x:xf numFmtId="0" fontId="14" fillId="12" borderId="0" xfId="0"/>
    <x:xf numFmtId="0" fontId="14" fillId="12" borderId="0" xfId="0" applyAlignment="1">
      <x:alignment wrapText="1"/>
    </x:xf>
    <x:xf numFmtId="0" fontId="14" fillId="12" borderId="0" xfId="0" applyAlignment="1">
      <x:alignment vertical="center" wrapText="1"/>
    </x:xf>
    <x:xf numFmtId="0" fontId="15" fillId="6" borderId="0" xfId="0" applyAlignment="1">
      <x:alignment horizontal="center" vertical="center" wrapText="1"/>
    </x:xf>
    <x:xf numFmtId="0" fontId="14" fillId="6" borderId="0" xfId="0" applyAlignment="1">
      <x:alignment vertical="center" wrapText="1"/>
    </x:xf>
    <x:xf numFmtId="0" fontId="13" fillId="6" borderId="0" xfId="0" applyAlignment="1">
      <x:alignment vertical="center" wrapText="1"/>
    </x:xf>
    <x:xf numFmtId="0" fontId="13" fillId="6" borderId="0" xfId="0" applyAlignment="1">
      <x:alignment horizontal="center" vertical="center" wrapText="1"/>
    </x:xf>
    <x:xf numFmtId="0" fontId="15" fillId="6" borderId="0" xfId="0" applyNumberFormat="1" applyFont="1" applyFill="1" applyBorder="1" applyAlignment="1">
      <x:alignment horizontal="center" vertical="center" wrapText="1"/>
    </x:xf>
    <x:xf numFmtId="0" fontId="14" fillId="6" borderId="0" xfId="0" applyNumberFormat="1" applyFont="1" applyFill="1" applyBorder="1" applyAlignment="1">
      <x:alignment vertical="center" wrapText="1"/>
    </x:xf>
    <x:xf numFmtId="0" fontId="13" fillId="6" borderId="0" xfId="0" applyNumberFormat="1" applyFont="1" applyFill="1" applyBorder="1" applyAlignment="1">
      <x:alignment vertical="center" wrapText="1"/>
    </x:xf>
    <x:xf numFmtId="0" fontId="13" fillId="6" borderId="0" xfId="0" applyNumberFormat="1" applyFont="1" applyFill="1" applyBorder="1" applyAlignment="1">
      <x:alignment horizontal="center" vertical="center" wrapText="1"/>
    </x:xf>
    <x:xf numFmtId="0" fontId="16" fillId="14" borderId="0" xfId="0" applyNumberFormat="1" applyFont="1" applyFill="1" applyBorder="1" applyAlignment="1">
      <x:alignment horizontal="center" vertical="center" wrapText="1"/>
    </x:xf>
    <x:xf numFmtId="0" fontId="14" fillId="14" borderId="0" xfId="0" applyNumberFormat="1" applyFont="1" applyFill="1" applyBorder="1" applyAlignment="1">
      <x:alignment vertical="center" wrapText="1"/>
    </x:xf>
    <x:xf numFmtId="0" fontId="13" fillId="14" borderId="0" xfId="0" applyNumberFormat="1" applyFont="1" applyFill="1" applyBorder="1" applyAlignment="1">
      <x:alignment vertical="center" wrapText="1"/>
    </x:xf>
    <x:xf numFmtId="0" fontId="13" fillId="14" borderId="0" xfId="0" applyNumberFormat="1" applyFont="1" applyFill="1" applyBorder="1" applyAlignment="1">
      <x:alignment horizontal="center" vertical="center" wrapText="1"/>
    </x:xf>
    <x:xf numFmtId="0" fontId="18" fillId="0" borderId="0" xfId="0" applyNumberFormat="1" applyFont="1" applyFill="1" applyBorder="1"/>
    <x:xf numFmtId="0" fontId="18" fillId="0" borderId="0"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15" borderId="0" xfId="0" applyNumberFormat="1" applyFont="1" applyFill="1" applyBorder="1" applyAlignment="1">
      <x:alignment vertical="center" wrapText="1"/>
    </x:xf>
    <x:xf numFmtId="0" fontId="19" fillId="15" borderId="0" xfId="0" applyNumberFormat="1" applyFont="1" applyFill="1" applyBorder="1" applyAlignment="1">
      <x:alignment vertical="center" wrapText="1"/>
    </x:xf>
    <x:xf numFmtId="0" fontId="20" fillId="15" borderId="0" xfId="0" applyNumberFormat="1" applyFont="1" applyFill="1" applyBorder="1" applyAlignment="1">
      <x:alignment vertical="center" wrapText="1"/>
    </x:xf>
    <x:xf numFmtId="0" fontId="18" fillId="16" borderId="0" xfId="0" applyNumberFormat="1" applyFont="1" applyFill="1" applyBorder="1" applyAlignment="1">
      <x:alignment vertical="center" wrapText="1"/>
    </x:xf>
    <x:xf numFmtId="0" fontId="4" fillId="16" borderId="0" xfId="0" applyNumberFormat="1" applyFont="1" applyFill="1" applyBorder="1" applyAlignment="1">
      <x:alignment vertical="center" wrapText="1"/>
    </x:xf>
    <x:xf numFmtId="0" fontId="18" fillId="17" borderId="0" xfId="0" applyNumberFormat="1" applyFont="1" applyFill="1" applyBorder="1" applyAlignment="1">
      <x:alignment vertical="center" wrapText="1"/>
    </x:xf>
    <x:xf numFmtId="0" fontId="18" fillId="17" borderId="0" xfId="0" applyNumberFormat="1" applyFont="1" applyFill="1" applyBorder="1" applyAlignment="1">
      <x:alignment horizontal="center" vertical="center" wrapText="1"/>
    </x:xf>
    <x:xf numFmtId="0" fontId="18" fillId="18" borderId="0" xfId="0" applyNumberFormat="1" applyFont="1" applyFill="1" applyBorder="1" applyAlignment="1">
      <x:alignment vertical="center" wrapText="1"/>
    </x:xf>
    <x:xf numFmtId="0" fontId="18" fillId="18"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1e02efa0634108" /><Relationship Type="http://schemas.openxmlformats.org/officeDocument/2006/relationships/theme" Target="/xl/theme/theme1.xml" Id="Rdc1866d7c7c5412c" /><Relationship Type="http://schemas.openxmlformats.org/officeDocument/2006/relationships/sharedStrings" Target="/xl/sharedStrings.xml" Id="R877c5f4a28aa4d97" /><Relationship Type="http://schemas.openxmlformats.org/officeDocument/2006/relationships/worksheet" Target="/xl/worksheets/sheet1.xml" Id="Rc10916e20a7c4c8d" /><Relationship Type="http://schemas.openxmlformats.org/officeDocument/2006/relationships/worksheet" Target="/xl/worksheets/sheet2.xml" Id="R8c64c90e0aba4c4b" /><Relationship Type="http://schemas.openxmlformats.org/officeDocument/2006/relationships/worksheet" Target="/xl/worksheets/sheet3.xml" Id="R4bd41221b5ac405f" /><Relationship Type="http://schemas.openxmlformats.org/officeDocument/2006/relationships/worksheet" Target="/xl/worksheets/sheet4.xml" Id="Rea900fb1e68f4a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2" style="1" customWidth="1"/>
    <x:col min="2" max="2" width="46" style="1" customWidth="1"/>
    <x:col min="3" max="3" width="108" style="1" customWidth="1"/>
    <x:col min="4" max="4" width="12" style="1" customWidth="1"/>
  </x:cols>
  <x:sheetData>
    <x:row r="1" s="1" customFormat="1" ht="43" customHeight="1">
      <x:c r="A1" s="6" t="inlineStr">
        <x:is>
          <x:t xml:space="preserve">HYD 제조 AI  |  통합반 온라인 44H 상세 실라버스</x:t>
        </x:is>
      </x:c>
    </x:row>
    <x:row r="2" s="1" customFormat="1" ht="36" customHeight="1">
      <x:c r="A2" s="8" t="str">
        <x:v>2026-10-26 개편 | 11회×240분 | 온라인 설명·시연 및 Wrap-up 유지 | 시간은 편성값이며 녹화 실측과 구별</x:v>
      </x:c>
      <x:c r="D2" s="10" t="n">
        <x:f>SUM(D13,D24,D34,D43,D53,D64,D75,D85,D96,D106,D118)</x:f>
        <x:v>2640</x:v>
      </x:c>
    </x:row>
    <x:row r="3" s="1" customFormat="1" ht="12" customHeight="1">
      <x:c r="A3" s="3" t="n"/>
      <x:c r="B3" s="3" t="n"/>
      <x:c r="C3" s="3" t="n"/>
      <x:c r="D3" s="3" t="n"/>
    </x:row>
    <x:row r="4" s="1" customFormat="1" ht="36" customHeight="1">
      <x:c r="A4" s="12" t="inlineStr">
        <x:is>
          <x:t xml:space="preserve">01일차  |  설비 데이터가 판단과 조치로 이어지는 전체 흐름 이해하기</x:t>
        </x:is>
      </x:c>
      <x:c r="D4" s="14" t="inlineStr">
        <x:is>
          <x:t xml:space="preserve">4H</x:t>
        </x:is>
      </x:c>
    </x:row>
    <x:row r="5" s="1" customFormat="1" ht="29" customHeight="1">
      <x:c r="A5" s="17" t="inlineStr">
        <x:is>
          <x:t xml:space="preserve">구분</x:t>
        </x:is>
      </x:c>
      <x:c r="B5" s="17" t="inlineStr">
        <x:is>
          <x:t xml:space="preserve">제목</x:t>
        </x:is>
      </x:c>
      <x:c r="C5" s="17" t="inlineStr">
        <x:is>
          <x:t xml:space="preserve">상세 교육 내용</x:t>
        </x:is>
      </x:c>
      <x:c r="D5" s="17" t="inlineStr">
        <x:is>
          <x:t xml:space="preserve">시간</x:t>
        </x:is>
      </x:c>
    </x:row>
    <x:row r="6" s="1" customFormat="1" ht="108" customHeight="1">
      <x:c r="A6" s="22" t="inlineStr">
        <x:is>
          <x:t xml:space="preserve">이론</x:t>
        </x:is>
      </x:c>
      <x:c r="B6" s="23" t="inlineStr">
        <x:is>
          <x:t xml:space="preserve">학습 내용을 지식 자산으로 전환하는 방법 이해하기</x:t>
        </x:is>
      </x:c>
      <x:c r="C6" s="19" t="str">
        <x:v>HYD의 전체 흐름을 보고 이후 실습에서 만들 지식·에이전트·업무 연결의 목표를 확인한다. 단순히 내용을 기록하는 것과 나중에 다시 찾아 활용할 수 있는 지식 자산으로 축적하는 것의 차이를 이해한다. 학습한 개념, 핵심 원리, 참고 자료와 출처, 실습 과정 및 결과를 체계적으로 연결해 기록하는 이유를 배운다. Notion을 활용해 수업이 끝난 뒤에도 지식을 검색·보완·재사용할 수 있는 개인 학습 체계를 마련하는 목적을 살펴본다.</x:v>
      </x:c>
      <x:c r="D6" s="25" t="n">
        <x:v>10</x:v>
      </x:c>
    </x:row>
    <x:row r="7" s="1" customFormat="1" ht="77.80000305175781" customHeight="1">
      <x:c r="A7" s="30" t="inlineStr">
        <x:is>
          <x:t xml:space="preserve">실습</x:t>
        </x:is>
      </x:c>
      <x:c r="B7" s="31" t="inlineStr">
        <x:is>
          <x:t xml:space="preserve">Notion으로 지식 자산화를 위한 학습노트 만들기</x:t>
        </x:is>
      </x:c>
      <x:c r="C7" s="27" t="str">
        <x:v>Notion에서 학습노트 홈과 주제별 카드·페이지를 구성한다. 샘플 개념·출처·실습 결과를 연결하고 검색·보완·재사용할 수 있도록 저장·재열기를 확인한다.</x:v>
      </x:c>
      <x:c r="D7" s="33" t="n">
        <x:v>50</x:v>
      </x:c>
    </x:row>
    <x:row r="8" s="1" customFormat="1" ht="93.5" customHeight="1">
      <x:c r="A8" s="22" t="inlineStr">
        <x:is>
          <x:t xml:space="preserve">이론</x:t>
        </x:is>
      </x:c>
      <x:c r="B8" s="23" t="inlineStr">
        <x:is>
          <x:t xml:space="preserve">설비 데이터가 판단으로 이어지는 시스템 구조와 데이터 흐름 이해하기</x:t>
        </x:is>
      </x:c>
      <x:c r="C8" s="19" t="str">
        <x:v>선행 SCADA 교육에서 다룬 설비·센서·PLC·관제 화면의 역할을 간단히 복습한다. HYD 시스템의 전체 아키텍처와 L1~L9 레이어, OT·DMZ·IT 영역의 구분과 역할을 학습한다. 센서 데이터가 MQTT·메시지 처리·시계열 DB·분석 서비스를 거쳐 화면과 판단 기능에 활용되는 경로를 살펴본다. 데이터 리니지의 개념을 배우고, 원천 데이터·가공 데이터·이상 이벤트·판단 결과가 어떤 구성요소를 거쳐 생성되는지 살펴본다. 분석 결과가 실제 조치로 이어질 때 명령 게이트웨이와 설비 제어 영역이 필요한 이유도 이해한다.</x:v>
      </x:c>
      <x:c r="D8" s="25" t="n">
        <x:v>50</x:v>
      </x:c>
    </x:row>
    <x:row r="9" s="1" customFormat="1" ht="108" customHeight="1">
      <x:c r="A9" s="30" t="inlineStr">
        <x:is>
          <x:t xml:space="preserve">실습</x:t>
        </x:is>
      </x:c>
      <x:c r="B9" s="31" t="str">
        <x:v>준비된 수업 환경을 시작하고 실습 자료 열기</x:v>
      </x:c>
      <x:c r="C9" s="27" t="str">
        <x:v>준비된 학교 PC에서 VS Code·AI 코딩 도구·Python·Docker의 역할과 실행 상태를 확인한다. 제공 시작 절차로 HYD 포털을 열어 설비 화면·지식 지도·작업함을 찾는다. 재부팅하면 실습 파일이 사라지는 환경임을 확인하고, 실습 시작 도구로 필요한 자료를 새 폴더에 받아 가이드와 작업 폴더를 여는 방법을 익힌다. 보관할 결과는 USB 또는 개인 클라우드로 내보낸다.</x:v>
      </x:c>
      <x:c r="D9" s="33" t="n">
        <x:v>30</x:v>
      </x:c>
    </x:row>
    <x:row r="10" s="1" customFormat="1" ht="77.80000305175781" customHeight="1">
      <x:c r="A10" s="30" t="inlineStr">
        <x:is>
          <x:t xml:space="preserve">실습</x:t>
        </x:is>
      </x:c>
      <x:c r="B10" s="23" t="inlineStr">
        <x:is>
          <x:t xml:space="preserve">설비 이상 발생부터 판단·승인·조치까지 전체 과정 경험하기</x:t>
        </x:is>
      </x:c>
      <x:c r="C10" s="19" t="str">
        <x:v>HYD 포털의 쿨러 열화 시연을 보며 설비 이상→센서 변화·경보→원인 분석→조치 추천→담당자 승인→시스템 조치→효과 재확인의 흐름을 따라간다. 각 단계에 사용된 정보와 다음 단계로 전달된 결과를 비교하고, AI의 추천과 사람의 승인·실제 조치가 서로 다른 단계임을 확인한다.</x:v>
      </x:c>
      <x:c r="D10" s="25" t="n">
        <x:v>20</x:v>
      </x:c>
    </x:row>
    <x:row r="11" s="1" customFormat="1" ht="109.19999694824219" customHeight="1">
      <x:c r="A11" s="22" t="inlineStr">
        <x:is>
          <x:t xml:space="preserve">이론</x:t>
        </x:is>
      </x:c>
      <x:c r="B11" s="31" t="inlineStr">
        <x:is>
          <x:t xml:space="preserve">설비 데이터에 의미와 관계를 부여하는 온톨로지 이해하기</x:t>
        </x:is>
      </x:c>
      <x:c r="C11" s="27" t="str">
        <x:v>센서에서 온도가 상승했다는 사실만으로는 어느 부품에 문제가 있는지, 가능한 원인이 무엇인지, 어떤 조치를 취해야 하는지 알기 어려운 이유를 살펴본다. 개별 수치와 데이터, 데이터에 의미를 부여한 정보, 판단에 활용할 수 있는 지식의 차이를 이해한다. 온톨로지가 대상의 종류·속성·관계·제약을 명시적으로 정의해 공통된 의미로 이해하도록 하는 지식 모델임을 배운다. 설비·센서·부품·증상·원인·조치·근거 문서가 어떻게 연결되는지 살펴보고, 단순한 관계 그림이나 그래프 DB 자체가 온톨로지와 동일한 것은 아니라는 점을 구분한다. 이를 통해 이후 원인 탐색과 근거 기반 판단에 온톨로지가 필요한 이유를 이해한다.</x:v>
      </x:c>
      <x:c r="D11" s="33" t="n">
        <x:v>50</x:v>
      </x:c>
    </x:row>
    <x:row r="12" s="1" customFormat="1" ht="118" customHeight="1">
      <x:c r="A12" s="30" t="inlineStr">
        <x:is>
          <x:t xml:space="preserve">실습</x:t>
        </x:is>
      </x:c>
      <x:c r="B12" s="23" t="inlineStr">
        <x:is>
          <x:t xml:space="preserve">설비 이상과 원인·조치의 관계를 시각화하기</x:t>
        </x:is>
      </x:c>
      <x:c r="C12" s="19" t="str">
        <x:v>arrows.app의 노드·관계·레이블 작성 방법을 익힌다. 간단한 설비 이상 사례를 바탕으로 설비·센서·증상·원인·조치를 배치하고 각각의 연결 관계를 직접 그린다. 어떤 대상이 다른 대상과 연결되는지, 관계의 방향을 어떻게 표현하는지 살펴본다. 완성한 관계도를 통해 단순히 정보를 나열하는 방식과 관계를 중심으로 표현하는 방식의 차이를 확인한다. 복잡한 온톨로지 스키마와 제약은 다음 학습에서 다룬다. 이 관계를 다음 회차에서 식별자와 속성을 갖춘 모델로 옮겨 실제 질의로 확인한다.</x:v>
      </x:c>
      <x:c r="D12" s="25" t="n">
        <x:v>30</x:v>
      </x:c>
    </x:row>
    <x:row r="13" s="1" customFormat="1" ht="32" customHeight="1">
      <x:c r="A13" s="35" t="inlineStr">
        <x:is>
          <x:t xml:space="preserve">일차 합계</x:t>
        </x:is>
      </x:c>
      <x:c r="D13" s="37" t="n">
        <x:f>SUM(D6:D12)</x:f>
        <x:v>240</x:v>
      </x:c>
    </x:row>
    <x:row r="14" s="1" customFormat="1" ht="13.5" customHeight="1">
      <x:c r="A14" s="3" t="n"/>
      <x:c r="B14" s="3" t="n"/>
      <x:c r="C14" s="3" t="n"/>
      <x:c r="D14" s="3" t="n"/>
    </x:row>
    <x:row r="15" s="1" customFormat="1" ht="36" customHeight="1">
      <x:c r="A15" s="12" t="inlineStr">
        <x:is>
          <x:t xml:space="preserve">02일차  |  설비와 데이터의 관계를 체계화해 필요한 정보 찾기</x:t>
        </x:is>
      </x:c>
      <x:c r="D15" s="14" t="inlineStr">
        <x:is>
          <x:t xml:space="preserve">4H</x:t>
        </x:is>
      </x:c>
    </x:row>
    <x:row r="16" s="1" customFormat="1" ht="29" customHeight="1">
      <x:c r="A16" s="17" t="inlineStr">
        <x:is>
          <x:t xml:space="preserve">구분</x:t>
        </x:is>
      </x:c>
      <x:c r="B16" s="17" t="inlineStr">
        <x:is>
          <x:t xml:space="preserve">제목</x:t>
        </x:is>
      </x:c>
      <x:c r="C16" s="17" t="inlineStr">
        <x:is>
          <x:t xml:space="preserve">상세 교육 내용</x:t>
        </x:is>
      </x:c>
      <x:c r="D16" s="17" t="inlineStr">
        <x:is>
          <x:t xml:space="preserve">시간</x:t>
        </x:is>
      </x:c>
    </x:row>
    <x:row r="17" s="1" customFormat="1" ht="136" customHeight="1">
      <x:c r="A17" s="22" t="inlineStr">
        <x:is>
          <x:t xml:space="preserve">이론</x:t>
        </x:is>
      </x:c>
      <x:c r="B17" s="31" t="inlineStr">
        <x:is>
          <x:t xml:space="preserve">클래스와 인스턴스를 통해 현장 정보의 구조 이해하기</x:t>
        </x:is>
      </x:c>
      <x:c r="C17" s="27" t="str">
        <x:v>앞서 그린 관계도에 같은 대상의 식별 기준을 정하고, 질문에 답할 수 있는 그래프를 만든다. 온톨로지에서 클래스·인스턴스·속성·관계의 정확한 정의와 역할을 학습한다. 클래스가 공통 특성을 가진 대상의 유형을 표현하고, 인스턴스는 그 유형에 속하는 실제 개별 대상을 나타낸다는 점을 살펴본다. 설비·센서·부품과 HYD-01·TS1·쿨러를 비교하며 구분한다. 클래스 계층과 상속의 기초, 데이터 속성과 객체 간 관계의 차이, 속성값과 인스턴스의 구별, 관계 유형·방향·카디널리티(1:1, 1:N, N:M)를 배운다. 언제 새로운 클래스를 정의하고 언제 속성이나 관계로 표현해야 하는지 구체적인 설비 사례로 비교한다.</x:v>
      </x:c>
      <x:c r="D17" s="33" t="n">
        <x:v>50</x:v>
      </x:c>
    </x:row>
    <x:row r="18" s="1" customFormat="1" ht="93.5" customHeight="1">
      <x:c r="A18" s="22" t="inlineStr">
        <x:is>
          <x:t xml:space="preserve">이론</x:t>
        </x:is>
      </x:c>
      <x:c r="B18" s="23" t="inlineStr">
        <x:is>
          <x:t xml:space="preserve">일관된 지식 구조를 만들기 위한 온톨로지 스키마 설계 원리 이해하기</x:t>
        </x:is>
      </x:c>
      <x:c r="C18" s="19" t="str">
        <x:v>온톨로지 스키마가 클래스·속성·관계·제약을 일관되게 정의하는 구조임을 배운다. 클래스 이름과 의미, 속성명·자료형·필수 여부, 식별자, 관계의 시작·종료 클래스, 카디널리티와 유효한 연결 조건을 살펴본다. 공통 식별자를 활용해 동일한 대상을 구분하는 방법, 스키마와 인스턴스 데이터의 차이, 스키마가 없는 데이터 연결에서 발생할 수 있는 의미 불일치를 살펴본다. 간단한 설비 모델을 스키마 정의로 발전시키는 과정을 단계별로 살펴보고, HYD의 온톨로지 v2에 설비·진단·판단·성과 등의 클래스가 이미 정의되어 있다는 점도 확인한다.</x:v>
      </x:c>
      <x:c r="D18" s="25" t="n">
        <x:v>40</x:v>
      </x:c>
    </x:row>
    <x:row r="19" s="1" customFormat="1" ht="77.80000305175781" customHeight="1">
      <x:c r="A19" s="22" t="inlineStr">
        <x:is>
          <x:t xml:space="preserve">이론</x:t>
        </x:is>
      </x:c>
      <x:c r="B19" s="31" t="inlineStr">
        <x:is>
          <x:t xml:space="preserve">그래프 DB를 활용해 연결된 지식을 저장하고 조회하는 방법 이해하기</x:t>
        </x:is>
      </x:c>
      <x:c r="C19" s="27" t="str">
        <x:v>그래프 DB의 기본 개념과 노드·관계·속성 구조를 학습하고 관계형 DB의 테이블·행·조인과 비교한다. 온톨로지 스키마와 Neo4j의 레이블·관계 유형·DB 제약 조건을 구분한다. Neo4j Browser의 역할을 살펴보고 Cypher에서 노드와 관계를 표현하는 문법을 살펴본다. MATCH·WHERE·RETURN을 통한 조회, CREATE를 통한 생성, MERGE를 통한 기존 대상 조회 또는 생성을 예제로 학습한다.</x:v>
      </x:c>
      <x:c r="D19" s="33" t="n">
        <x:v>25</x:v>
      </x:c>
    </x:row>
    <x:row r="20" s="1" customFormat="1" ht="123" customHeight="1">
      <x:c r="A20" s="30" t="inlineStr">
        <x:is>
          <x:t xml:space="preserve">실습</x:t>
        </x:is>
      </x:c>
      <x:c r="B20" s="23" t="str">
        <x:v>Cypher로 그래프를 생성·조회·수정·삭제하고 설비 관계 탐색하기</x:v>
      </x:c>
      <x:c r="C20" s="19" t="str">
        <x:v>Neo4j Browser의 연결·쿼리 실행·그래프와 표 보기 방법을 익힌다. 작은 예제에서 CREATE·MATCH·WHERE·RETURN·MERGE·SET으로 노드와 관계를 생성·조회·수정하고 그래프를 클릭해 속성을 확인한다. RETURN의 대상에 따른 그래프·표 결과를 비교한다. DELETE·DETACH DELETE 후 재조회해 연습 데이터를 정리한다. 이어 제공 설비 예제에서 구성 요소·센서·부품의 연결을 한 단계·여러 단계 경로로 조회하고 조건·집계 결과를 원래 행과 대조한다. 실습용 예제 DB와 포털 기준 DB를 구분한다.</x:v>
      </x:c>
      <x:c r="D20" s="25" t="n">
        <x:v>25</x:v>
      </x:c>
    </x:row>
    <x:row r="21" s="1" customFormat="1" ht="65" customHeight="1">
      <x:c r="A21" s="30" t="inlineStr">
        <x:is>
          <x:t xml:space="preserve">실습</x:t>
        </x:is>
      </x:c>
      <x:c r="B21" s="31" t="inlineStr">
        <x:is>
          <x:t xml:space="preserve">설비 지식의 구조와 연결 관계 탐색하기</x:t>
        </x:is>
      </x:c>
      <x:c r="C21" s="27" t="str">
        <x:v>포털 지식 지도에서 설비를 선택하고 연결된 센서·부품을 펼친다. 노드를 눌러 식별자와 속성을 확인하고 관계의 방향을 읽는다. 같은 센서 이름과 서로 다른 식별자를 구분하며, 별도 랩 DB에서 만든 모델과 포털의 기준 지도를 비교한다.</x:v>
      </x:c>
      <x:c r="D21" s="33" t="n">
        <x:v>20</x:v>
      </x:c>
    </x:row>
    <x:row r="22" s="1" customFormat="1" ht="108" customHeight="1">
      <x:c r="A22" s="30" t="inlineStr">
        <x:is>
          <x:t xml:space="preserve">실습</x:t>
        </x:is>
      </x:c>
      <x:c r="B22" s="23" t="inlineStr">
        <x:is>
          <x:t xml:space="preserve">현장 정보를 체계화하는 온톨로지 직접 설계하기</x:t>
        </x:is>
      </x:c>
      <x:c r="C22" s="19" t="str">
        <x:v>제공 설비·센서·부품 원자료를 읽고 설비별 센서와 공용 부품을 찾을 질문을 정한다. VS Code에서 목표·자료·제약·확인 사례를 자기 말로 정리하고 AI와 모델을 설계한다. 같은 센서 이름이 다른 설비에 쓰인 경우, 별칭·중복·누락을 구분하여 고유 ID·단위·관계 방향을 정한다. schema.json과 graph.json을 작성하고 구조 검사와 질문별 원자료 대조를 따로 수행한다.</x:v>
      </x:c>
      <x:c r="D22" s="25" t="n">
        <x:v>40</x:v>
      </x:c>
    </x:row>
    <x:row r="23" s="1" customFormat="1" ht="108" customHeight="1">
      <x:c r="A23" s="30" t="inlineStr">
        <x:is>
          <x:t xml:space="preserve">실습</x:t>
        </x:is>
      </x:c>
      <x:c r="B23" s="31" t="str">
        <x:v>설계한 온톨로지를 그래프 DB에 구현하고 검증하기</x:v>
      </x:c>
      <x:c r="C23" s="27" t="str">
        <x:v>제공된 이전 단계 완성 모델을 출발점으로 적재·조회문을 직접 작성한다. 별도 랩 DB에서 설비별 센서·부품과 공용 부품의 사용 설비를 조회해 원자료와 대조한다. 같은 자료를 다시 적재해도 중복되지 않고 이름이 바뀌어도 같은 ID가 유지되는지 확인한다. 전체 데이터를 지우지 않고 필요한 부분을 수정하며 코드·질의·확인 결과를 저장한다. 개인 모델은 선택하여 가져올 수 있다.</x:v>
      </x:c>
      <x:c r="D23" s="33" t="n">
        <x:v>40</x:v>
      </x:c>
    </x:row>
    <x:row r="24" s="1" customFormat="1" ht="32" customHeight="1">
      <x:c r="A24" s="35" t="inlineStr">
        <x:is>
          <x:t xml:space="preserve">일차 합계</x:t>
        </x:is>
      </x:c>
      <x:c r="D24" s="37" t="n">
        <x:f>SUM(D17:D23)</x:f>
        <x:v>240</x:v>
      </x:c>
    </x:row>
    <x:row r="25" s="1" customFormat="1" ht="13.5" customHeight="1">
      <x:c r="A25" s="3" t="n"/>
      <x:c r="B25" s="3" t="n"/>
      <x:c r="C25" s="3" t="n"/>
      <x:c r="D25" s="3" t="n"/>
    </x:row>
    <x:row r="26" s="1" customFormat="1" ht="36" customHeight="1">
      <x:c r="A26" s="12" t="inlineStr">
        <x:is>
          <x:t xml:space="preserve">03일차  |  설비 상황에 맞는 안전하고 효과적인 조치 선택하기</x:t>
        </x:is>
      </x:c>
      <x:c r="D26" s="14" t="inlineStr">
        <x:is>
          <x:t xml:space="preserve">4H</x:t>
        </x:is>
      </x:c>
    </x:row>
    <x:row r="27" s="1" customFormat="1" ht="29" customHeight="1">
      <x:c r="A27" s="17" t="inlineStr">
        <x:is>
          <x:t xml:space="preserve">구분</x:t>
        </x:is>
      </x:c>
      <x:c r="B27" s="17" t="inlineStr">
        <x:is>
          <x:t xml:space="preserve">제목</x:t>
        </x:is>
      </x:c>
      <x:c r="C27" s="17" t="inlineStr">
        <x:is>
          <x:t xml:space="preserve">상세 교육 내용</x:t>
        </x:is>
      </x:c>
      <x:c r="D27" s="17" t="inlineStr">
        <x:is>
          <x:t xml:space="preserve">시간</x:t>
        </x:is>
      </x:c>
    </x:row>
    <x:row r="28" s="1" customFormat="1" ht="136" customHeight="1">
      <x:c r="A28" s="22" t="inlineStr">
        <x:is>
          <x:t xml:space="preserve">이론</x:t>
        </x:is>
      </x:c>
      <x:c r="B28" s="23" t="inlineStr">
        <x:is>
          <x:t xml:space="preserve">설비 상태에 맞는 안전한 조치 절차와 수행 기준 이해하기</x:t>
        </x:is>
      </x:c>
      <x:c r="C28" s="19" t="str">
        <x:v>설비 관계를 안다는 것만으로 조치를 실행할 수 없으므로, 허용 조건과 선택 근거를 구분한다. 설비 고장 원인을 진단하는 것과 실제 조치 방법을 결정하는 것이 서로 다른 단계임을 이해한다. SOP(Standard Operating Procedure)의 목적과 역할을 배우고, 적용 대상·작업 전제 조건·안전 조건·준비사항·수행 단계·금지 사항·담당 역할·완료 확인 기준 등 SOP의 구성요소를 살펴본다. 작업 절차의 순서와 조건을 구분하고, 동일한 조치도 설비 운전 상태에 따라 수행 가능 여부가 달라지는 이유를 학습한다. HYD 온톨로지에서 고장 유형·원인·조치 방법(Skill)·작업 단계(Step)·근거 매뉴얼이 연결되는 구조와, 즉시 완화·근본 조치·예방 조치의 차이를 살펴본다.</x:v>
      </x:c>
      <x:c r="D28" s="25" t="n">
        <x:v>35</x:v>
      </x:c>
    </x:row>
    <x:row r="29" s="1" customFormat="1" ht="109.19999694824219" customHeight="1">
      <x:c r="A29" s="22" t="inlineStr">
        <x:is>
          <x:t xml:space="preserve">이론</x:t>
        </x:is>
      </x:c>
      <x:c r="B29" s="31" t="inlineStr">
        <x:is>
          <x:t xml:space="preserve">업무 조건에 따라 적절한 조치를 선택하는 판단 규칙 이해하기</x:t>
        </x:is>
      </x:c>
      <x:c r="C29" s="27" t="str">
        <x:v>DMN(Decision Model and Notation)이 업무 의사결정을 명확하게 정의하기 위한 표준이라는 점을 배우고, SOP와 DMN의 차이를 살펴본다. 판단에 필요한 입력 데이터(InputData), 결정(Decision), 결정표(DecisionTable), 규칙(Rule), 조건과 출력의 관계를 학습한다. 비교 연산자·임계값·범위·복수 조건을 이용해 결정표를 구성하는 원리를 살펴본다. 규칙의 중복·누락·상충이 어떤 문제를 일으키는지 알아보고, 여러 규칙이 일치했을 때 결과를 선택하는 Hit Policy의 기본 개념과 HYD에서 사용하는 판단 방식을 이해한다. 설비 상태에 따른 조치 허용·제외·감점과 해당 판단의 근거를 표현하는 방법까지 학습한다.</x:v>
      </x:c>
      <x:c r="D29" s="33" t="n">
        <x:v>40</x:v>
      </x:c>
    </x:row>
    <x:row r="30" s="1" customFormat="1" ht="93.5" customHeight="1">
      <x:c r="A30" s="22" t="inlineStr">
        <x:is>
          <x:t xml:space="preserve">이론</x:t>
        </x:is>
      </x:c>
      <x:c r="B30" s="23" t="inlineStr">
        <x:is>
          <x:t xml:space="preserve">조치의 효과를 여러 성과 관점에서 평가하는 방법 이해하기</x:t>
        </x:is>
      </x:c>
      <x:c r="C30" s="19" t="str">
        <x:v>BSC(Balanced Scorecard)의 목적과 재무·고객·내부 프로세스·학습과 성장이라는 네 관점을 배운다. 전략 목표와 KPI(Key Performance Indicator)의 차이, 지표의 정의·단위·목표값·측정 주기·실제값·목표 대비 차이를 살펴본다. 전략맵에서 목표 사이의 인과관계를 표현하는 방식과 선행 지표·후행 지표의 차이를 이해한다. 설비 복구 시간·생산 차질·전력비·품질·안전처럼 서로 상충할 수 있는 성과를 비교한다. 조치 가능 여부를 판단하는 규칙과, 허용된 조치의 효과·비용을 평가하는 기준을 구분하고, 가정값을 변경해 결과를 비교하는 What-if 분석의 목적과 한계를 살펴본다.</x:v>
      </x:c>
      <x:c r="D30" s="25" t="n">
        <x:v>35</x:v>
      </x:c>
    </x:row>
    <x:row r="31" s="1" customFormat="1" ht="93.5" customHeight="1">
      <x:c r="A31" s="30" t="inlineStr">
        <x:is>
          <x:t xml:space="preserve">실습</x:t>
        </x:is>
      </x:c>
      <x:c r="B31" s="31" t="inlineStr">
        <x:is>
          <x:t xml:space="preserve">운전 조건과 성과 기준에 따른 조치 결과 비교하기</x:t>
        </x:is>
      </x:c>
      <x:c r="C31" s="27" t="str">
        <x:v>포털 What-if에서 같은 설비의 시험 입력을 바꾸고 적용 규칙·허용 또는 제외된 조치·예상 성과를 비교한다. 결과의 근거와 입력 단위를 확인하고 시험값 변경과 실제 설비 조치를 구분한다.</x:v>
      </x:c>
      <x:c r="D31" s="33" t="n">
        <x:v>35</x:v>
      </x:c>
    </x:row>
    <x:row r="32" s="1" customFormat="1" ht="118" customHeight="1">
      <x:c r="A32" s="30" t="inlineStr">
        <x:is>
          <x:t xml:space="preserve">실습</x:t>
        </x:is>
      </x:c>
      <x:c r="B32" s="23" t="inlineStr">
        <x:is>
          <x:t xml:space="preserve">작업 절차와 판단 조건을 연결해 조치 기준 만들기</x:t>
        </x:is>
      </x:c>
      <x:c r="C32" s="19" t="str">
        <x:v>VS Code에서 GitHub Copilot·Codex를 활용해 이미 작업 조건이 정리된 랩 전용 SOP 자료를 사용한다. 제공된 이전 단계의 설비 모델과 식별자를 재사용하고, 제공된 고장 유형과 조치 방법을 연결한다. 작업의 적용 조건·금지 조건·수행 단계·완료 기준을 구분해 구조화하고, 이를 DMN 형태의 입력 조건과 판단 결과로 구성한다. 조치 방법과 단계, 판단 규칙의 의미적 관계를 정리해 SOP 구조와 결정표 자료를 완성한다. 이 과정에서는 원문 문서를 자동 추출하는 인제스천을 구현하지 않는다.</x:v>
      </x:c>
      <x:c r="D32" s="25" t="n">
        <x:v>45</x:v>
      </x:c>
    </x:row>
    <x:row r="33" s="1" customFormat="1" ht="108" customHeight="1">
      <x:c r="A33" s="30" t="inlineStr">
        <x:is>
          <x:t xml:space="preserve">실습</x:t>
        </x:is>
      </x:c>
      <x:c r="B33" s="31" t="inlineStr">
        <x:is>
          <x:t xml:space="preserve">설비 조건별 최적의 조치를 비교하는 판단 기능 만들기</x:t>
        </x:is>
      </x:c>
      <x:c r="C33" s="27" t="str">
        <x:v>제공된 이전 단계 완성 조건표를 읽는 조치 판정 기능을 작성한다. 적용 대상과 복합 조건을 구분하고 경고·감점·제외·정보 부족을 이유와 함께 반환한다. 허용 후보의 비용·생산·품질·에너지 손실을 제공 교육용 산식으로 비교한다. 정상·경계·복수 조건·모두 제외·필수값 누락 사례를 대조한다. 실제 HYD의 성과 점수와 이 교육용 비교값을 구분한다. 다음 회차에는 조건의 원문 근거를 검토한다.</x:v>
      </x:c>
      <x:c r="D33" s="33" t="n">
        <x:v>50</x:v>
      </x:c>
    </x:row>
    <x:row r="34" s="1" customFormat="1" ht="32" customHeight="1">
      <x:c r="A34" s="35" t="inlineStr">
        <x:is>
          <x:t xml:space="preserve">일차 합계</x:t>
        </x:is>
      </x:c>
      <x:c r="D34" s="37" t="n">
        <x:f>SUM(D28:D33)</x:f>
        <x:v>240</x:v>
      </x:c>
    </x:row>
    <x:row r="35" s="1" customFormat="1" ht="13.5" customHeight="1">
      <x:c r="A35" s="3" t="n"/>
      <x:c r="B35" s="3" t="n"/>
      <x:c r="C35" s="3" t="n"/>
      <x:c r="D35" s="3" t="n"/>
    </x:row>
    <x:row r="36" s="1" customFormat="1" ht="36" customHeight="1">
      <x:c r="A36" s="12" t="inlineStr">
        <x:is>
          <x:t xml:space="preserve">04일차  |  현장 자료를 검증해 신뢰할 수 있는 판단 근거 만들기</x:t>
        </x:is>
      </x:c>
      <x:c r="D36" s="14" t="inlineStr">
        <x:is>
          <x:t xml:space="preserve">4H</x:t>
        </x:is>
      </x:c>
    </x:row>
    <x:row r="37" s="1" customFormat="1" ht="29" customHeight="1">
      <x:c r="A37" s="17" t="inlineStr">
        <x:is>
          <x:t xml:space="preserve">구분</x:t>
        </x:is>
      </x:c>
      <x:c r="B37" s="17" t="inlineStr">
        <x:is>
          <x:t xml:space="preserve">제목</x:t>
        </x:is>
      </x:c>
      <x:c r="C37" s="17" t="inlineStr">
        <x:is>
          <x:t xml:space="preserve">상세 교육 내용</x:t>
        </x:is>
      </x:c>
      <x:c r="D37" s="17" t="inlineStr">
        <x:is>
          <x:t xml:space="preserve">시간</x:t>
        </x:is>
      </x:c>
    </x:row>
    <x:row r="38" s="1" customFormat="1" ht="208" customHeight="1">
      <x:c r="A38" s="22" t="inlineStr">
        <x:is>
          <x:t xml:space="preserve">이론</x:t>
        </x:is>
      </x:c>
      <x:c r="B38" s="23" t="inlineStr">
        <x:is>
          <x:t xml:space="preserve">현장 자료를 온톨로지 지식으로 전환하는 과정 이해하기</x:t>
        </x:is>
      </x:c>
      <x:c r="C38" s="19" t="str">
        <x:v>앞서 사용한 조치 조건을 문서에서 찾아 검토하고, 다시 출처를 확인할 수 있는 지식으로 만든다. 인제스천(Ingestion)의 의미와 필요성을 학습하고, 매뉴얼·SOP 문서·업무 DB 등 서로 다른 형태의 원천 자료를 지식으로 전환하는 전체 과정을 이해한다. 원천 확보와 보관 → 문서 내용 분석 → 증상·원인·부품·조치·판단 조건 등 지식 후보 추출 → 기존 온톨로지 스키마와 식별자에 매핑 → 원문 근거 대조와 사람 검토 → 승인된 지식 적재 → 그래프 관계·출처 조회의 단계별 역할을 살펴본다. LLM의 문서 이해 및 구조화 출력 원리를 살펴보고, 추출 과정에서 발생할 수 있는 부정 조건 누락·수치/단위 오류·잘못된 관계 추론·근거 없는 내용 생성의 위험을 배운다. 원문 페이지·문단·인용 구간, 문서 식별자와 개정 이력, 지식 소유 관계 및 변경 추적이 필요한 이유를 살펴본다. 검색해 문서를 참고하는 방식과 구조화된 지식으로 등록하는 방식의 차이도 이해한다. 마지막으로 설비의 원인·절차·규칙처럼 상대적으로 안정적인 지식과 센서·재고·운전시간처럼 지속적으로 변하는 값을 구분하고, 실제 값은 업무 DB·시계열 DB 등 원천에서 조회하도록 연결하는 원리를 살펴본다.</x:v>
      </x:c>
      <x:c r="D38" s="25" t="n">
        <x:v>40</x:v>
      </x:c>
    </x:row>
    <x:row r="39" s="1" customFormat="1" ht="109.19999694824219" customHeight="1">
      <x:c r="A39" s="30" t="inlineStr">
        <x:is>
          <x:t xml:space="preserve">실습</x:t>
        </x:is>
      </x:c>
      <x:c r="B39" s="31" t="str">
        <x:v>매뉴얼 원문과 등록된 지식의 조건·출처 대조하기</x:v>
      </x:c>
      <x:c r="C39" s="27" t="str">
        <x:v>제공 매뉴얼의 원문과 포털에 등록된 추출·검토 결과를 나란히 확인한다. 작업 순서·단위·금지 조건·대상 설비를 비교하고 수정하거나 제외할 후보를 표시한다. 지식 지도에서 채택된 항목의 설비·조치·출처 연결을 찾는다. 직접 추가 적재는 마지막 교대 실습에서 제공 보충 매뉴얼로 수행한다.</x:v>
      </x:c>
      <x:c r="D39" s="33" t="n">
        <x:v>70</x:v>
      </x:c>
    </x:row>
    <x:row r="40" s="1" customFormat="1" ht="128" customHeight="1">
      <x:c r="A40" s="30" t="inlineStr">
        <x:is>
          <x:t xml:space="preserve">실습</x:t>
        </x:is>
      </x:c>
      <x:c r="B40" s="23" t="str">
        <x:v>문서에서 근거 있는 지식을 추출하는 기능 만들기</x:v>
      </x:c>
      <x:c r="C40" s="19" t="str">
        <x:v>포털에서 본 문서 지식화 과정을 VS Code의 독립 랩으로 구현한다. 원문에서 작업 순서·조건·단위·금지 사항을 추출하고 문서 ID·절·인용을 함께 반환하는 기능을 만든다. 생성된 후보를 원문과 대조하여 채택·수정·제외·보류를 기록한다. 다른 문서에도 적용해 누락과 근거 없는 생성을 확인한다. 제공 추출 결과는 비교·연결 장애 시 대안으로 사용하며, 실제 추출 실행과 구분한다.</x:v>
      </x:c>
      <x:c r="D40" s="25" t="n">
        <x:v>50</x:v>
      </x:c>
    </x:row>
    <x:row r="41" s="1" customFormat="1" ht="148" customHeight="1">
      <x:c r="A41" s="30" t="inlineStr">
        <x:is>
          <x:t xml:space="preserve">실습</x:t>
        </x:is>
      </x:c>
      <x:c r="B41" s="31" t="inlineStr">
        <x:is>
          <x:t xml:space="preserve">검토한 문서 지식을 그래프 DB에 반영하고 관계 확인하기</x:t>
        </x:is>
      </x:c>
      <x:c r="C41" s="27" t="str">
        <x:v>앞 단계의 검토 결과와 랩 모델에서 시작해 승인한 후보를 기존 ID와 관계에 연결하는 적재·조회 기능을 작성한다. 처음 정한 질문으로 설비·조치·작업 조건·문서 근거를 조회하고 원문과 대조한다. 보류 후보 제외·반복 적재·다른 문서의 추가 반영을 확인한다. 질문·스키마·원문·추출/검토 기록·적재 코드·조회 결과를 연결해 하나의 온톨로지 구축 결과로 저장한다. 어떤 질문에 답할 수 있고 현재값이나 추가 자료가 필요한 질문은 무엇인지 설명한다. 다음 에이전트 실습이 이 지식과 조회 기능을 활용한다.</x:v>
      </x:c>
      <x:c r="D41" s="33" t="n">
        <x:v>50</x:v>
      </x:c>
    </x:row>
    <x:row r="42" s="1" customFormat="1" ht="148" customHeight="1">
      <x:c r="A42" s="22" t="inlineStr">
        <x:is>
          <x:t xml:space="preserve">이론</x:t>
        </x:is>
      </x:c>
      <x:c r="B42" s="23" t="inlineStr">
        <x:is>
          <x:t xml:space="preserve">온톨로지 설계부터 지식 활용까지의 전체 과정 정리하기</x:t>
        </x:is>
      </x:c>
      <x:c r="C42" s="19" t="str">
        <x:v>필요한 질문 정의→클래스·관계·식별자 설계→그래프 구현→SOP·판단 조건 연결→문서 인제스천→원문 검토·적재→근거 조회를 하나의 구축 과정으로 정리한다. 각 단계에서 직접 만든 결과와 설계 이유, 다른 문서를 추가할 때 바꿀 곳을 설명한다. 그래프 DB에 넣었다는 사실만으로 온톨로지의 의미가 옳거나 자동 추론이 완성되는 것은 아님을 구분한다. 온톨로지가 답할 관계·조건·출처 질문과 현재값 조회·판단 규칙·사람 확인이 필요한 질문의 경계를 살펴본다. 새 과제를 추가하지 않고 구축한 지식을 다음 에이전트의 근거로 연결한다.</x:v>
      </x:c>
      <x:c r="D42" s="25" t="n">
        <x:v>30</x:v>
      </x:c>
    </x:row>
    <x:row r="43" s="1" customFormat="1" ht="32" customHeight="1">
      <x:c r="A43" s="35" t="inlineStr">
        <x:is>
          <x:t xml:space="preserve">일차 합계</x:t>
        </x:is>
      </x:c>
      <x:c r="D43" s="37" t="n">
        <x:f>SUM(D38:D42)</x:f>
        <x:v>240</x:v>
      </x:c>
    </x:row>
    <x:row r="44"/>
    <x:row r="45" s="1" customFormat="1" ht="39" customHeight="1">
      <x:c r="A45" s="43" t="inlineStr">
        <x:is>
          <x:t xml:space="preserve">05일차  |  현장 지식을 활용해 실제 문제를 해결하는 AI 에이전트 만들기</x:t>
        </x:is>
      </x:c>
      <x:c r="D45" s="44" t="inlineStr">
        <x:is>
          <x:t xml:space="preserve">4H</x:t>
        </x:is>
      </x:c>
    </x:row>
    <x:row r="46" s="1" customFormat="1" ht="29" customHeight="1">
      <x:c r="A46" s="49" t="inlineStr">
        <x:is>
          <x:t xml:space="preserve">구분</x:t>
        </x:is>
      </x:c>
      <x:c r="B46" s="49" t="inlineStr">
        <x:is>
          <x:t xml:space="preserve">제목</x:t>
        </x:is>
      </x:c>
      <x:c r="C46" s="49" t="inlineStr">
        <x:is>
          <x:t xml:space="preserve">상세 교육 내용</x:t>
        </x:is>
      </x:c>
      <x:c r="D46" s="49" t="inlineStr">
        <x:is>
          <x:t xml:space="preserve">시간(분)</x:t>
        </x:is>
      </x:c>
    </x:row>
    <x:row r="47" s="1" customFormat="1" ht="148" customHeight="1">
      <x:c r="A47" s="56" t="inlineStr">
        <x:is>
          <x:t xml:space="preserve">이론</x:t>
        </x:is>
      </x:c>
      <x:c r="B47" s="55" t="inlineStr">
        <x:is>
          <x:t xml:space="preserve">질문하는 AI와 일하는 AI의 차이 이해하기</x:t>
        </x:is>
      </x:c>
      <x:c r="C47" s="53" t="str">
        <x:v>구축한 온톨로지를 활용하는 원인·점검 에이전트에서 출발해 품질 접수, 데이터 분석·시각화, 회의 후속 업무, 자기 자료 퀴즈, 작성·검토 협업의 서로 다른 목적과 결과를 비교한다. LLM 응답·RAG 근거 검색·Agent의 목표·도구·반복 실행을 구분하고 요청 해석→계획→도구 호출→관찰→종료를 살펴본다. 어떤 작업은 정해진 코드로 충분하고 어떤 작업은 자료 해석과 도구 선택이 필요한지 판단한다. 연결된 도구·자료·권한과 검증 기준이 실제 수행 범위를 결정함을 이해하고 각 활용을 이후 실습에 연결한다.</x:v>
      </x:c>
      <x:c r="D47" s="54" t="n">
        <x:v>40</x:v>
      </x:c>
    </x:row>
    <x:row r="48" s="1" customFormat="1" ht="69" customHeight="1">
      <x:c r="A48" s="63" t="inlineStr">
        <x:is>
          <x:t xml:space="preserve">이론</x:t>
        </x:is>
      </x:c>
      <x:c r="B48" s="62" t="inlineStr">
        <x:is>
          <x:t xml:space="preserve">에이전트가 다양한 정보와 도구를 사용하는 원리 이해하기</x:t>
        </x:is>
      </x:c>
      <x:c r="C48" s="60" t="str">
        <x:v>온톨로지(설비·증상·원인 관계), 시계열 DB(실제 시각의 측정값), 업무 DB(정비·재고), SOP(작업 방법)의 역할을 구분한다. 지식과 현재값을 혼동하지 않는 방법, 근거 부족과 도구 호출 실패·권한 제한 시 멈춤 조건, 구조화 출력과 실행 기록을 살펴본다.</x:v>
      </x:c>
      <x:c r="D48" s="61" t="n">
        <x:v>40</x:v>
      </x:c>
    </x:row>
    <x:row r="49" s="1" customFormat="1" ht="108" customHeight="1">
      <x:c r="A49" s="64" t="inlineStr">
        <x:is>
          <x:t xml:space="preserve">실습</x:t>
        </x:is>
      </x:c>
      <x:c r="B49" s="55" t="str">
        <x:v>업무 에이전트를 구성하고 질문의 도구·근거 확인하기</x:v>
      </x:c>
      <x:c r="C49" s="53" t="str">
        <x:v>포털의 제공 에이전트에서 목표·지침·조회 도구를 읽고 수업용 에이전트를 구성한다. 지정 모델과 준비된 조회 서버 안에서 원인 근거와 추가 확인을 정리하도록 목표·지침을 작성한다. 같은 대상의 질문을 실행하고 실제 호출 입력·결과·관측 시각을 대조한다. 답이 길어진 것보다 근거가 확인되고 모르는 항목이 구분되는지 확인하며 설정과 결과를 저장한다.</x:v>
      </x:c>
      <x:c r="D49" s="54" t="n">
        <x:v>30</x:v>
      </x:c>
    </x:row>
    <x:row r="50" s="1" customFormat="1" ht="108" customHeight="1">
      <x:c r="A50" s="65" t="inlineStr">
        <x:is>
          <x:t xml:space="preserve">실습</x:t>
        </x:is>
      </x:c>
      <x:c r="B50" s="62" t="inlineStr">
        <x:is>
          <x:t xml:space="preserve">설비 이상 원인을 추론하고 다음 점검 작업 결정하기</x:t>
        </x:is>
      </x:c>
      <x:c r="C50" s="60" t="str">
        <x:v>포털에서 확인한 도구 호출과 근거 제시를 독립 에이전트로 구현한다. 설비 그래프 조회와 센서 입력을 읽는 함수를 연결하고 요청 해석·도구 선택·결과 확인·답변의 실행 기록을 살펴본다. 원인 후보·증거·다음 점검 순서를 출력하며 오래된 값·표본 부족·도구 오류를 확인 필요로 구분한다. 다른 설비 사례에도 적용해 근거와 가설이 구별되는지 검증한다.</x:v>
      </x:c>
      <x:c r="D50" s="61" t="n">
        <x:v>45</x:v>
      </x:c>
    </x:row>
    <x:row r="51" s="1" customFormat="1" ht="128" customHeight="1">
      <x:c r="A51" s="64" t="inlineStr">
        <x:is>
          <x:t xml:space="preserve">실습</x:t>
        </x:is>
      </x:c>
      <x:c r="B51" s="55" t="inlineStr">
        <x:is>
          <x:t xml:space="preserve">품질 불량 접수를 후속 업무로 연결하기</x:t>
        </x:is>
      </x:c>
      <x:c r="C51" s="53" t="str">
        <x:v>앞 에이전트의 실행 구조를 재사용하여 품질 접수 업무에 적용한다. 불량 접수 메시지와 분류 기준으로 품질 유형·추가 확인 항목·담당 부서·대응 초안을 구조화한다. 표현이 다른 접수와 정보가 빠진 접수를 비교하고, 미확정 원인을 단정하거나 담당자를 지어내지 않는지 원자료로 확인한다. 품질 대응 카드와 근거를 저장하고 설비 점검과 달라진 입력·판정 기준을 설명한다.</x:v>
      </x:c>
      <x:c r="D51" s="54" t="n">
        <x:v>45</x:v>
      </x:c>
    </x:row>
    <x:row r="52" s="1" customFormat="1" ht="108" customHeight="1">
      <x:c r="A52" s="65" t="inlineStr">
        <x:is>
          <x:t xml:space="preserve">실습</x:t>
        </x:is>
      </x:c>
      <x:c r="B52" s="62" t="inlineStr">
        <x:is>
          <x:t xml:space="preserve">여러 센서에서 이상 징후를 찾아 시각화하기</x:t>
        </x:is>
      </x:c>
      <x:c r="C52" s="60" t="str">
        <x:v>기존 HYD 센서 시계열 또는 사전 배포 CSV에서 온도·압력·시간 변화와 상승 구간을 비교하고 도표를 생성한다. 이상 구간·관련 태그·조회 기간을 근거와 함께 요약하되 상관관계로 고장 원인을 단정하지 않는 출력을 점검한다. 다음 회차에는 반복하는 작업 방법을 스킬로 정리하고 필요한 도구를 연결한다.</x:v>
      </x:c>
      <x:c r="D52" s="61" t="n">
        <x:v>40</x:v>
      </x:c>
    </x:row>
    <x:row r="53" s="1" customFormat="1" ht="29" customHeight="1">
      <x:c r="A53" s="66" t="inlineStr">
        <x:is>
          <x:t xml:space="preserve">일차 합계</x:t>
        </x:is>
      </x:c>
      <x:c r="D53" s="49" t="n">
        <x:f>SUM(D47:D52)</x:f>
        <x:v>240</x:v>
      </x:c>
    </x:row>
    <x:row r="54"/>
    <x:row r="55" s="1" customFormat="1" ht="39" customHeight="1">
      <x:c r="A55" s="43" t="inlineStr">
        <x:is>
          <x:t xml:space="preserve">06일차  |  업무 능력을 재사용하고 여러 외부 시스템을 연결하기</x:t>
        </x:is>
      </x:c>
      <x:c r="D55" s="44" t="inlineStr">
        <x:is>
          <x:t xml:space="preserve">4H</x:t>
        </x:is>
      </x:c>
    </x:row>
    <x:row r="56" s="1" customFormat="1" ht="29" customHeight="1">
      <x:c r="A56" s="49" t="inlineStr">
        <x:is>
          <x:t xml:space="preserve">구분</x:t>
        </x:is>
      </x:c>
      <x:c r="B56" s="49" t="inlineStr">
        <x:is>
          <x:t xml:space="preserve">제목</x:t>
        </x:is>
      </x:c>
      <x:c r="C56" s="49" t="inlineStr">
        <x:is>
          <x:t xml:space="preserve">상세 교육 내용</x:t>
        </x:is>
      </x:c>
      <x:c r="D56" s="49" t="inlineStr">
        <x:is>
          <x:t xml:space="preserve">시간(분)</x:t>
        </x:is>
      </x:c>
    </x:row>
    <x:row r="57" s="1" customFormat="1" ht="108" customHeight="1">
      <x:c r="A57" s="56" t="inlineStr">
        <x:is>
          <x:t xml:space="preserve">이론</x:t>
        </x:is>
      </x:c>
      <x:c r="B57" s="55" t="inlineStr">
        <x:is>
          <x:t xml:space="preserve">업무 수행 방법을 재사용 가능한 능력으로 만들기</x:t>
        </x:is>
      </x:c>
      <x:c r="C57" s="53" t="str">
        <x:v>앞서 만든 에이전트가 같은 작업을 반복할 수 있도록 지침과 도구의 역할을 구분한다. Agent Skill의 목적, SKILL.md의 작업 목적·호출 조건·입력·출력·순서·예외 지침, SOP의 현장 작업 절차와 에이전트 실행 지침의 차이를 살펴본다. 재사용 지침과 한번의 프롬프트를 구분한다.</x:v>
      </x:c>
      <x:c r="D57" s="54" t="n">
        <x:v>35</x:v>
      </x:c>
    </x:row>
    <x:row r="58" s="1" customFormat="1" ht="60" customHeight="1">
      <x:c r="A58" s="63" t="inlineStr">
        <x:is>
          <x:t xml:space="preserve">이론</x:t>
        </x:is>
      </x:c>
      <x:c r="B58" s="62" t="inlineStr">
        <x:is>
          <x:t xml:space="preserve">AI가 여러 시스템의 기능을 사용하는 원리 이해하기</x:t>
        </x:is>
      </x:c>
      <x:c r="C58" s="60" t="str">
        <x:v>MCP의 Host·Client·Server·Tool 구성, 도구 목록 발견, 입력 스키마와 응답, stdio·HTTP 연결 방식을 살펴본다. Skill은 수행 방법, MCP는 연결된 실행 도구라는 역할을 명확히 구분한다.</x:v>
      </x:c>
      <x:c r="D58" s="61" t="n">
        <x:v>30</x:v>
      </x:c>
    </x:row>
    <x:row r="59" s="1" customFormat="1" ht="108" customHeight="1">
      <x:c r="A59" s="56" t="inlineStr">
        <x:is>
          <x:t xml:space="preserve">이론</x:t>
        </x:is>
      </x:c>
      <x:c r="B59" s="55" t="inlineStr">
        <x:is>
          <x:t xml:space="preserve">여러 도구를 연결할 때 지켜야 할 안전 기준 이해하기</x:t>
        </x:is>
      </x:c>
      <x:c r="C59" s="53" t="str">
        <x:v>도구별 읽기·쓰기 권한, 파일 접근 범위, 인증 정보, 실패·시간 초과와 근거 표시를 살펴본다. 포털에서 허용된 수업 도구 사용과 로컬 VS Code의 MCP 연결을 구분한다. 포털에 임의 서버를 추가하는 기능은 사용하지 않는다.</x:v>
      </x:c>
      <x:c r="D59" s="54" t="n">
        <x:v>20</x:v>
      </x:c>
    </x:row>
    <x:row r="60" s="1" customFormat="1" ht="92" customHeight="1">
      <x:c r="A60" s="65" t="inlineStr">
        <x:is>
          <x:t xml:space="preserve">실습</x:t>
        </x:is>
      </x:c>
      <x:c r="B60" s="62" t="str">
        <x:v>에이전트의 업무 도구 입력과 반환값 확인하기</x:v>
      </x:c>
      <x:c r="C60" s="60" t="str">
        <x:v>포털에 준비된 에이전트의 도구 호출 기록에서 도구 이름·입력·반환값을 확인한다. 같은 질문에 사용된 설비 지식과 현재 업무 조회 결과를 구분하고, 각 반환값이 답변의 어느 근거에 사용됐는지 대조한다. 외부 MCP 연결은 제공된 로컬 VS Code 실습에서 수행한다.</x:v>
      </x:c>
      <x:c r="D60" s="61" t="n">
        <x:v>20</x:v>
      </x:c>
    </x:row>
    <x:row r="61" s="1" customFormat="1" ht="128" customHeight="1">
      <x:c r="A61" s="64" t="inlineStr">
        <x:is>
          <x:t xml:space="preserve">실습</x:t>
        </x:is>
      </x:c>
      <x:c r="B61" s="55" t="str">
        <x:v>외부 MCP를 연결하고 내 조회 도구를 만들어 조합하기</x:v>
      </x:c>
      <x:c r="C61" s="53" t="str">
        <x:v>파일·Git·시간 MCP의 연결과 접근 범위를 설정하고 각 도구의 입력·반환값을 확인한다. 제공 서버 골격에 점검 자료 조회 함수를 구현하여 MCP 도구로 노출하고 기존 에이전트에서 호출한다. 파일 내용·변경 이력·기준 시각을 조합한 결과에서 출처와 조회 실패를 확인한다. 직접 만든 서버와 외부 서버를 로컬에서 연결하며 포털 등록을 전제하지 않는다. 다음 실습에서는 같은 연결 원리로 자기 Notion 자료를 읽는다.</x:v>
      </x:c>
      <x:c r="D61" s="54" t="n">
        <x:v>45</x:v>
      </x:c>
    </x:row>
    <x:row r="62" s="1" customFormat="1" ht="69" customHeight="1">
      <x:c r="A62" s="65" t="inlineStr">
        <x:is>
          <x:t xml:space="preserve">실습</x:t>
        </x:is>
      </x:c>
      <x:c r="B62" s="62" t="inlineStr">
        <x:is>
          <x:t xml:space="preserve">회의 내용을 실제 후속 업무로 전환하기</x:t>
        </x:is>
      </x:c>
      <x:c r="C62" s="60" t="str">
        <x:v>예제 회의록 텍스트를 입력받아 결정사항·담당자·완료 시점을 추출하는 SKILL.md를 작성한다. 담당자와 기한이 없는 항목은 미정으로 표시하고 Markdown/JSON 작업 목록을 생성·검토한다. 회의록 요약만으로 끝내지 않고 다음 행동을 명확히 만든다.</x:v>
      </x:c>
      <x:c r="D62" s="61" t="n">
        <x:v>45</x:v>
      </x:c>
    </x:row>
    <x:row r="63" s="1" customFormat="1" ht="168" customHeight="1">
      <x:c r="A63" s="64" t="inlineStr">
        <x:is>
          <x:t xml:space="preserve">실습</x:t>
        </x:is>
      </x:c>
      <x:c r="B63" s="55" t="str">
        <x:v>내 Notion 학습노트로 출제·채점하는 퀴즈 에이전트 만들기</x:v>
      </x:c>
      <x:c r="C63" s="53" t="str">
        <x:v>1회차부터 자기 Notion에 정리한 학습노트의 페이지를 선택하고 MCP 읽기 연결을 설정한다. 노트에서 문항·정답 기준·해설·원문 근거를 구성하는 퀴즈 에이전트를 만들되, 답하기 전에는 정답과 해설을 숨긴다. 학생 답변을 받아 정답·부분 정답·오답과 이유를 알려주고 원문을 다시 열어 확인한다. 다음 문항과 틀린 개념 재도전으로 이어가며 풀이 기록을 저장한다. 표현만 다른 정답·불완전한 답·노트에 없는 질문으로 검증하고, 근거가 부족하면 출제나 채점을 보류한다. Notion 연결이 안 되면 같은 노트의 Markdown 내보내기로 진행하고 실제 MCP 연결 여부를 따로 기록한다.</x:v>
      </x:c>
      <x:c r="D63" s="54" t="n">
        <x:v>45</x:v>
      </x:c>
    </x:row>
    <x:row r="64" s="1" customFormat="1" ht="29" customHeight="1">
      <x:c r="A64" s="66" t="inlineStr">
        <x:is>
          <x:t xml:space="preserve">일차 합계</x:t>
        </x:is>
      </x:c>
      <x:c r="D64" s="49" t="n">
        <x:f>SUM(D57:D63)</x:f>
        <x:v>240</x:v>
      </x:c>
    </x:row>
    <x:row r="65"/>
    <x:row r="66" s="1" customFormat="1" ht="39" customHeight="1">
      <x:c r="A66" s="43" t="inlineStr">
        <x:is>
          <x:t xml:space="preserve">07일차  |  사람의 판단과 명확한 요구사항으로 AI 업무의 신뢰성 높이기</x:t>
        </x:is>
      </x:c>
      <x:c r="D66" s="44" t="inlineStr">
        <x:is>
          <x:t xml:space="preserve">4H</x:t>
        </x:is>
      </x:c>
    </x:row>
    <x:row r="67" s="1" customFormat="1" ht="29" customHeight="1">
      <x:c r="A67" s="49" t="inlineStr">
        <x:is>
          <x:t xml:space="preserve">구분</x:t>
        </x:is>
      </x:c>
      <x:c r="B67" s="49" t="inlineStr">
        <x:is>
          <x:t xml:space="preserve">제목</x:t>
        </x:is>
      </x:c>
      <x:c r="C67" s="49" t="inlineStr">
        <x:is>
          <x:t xml:space="preserve">상세 교육 내용</x:t>
        </x:is>
      </x:c>
      <x:c r="D67" s="49" t="inlineStr">
        <x:is>
          <x:t xml:space="preserve">시간(분)</x:t>
        </x:is>
      </x:c>
    </x:row>
    <x:row r="68" s="1" customFormat="1" ht="108" customHeight="1">
      <x:c r="A68" s="56" t="inlineStr">
        <x:is>
          <x:t xml:space="preserve">이론</x:t>
        </x:is>
      </x:c>
      <x:c r="B68" s="55" t="inlineStr">
        <x:is>
          <x:t xml:space="preserve">AI가 멈추고 사람에게 물어야 하는 상황 이해하기</x:t>
        </x:is>
      </x:c>
      <x:c r="C68" s="53" t="str">
        <x:v>앞서 만든 업무 요청 기능이 정보 누락이나 새 요구를 만났을 때 지켜야 할 동작을 정한다. HITL의 정의, 자동 처리와 승인·보류·거절의 구분, 승인권자와 권한의 경계, 사람의 책임과 결정 기록을 살펴본다. AI의 자기 검토와 실제 사람 승인 절차는 다른 것임을 구분한다.</x:v>
      </x:c>
      <x:c r="D68" s="54" t="n">
        <x:v>20</x:v>
      </x:c>
    </x:row>
    <x:row r="69" s="1" customFormat="1" ht="92" customHeight="1">
      <x:c r="A69" s="65" t="inlineStr">
        <x:is>
          <x:t xml:space="preserve">실습</x:t>
        </x:is>
      </x:c>
      <x:c r="B69" s="62" t="inlineStr">
        <x:is>
          <x:t xml:space="preserve">사람의 확인이 실제 업무 결과를 바꾸는 과정 확인하기</x:t>
        </x:is>
      </x:c>
      <x:c r="C69" s="60" t="str">
        <x:v>포털의 처리 건과 내 작업함에서 승인 대기 작업·담당 역할·추천 근거를 확인한다. 수업용 승인·거절 사례의 처리 결과를 비교하고, 대기 상태와 완료 상태를 구분한다. 승인하지 않은 추천이 실제 명령이나 업무 처리로 이어지지 않는지 실행 이력을 확인한다.</x:v>
      </x:c>
      <x:c r="D69" s="61" t="n">
        <x:v>20</x:v>
      </x:c>
    </x:row>
    <x:row r="70" s="1" customFormat="1" ht="128" customHeight="1">
      <x:c r="A70" s="64" t="inlineStr">
        <x:is>
          <x:t xml:space="preserve">실습</x:t>
        </x:is>
      </x:c>
      <x:c r="B70" s="55" t="inlineStr">
        <x:is>
          <x:t xml:space="preserve">정보가 부족하면 질문하고 다시 처리하는 에이전트 만들기</x:t>
        </x:is>
      </x:c>
      <x:c r="C70" s="53" t="str">
        <x:v>5회차 원인·점검 계획을 바탕으로 제공된 점검 요청 처리 시작본을 연다. 도구로 확인할 수 있는 정보는 먼저 조회하고 부족하거나 충돌하는 정보만 질문하도록 구현한다. 답변을 같은 요청 번호에 연결해 판단을 재개하고, 답변 전후의 근거·미확인·상태 변화를 비교한다. 다른 요청의 답이 섞이지 않는지 확인하고 정보 답변과 실제 승인을 구분한다. 이 프로젝트를 이후 역할 분담·명세 변경·검증에 이어 쓴다.</x:v>
      </x:c>
      <x:c r="D70" s="54" t="n">
        <x:v>45</x:v>
      </x:c>
    </x:row>
    <x:row r="71" s="1" customFormat="1" ht="108" customHeight="1">
      <x:c r="A71" s="65" t="inlineStr">
        <x:is>
          <x:t xml:space="preserve">실습</x:t>
        </x:is>
      </x:c>
      <x:c r="B71" s="62" t="inlineStr">
        <x:is>
          <x:t xml:space="preserve">서로 다른 에이전트가 제안과 검토를 나눠 수행하기</x:t>
        </x:is>
      </x:c>
      <x:c r="C71" s="60" t="str">
        <x:v>같은 점검 요청 프로젝트에 작성자와 검토자 역할을 구현한다. 작성자는 점검 초안을 만들고 검토자는 원자료와 대조해 근거 누락·불일치·추정을 지적한다. 지적에 따라 수정한 내용과 남은 확인을 기록하고, 수정이 끝날 조건을 정한다. 두 AI가 동의한 것과 사람의 최종 승인을 구분한다. 실제 지적이 없을 때 억지 반려를 만들지 않는다.</x:v>
      </x:c>
      <x:c r="D71" s="61" t="n">
        <x:v>45</x:v>
      </x:c>
    </x:row>
    <x:row r="72" s="1" customFormat="1" ht="69" customHeight="1">
      <x:c r="A72" s="56" t="inlineStr">
        <x:is>
          <x:t xml:space="preserve">이론</x:t>
        </x:is>
      </x:c>
      <x:c r="B72" s="55" t="inlineStr">
        <x:is>
          <x:t xml:space="preserve">요구사항이 바뀌어도 기존 기능을 지키는 방법 이해하기</x:t>
        </x:is>
      </x:c>
      <x:c r="C72" s="53" t="str">
        <x:v>SDD를 요구사항·입력/출력 계약·금지 조건·수용 기준을 구현 전에 명확하게 하는 방식으로 살펴본다. 바이브 코딩의 모호한 기능 추가가 기존 출력이나 승인 규칙을 흔들 수 있음을 예로 들되, 실패가 항상 발생한다고 단정하지 않는다.</x:v>
      </x:c>
      <x:c r="D72" s="54" t="n">
        <x:v>35</x:v>
      </x:c>
    </x:row>
    <x:row r="73" s="1" customFormat="1" ht="108" customHeight="1">
      <x:c r="A73" s="65" t="inlineStr">
        <x:is>
          <x:t xml:space="preserve">실습</x:t>
        </x:is>
      </x:c>
      <x:c r="B73" s="62" t="str">
        <x:v>모호한 기능 변경이 기존 계약에 미치는 영향 확인하기</x:v>
      </x:c>
      <x:c r="C73" s="60" t="str">
        <x:v>같은 점검 요청 프로젝트에 긴급 표시를 추가하는 요구를 AI에 전달하고 변경된 코드와 실행 결과를 확인한다. 일반 요청·정보 누락·승인 경계가 유지되는지 기존 계약과 비교하고 실제 차이를 기록한다. 실패가 반드시 난다고 가정하지 않는다. 다음 단계에서는 모호했던 입력·판정·출력 조건을 명세로 고정한다.</x:v>
      </x:c>
      <x:c r="D73" s="61" t="n">
        <x:v>50</x:v>
      </x:c>
    </x:row>
    <x:row r="74" s="1" customFormat="1" ht="108" customHeight="1">
      <x:c r="A74" s="64" t="inlineStr">
        <x:is>
          <x:t xml:space="preserve">실습</x:t>
        </x:is>
      </x:c>
      <x:c r="B74" s="55" t="inlineStr">
        <x:is>
          <x:t xml:space="preserve">새로운 요구사항을 추가해도 기존 기능 유지하기</x:t>
        </x:is>
      </x:c>
      <x:c r="C74" s="53" t="str">
        <x:v>같은 점검 요청의 spec.md에 일반·긴급 조건, 필수 정보 누락 시 보류, 승인 없이 확정 금지, 출력 형식과 수용 기준을 작성한다. 제공 교육용 센서 조건의 시간 구간·단위·경계값을 명시하고 구현한다. 일반·긴급·누락 입력의 실제 결과를 명세와 대조해 바뀐 기능과 보존된 기능을 설명한다. 이 명세와 사례를 다음 회차의 실행 가능한 검증에 사용한다.</x:v>
      </x:c>
      <x:c r="D74" s="54" t="n">
        <x:v>25</x:v>
      </x:c>
    </x:row>
    <x:row r="75" s="1" customFormat="1" ht="29" customHeight="1">
      <x:c r="A75" s="66" t="inlineStr">
        <x:is>
          <x:t xml:space="preserve">일차 합계</x:t>
        </x:is>
      </x:c>
      <x:c r="D75" s="49" t="n">
        <x:f>SUM(D68:D74)</x:f>
        <x:v>240</x:v>
      </x:c>
    </x:row>
    <x:row r="76"/>
    <x:row r="77" s="1" customFormat="1" ht="39" customHeight="1">
      <x:c r="A77" s="43" t="inlineStr">
        <x:is>
          <x:t xml:space="preserve">08일차  |  요구가 바뀌어도 믿고 사용할 수 있는 에이전트 완성하기</x:t>
        </x:is>
      </x:c>
      <x:c r="D77" s="44" t="inlineStr">
        <x:is>
          <x:t xml:space="preserve">4H</x:t>
        </x:is>
      </x:c>
    </x:row>
    <x:row r="78" s="1" customFormat="1" ht="29" customHeight="1">
      <x:c r="A78" s="49" t="inlineStr">
        <x:is>
          <x:t xml:space="preserve">구분</x:t>
        </x:is>
      </x:c>
      <x:c r="B78" s="49" t="inlineStr">
        <x:is>
          <x:t xml:space="preserve">제목</x:t>
        </x:is>
      </x:c>
      <x:c r="C78" s="49" t="inlineStr">
        <x:is>
          <x:t xml:space="preserve">상세 교육 내용</x:t>
        </x:is>
      </x:c>
      <x:c r="D78" s="49" t="inlineStr">
        <x:is>
          <x:t xml:space="preserve">시간(분)</x:t>
        </x:is>
      </x:c>
    </x:row>
    <x:row r="79" s="1" customFormat="1" ht="108" customHeight="1">
      <x:c r="A79" s="56" t="inlineStr">
        <x:is>
          <x:t xml:space="preserve">이론</x:t>
        </x:is>
      </x:c>
      <x:c r="B79" s="55" t="inlineStr">
        <x:is>
          <x:t xml:space="preserve">기대한 행동을 실제로 검증하는 방법 이해하기</x:t>
        </x:is>
      </x:c>
      <x:c r="C79" s="53" t="str">
        <x:v>앞서 정한 명세가 실제 출력에서도 지켜지는지 확인하고 여러 출처를 연결한 결과를 검증한다. BDD의 Given/When/Then 구조, 요구 명세(SDD)와 행동 검증(BDD)의 차이, 정상·경계·예외·회귀 테스트를 살펴본다. 자연어 시나리오가 실행 가능한 검증 입력·기대 결과와 연결돼야 하는 이유를 살펴본다.</x:v>
      </x:c>
      <x:c r="D79" s="54" t="n">
        <x:v>40</x:v>
      </x:c>
    </x:row>
    <x:row r="80" s="1" customFormat="1" ht="108" customHeight="1">
      <x:c r="A80" s="65" t="inlineStr">
        <x:is>
          <x:t xml:space="preserve">실습</x:t>
        </x:is>
      </x:c>
      <x:c r="B80" s="62" t="inlineStr">
        <x:is>
          <x:t xml:space="preserve">새로운 기능과 기존 기능의 행동 기준 정하기</x:t>
        </x:is>
      </x:c>
      <x:c r="C80" s="60" t="str">
        <x:v>이전 단계 기능이 완성된 동일 점검 요청 시작본과 spec.md를 연다. 일반·긴급·정보 누락·승인 거절·도구 오류의 Given·When·Then을 쓰고 입력·기대 상태·필수 출력 근거를 정한다. 구현이 낸 답을 그대로 기대값으로 복사하지 않고 요구와 원자료에서 판정 기준을 도출한다.</x:v>
      </x:c>
      <x:c r="D80" s="61" t="n">
        <x:v>40</x:v>
      </x:c>
    </x:row>
    <x:row r="81" s="1" customFormat="1" ht="108" customHeight="1">
      <x:c r="A81" s="64" t="inlineStr">
        <x:is>
          <x:t xml:space="preserve">실습</x:t>
        </x:is>
      </x:c>
      <x:c r="B81" s="55" t="inlineStr">
        <x:is>
          <x:t xml:space="preserve">에이전트의 동작을 반복 검증하기</x:t>
        </x:is>
      </x:c>
      <x:c r="C81" s="53" t="str">
        <x:v>실행 환경과 제공 테스트 골격에 자신이 정한 입력·기대 결과·판정 코드를 연결한다. 실제 에이전트 결과를 비교하여 필수 근거·상태·승인 조건의 위반을 찾는다. 모델의 표현 차이와 내용 오류를 구분하고, 반복 실행 결과와 실패 원인을 기록한다. 제공 결과 재생과 실제 도구·모델 호출을 구분한다.</x:v>
      </x:c>
      <x:c r="D81" s="54" t="n">
        <x:v>50</x:v>
      </x:c>
    </x:row>
    <x:row r="82" s="1" customFormat="1" ht="60" customHeight="1">
      <x:c r="A82" s="65" t="inlineStr">
        <x:is>
          <x:t xml:space="preserve">실습</x:t>
        </x:is>
      </x:c>
      <x:c r="B82" s="62" t="inlineStr">
        <x:is>
          <x:t xml:space="preserve">오류를 수정하고 기존 기능이 유지되는지 확인하기</x:t>
        </x:is>
      </x:c>
      <x:c r="C82" s="60" t="str">
        <x:v>실제로 실패한 시나리오만 원인을 추적해 프롬프트·명세·코드 중 수정 대상 구분 후 재실행한다. 긴급 조건이 동작하는 동시에 기존 일반 요청·보류·거절 조건이 유지되는지 전체 회귀 검증으로 확인한다.</x:v>
      </x:c>
      <x:c r="D82" s="61" t="n">
        <x:v>35</x:v>
      </x:c>
    </x:row>
    <x:row r="83" s="1" customFormat="1" ht="128" customHeight="1">
      <x:c r="A83" s="64" t="inlineStr">
        <x:is>
          <x:t xml:space="preserve">실습</x:t>
        </x:is>
      </x:c>
      <x:c r="B83" s="55" t="inlineStr">
        <x:is>
          <x:t xml:space="preserve">서로 다른 업무 데이터를 연결해 교대 업무 인수인계 완성하기</x:t>
        </x:is>
      </x:c>
      <x:c r="C83" s="53" t="str">
        <x:v>앞에서 만든 조회 도구·출력 계약·검증 방식을 재사용해 설비 이벤트·정비 이력·부품 자료를 연결하는 인수인계 기능을 구현한다. 같은 대상·시점의 자료인지 대조하고 완료·미완료·주의·근거 시각을 출력한다. 자료 없음·조회 실패·서로 다른 기록을 구분하는 사례로 검증한다. 저장한 결과에서 원자료를 다시 찾을 수 있게 한다. 실제 연결 자료와 준비된 파일을 표시하며 포털 교대 실행은 마지막 회차에 별도로 수행한다.</x:v>
      </x:c>
      <x:c r="D83" s="54" t="n">
        <x:v>45</x:v>
      </x:c>
    </x:row>
    <x:row r="84" s="1" customFormat="1" ht="148" customHeight="1">
      <x:c r="A84" s="63" t="inlineStr">
        <x:is>
          <x:t xml:space="preserve">이론</x:t>
        </x:is>
      </x:c>
      <x:c r="B84" s="62" t="inlineStr">
        <x:is>
          <x:t xml:space="preserve">에이전트 제작부터 검증까지 전체 과정 정리하기 — Wrap-up</x:t>
        </x:is>
      </x:c>
      <x:c r="C84" s="60" t="str">
        <x:v>원인 점검·품질 접수·분석 시각화·회의 스킬·자기 자료 퀴즈·협업 검토·자료 통합에서 달랐던 목표·입력·도구·결과 판정을 비교한다. 같은 실행 구조를 재사용한 곳과 새로 구현한 능력을 구분한다. 새 업무를 맡길 때 필요한 자료·도구·완료 조건·사람 확인을 어떻게 정할지 설명한다. Skill·MCP·HITL·SDD·BDD가 각각 해결한 문제를 결과와 연결하며, 다음 회차에는 검증한 작업을 사람 승인과 함께 BPMN 흐름으로 표현한다. 새로운 실습을 추가하지 않는다.</x:v>
      </x:c>
      <x:c r="D84" s="61" t="n">
        <x:v>30</x:v>
      </x:c>
    </x:row>
    <x:row r="85" s="1" customFormat="1" ht="29" customHeight="1">
      <x:c r="A85" s="66" t="inlineStr">
        <x:is>
          <x:t xml:space="preserve">일차 합계</x:t>
        </x:is>
      </x:c>
      <x:c r="D85" s="49" t="n">
        <x:f>SUM(D79:D84)</x:f>
        <x:v>240</x:v>
      </x:c>
    </x:row>
    <x:row r="86"/>
    <x:row r="87" s="1" customFormat="1" ht="39" customHeight="1">
      <x:c r="A87" s="43" t="inlineStr">
        <x:is>
          <x:t xml:space="preserve">09일차  |  AI와 사람이 함께 일하는 업무 프로세스를 직접 설계하고 실행하기</x:t>
        </x:is>
      </x:c>
      <x:c r="D87" s="44" t="inlineStr">
        <x:is>
          <x:t xml:space="preserve">4H</x:t>
        </x:is>
      </x:c>
    </x:row>
    <x:row r="88" s="1" customFormat="1" ht="29" customHeight="1">
      <x:c r="A88" s="49" t="inlineStr">
        <x:is>
          <x:t xml:space="preserve">구분</x:t>
        </x:is>
      </x:c>
      <x:c r="B88" s="49" t="inlineStr">
        <x:is>
          <x:t xml:space="preserve">제목</x:t>
        </x:is>
      </x:c>
      <x:c r="C88" s="49" t="inlineStr">
        <x:is>
          <x:t xml:space="preserve">상세 교육 내용</x:t>
        </x:is>
      </x:c>
      <x:c r="D88" s="49" t="inlineStr">
        <x:is>
          <x:t xml:space="preserve">시간(분)</x:t>
        </x:is>
      </x:c>
    </x:row>
    <x:row r="89" s="1" customFormat="1" ht="108" customHeight="1">
      <x:c r="A89" s="56" t="inlineStr">
        <x:is>
          <x:t xml:space="preserve">이론</x:t>
        </x:is>
      </x:c>
      <x:c r="B89" s="55" t="inlineStr">
        <x:is>
          <x:t xml:space="preserve">개별 작업을 하나의 비즈니스 프로세스로 관리하는 이유 이해하기</x:t>
        </x:is>
      </x:c>
      <x:c r="C89" s="53" t="str">
        <x:v>개별 에이전트의 답을 넘어서 작업 순서·담당자·승인·완료를 하나의 흐름으로 표현한다. 비즈니스 프로세스의 정의, Task와 End-to-End의 차이, 시작 조건·입력·출력·책임자·완료 조건을 살펴본다. BPM의 분석→설계→실행→모니터링→개선과 AS-IS/TO-BE를 다루고 에이전트만으로 전체 업무 순서와 책임이 보장되지 않는 이유를 연결한다.</x:v>
      </x:c>
      <x:c r="D89" s="54" t="n">
        <x:v>35</x:v>
      </x:c>
    </x:row>
    <x:row r="90" s="1" customFormat="1" ht="82" customHeight="1">
      <x:c r="A90" s="63" t="inlineStr">
        <x:is>
          <x:t xml:space="preserve">이론</x:t>
        </x:is>
      </x:c>
      <x:c r="B90" s="62" t="inlineStr">
        <x:is>
          <x:t xml:space="preserve">복잡한 업무를 공통된 그림으로 표현하는 방법 이해하기</x:t>
        </x:is>
      </x:c>
      <x:c r="C90" s="60" t="str">
        <x:v>BPMN 2.0의 Start/End Event, Activity/Task, Gateway, Sequence Flow, Pool·Lane, Message Flow, Timer·Boundary Event를 구분한다. 승인·거절과 분기, 사람·에이전트·시스템의 책임 배치를 설비 조치 예제로 살펴본다. 병렬·하위 프로세스는 개념만 살펴보고 실습 구현을 주장하지 않는다.</x:v>
      </x:c>
      <x:c r="D90" s="61" t="n">
        <x:v>25</x:v>
      </x:c>
    </x:row>
    <x:row r="91" s="1" customFormat="1" ht="92" customHeight="1">
      <x:c r="A91" s="56" t="inlineStr">
        <x:is>
          <x:t xml:space="preserve">이론</x:t>
        </x:is>
      </x:c>
      <x:c r="B91" s="55" t="inlineStr">
        <x:is>
          <x:t xml:space="preserve">설계한 업무가 실제로 실행되는 프로세스 오케스트레이션 이해하기</x:t>
        </x:is>
      </x:c>
      <x:c r="C91" s="53" t="str">
        <x:v>프로세스 정의와 인스턴스, Token의 진행 개념, 변수와 결과 전달, User Task·Service Task와 HYD 에이전트 단계, 실행 상태·승인 대기·배포 버전·감사 기록을 살펴본다. 온톨로지·DB·SOP를 쓰는 에이전트의 결과가 BPMN에서 어떤 순서로 전달되는지 확인한다.</x:v>
      </x:c>
      <x:c r="D91" s="54" t="n">
        <x:v>25</x:v>
      </x:c>
    </x:row>
    <x:row r="92" s="1" customFormat="1" ht="69" customHeight="1">
      <x:c r="A92" s="65" t="inlineStr">
        <x:is>
          <x:t xml:space="preserve">실습</x:t>
        </x:is>
      </x:c>
      <x:c r="B92" s="62" t="inlineStr">
        <x:is>
          <x:t xml:space="preserve">업무 흐름을 그리는 도구로 간단한 승인 절차 작성하기</x:t>
        </x:is>
      </x:c>
      <x:c r="C92" s="60" t="str">
        <x:v>bpmn.io의 팔레트·요소 배치·연결·속성·저장·열기 조작을 익힌 뒤 '정비 요청→담당자 확인→승인 여부→승인/반려 종료'를 직접 작도한다. Gateway의 각 분기와 End Event 연결을 확인해 .bpmn 파일을 만든다.</x:v>
      </x:c>
      <x:c r="D92" s="61" t="n">
        <x:v>35</x:v>
      </x:c>
    </x:row>
    <x:row r="93" s="1" customFormat="1" ht="69" customHeight="1">
      <x:c r="A93" s="64" t="inlineStr">
        <x:is>
          <x:t xml:space="preserve">실습</x:t>
        </x:is>
      </x:c>
      <x:c r="B93" s="55" t="inlineStr">
        <x:is>
          <x:t xml:space="preserve">설비 이상 대응의 역할과 승인 조건을 갖춘 업무 흐름 만들기</x:t>
        </x:is>
      </x:c>
      <x:c r="C93" s="53" t="str">
        <x:v>bpmn.io에서 쿨러 열화 시작→에이전트 진단·조치 제안→운전원 승인→PLC 명령→효과 재확인→결과 보고를 작업별 Lane으로 작도한다. 승인/거절 분기, 정상/반려 종료와 승인을 중단하지 않는 지연 알림 Timer를 포함해 파일로 저장한다.</x:v>
      </x:c>
      <x:c r="D93" s="54" t="n">
        <x:v>45</x:v>
      </x:c>
    </x:row>
    <x:row r="94" s="1" customFormat="1" ht="69" customHeight="1">
      <x:c r="A94" s="65" t="inlineStr">
        <x:is>
          <x:t xml:space="preserve">실습</x:t>
        </x:is>
      </x:c>
      <x:c r="B94" s="62" t="str">
        <x:v>작성한 BPMN과 등록된 실행 흐름의 연결 비교하기</x:v>
      </x:c>
      <x:c r="C94" s="60" t="str">
        <x:v>bpmn.io에서 작성한 설비 대응 흐름과 포털에 등록된 기준 흐름을 비교한다. 제공 매핑 자료에서 시작 이벤트·에이전트·운전원 승인·설비 명령·재관측 작업의 연결을 찾는다. 자신이 그린 각 작업이 어떤 실행 기능에 대응하는지 표시하고, 그림 파일과 실행 정의를 구분한다.</x:v>
      </x:c>
      <x:c r="D94" s="61" t="n">
        <x:v>40</x:v>
      </x:c>
    </x:row>
    <x:row r="95" s="1" customFormat="1" ht="108" customHeight="1">
      <x:c r="A95" s="64" t="inlineStr">
        <x:is>
          <x:t xml:space="preserve">실습</x:t>
        </x:is>
      </x:c>
      <x:c r="B95" s="55" t="inlineStr">
        <x:is>
          <x:t xml:space="preserve">실제 설비 이벤트로 프로세스를 실행하고 처리 이력 확인하기</x:t>
        </x:is>
      </x:c>
      <x:c r="C95" s="53" t="str">
        <x:v>포털의 준비된 냉각 대응 시나리오 A를 실행하고 같은 처리 건의 판단→운전원 승인→명령→재관측→보고를 따라간다. 승인 대기·거절·보류는 실제 기록이나 제공 사례와 구분해 비교한다. 명령 처리와 온도 회복, 작업지시 등록과 정비 완료를 따로 확인한다. 작성한 BPMN에서 해당 작업을 찾고 실제 정의·판본·처리 건과 결과를 기록한다.</x:v>
      </x:c>
      <x:c r="D95" s="54" t="n">
        <x:v>35</x:v>
      </x:c>
    </x:row>
    <x:row r="96" s="1" customFormat="1" ht="29" customHeight="1">
      <x:c r="A96" s="66" t="inlineStr">
        <x:is>
          <x:t xml:space="preserve">일차 합계</x:t>
        </x:is>
      </x:c>
      <x:c r="D96" s="49" t="n">
        <x:f>SUM(D89:D95)</x:f>
        <x:v>240</x:v>
      </x:c>
    </x:row>
    <x:row r="97"/>
    <x:row r="98" s="1" customFormat="1" ht="39" customHeight="1">
      <x:c r="A98" s="43" t="inlineStr">
        <x:is>
          <x:t xml:space="preserve">10일차  |  설비 대응을 넘어 정비와 구매 업무까지 자동으로 연결하기</x:t>
        </x:is>
      </x:c>
      <x:c r="D98" s="44" t="inlineStr">
        <x:is>
          <x:t xml:space="preserve">4H</x:t>
        </x:is>
      </x:c>
    </x:row>
    <x:row r="99" s="1" customFormat="1" ht="29" customHeight="1">
      <x:c r="A99" s="49" t="inlineStr">
        <x:is>
          <x:t xml:space="preserve">구분</x:t>
        </x:is>
      </x:c>
      <x:c r="B99" s="49" t="inlineStr">
        <x:is>
          <x:t xml:space="preserve">제목</x:t>
        </x:is>
      </x:c>
      <x:c r="C99" s="49" t="inlineStr">
        <x:is>
          <x:t xml:space="preserve">상세 교육 내용</x:t>
        </x:is>
      </x:c>
      <x:c r="D99" s="49" t="inlineStr">
        <x:is>
          <x:t xml:space="preserve">시간(분)</x:t>
        </x:is>
      </x:c>
    </x:row>
    <x:row r="100" s="1" customFormat="1" ht="108" customHeight="1">
      <x:c r="A100" s="56" t="inlineStr">
        <x:is>
          <x:t xml:space="preserve">이론</x:t>
        </x:is>
      </x:c>
      <x:c r="B100" s="55" t="inlineStr">
        <x:is>
          <x:t xml:space="preserve">다양한 업무를 하나의 프로세스 설계 원리로 관리하기</x:t>
        </x:is>
      </x:c>
      <x:c r="C100" s="53" t="str">
        <x:v>앞서 익힌 승인 흐름을 정비와 구매에 적용하며 시작 조건과 처리 결과의 차이를 비교한다. 설비 경보, 정기 점검 도래, 재고 부족이라는 시작 조건과 에이전트·승인자·실행 시스템의 차이를 비교한다. 프로세스 정의·인스턴스·배포, 대기와 완료 상태, 실행 기록·모니터링·병목·지표를 설명하고 같은 BPMN 패턴의 재사용 원리를 정리한다.</x:v>
      </x:c>
      <x:c r="D100" s="54" t="n">
        <x:v>35</x:v>
      </x:c>
    </x:row>
    <x:row r="101" s="1" customFormat="1" ht="69" customHeight="1">
      <x:c r="A101" s="65" t="inlineStr">
        <x:is>
          <x:t xml:space="preserve">실습</x:t>
        </x:is>
      </x:c>
      <x:c r="B101" s="62" t="inlineStr">
        <x:is>
          <x:t xml:space="preserve">정기 점검부터 작업지시까지 이어지는 업무 흐름 설계하기</x:t>
        </x:is>
      </x:c>
      <x:c r="C101" s="60" t="str">
        <x:v>bpmn.io에서 정기 점검 도래→정비 계획 에이전트→설비보전팀장 승인/거절→CMMS 정비 오더→생산팀 공지→결과 보고를 작도한다. 9일차의 Task·Lane·Gateway·Timer 패턴을 재사용하고 승인·반려 경로를 구분한다.</x:v>
      </x:c>
      <x:c r="D101" s="61" t="n">
        <x:v>45</x:v>
      </x:c>
    </x:row>
    <x:row r="102" s="1" customFormat="1" ht="108" customHeight="1">
      <x:c r="A102" s="64" t="inlineStr">
        <x:is>
          <x:t xml:space="preserve">실습</x:t>
        </x:is>
      </x:c>
      <x:c r="B102" s="55" t="inlineStr">
        <x:is>
          <x:t xml:space="preserve">정기 점검 프로세스를 실제 업무로 실행하기</x:t>
        </x:is>
      </x:c>
      <x:c r="C102" s="53" t="str">
        <x:v>포털의 준비된 정기 점검 시나리오 B에서 점검 시점 제안과 근거를 읽고 담당자의 결정을 거친다. 같은 처리 건의 작업지시·부품 예약·생산 공지·보고를 대조한다. 오더 등록은 실제 정비 완료와 구분한다. 거절·보류 사례는 확인한 기록 범위에서 비교하고, 실행 결과를 자신의 BPMN 작업과 연결해 저장한다.</x:v>
      </x:c>
      <x:c r="D102" s="54" t="n">
        <x:v>45</x:v>
      </x:c>
    </x:row>
    <x:row r="103" s="1" customFormat="1" ht="92" customHeight="1">
      <x:c r="A103" s="65" t="inlineStr">
        <x:is>
          <x:t xml:space="preserve">실습</x:t>
        </x:is>
      </x:c>
      <x:c r="B103" s="62" t="inlineStr">
        <x:is>
          <x:t xml:space="preserve">재고 부족부터 구매·입고까지 이어지는 업무 흐름 설계하기</x:t>
        </x:is>
      </x:c>
      <x:c r="C103" s="60" t="str">
        <x:v>bpmn.io에서 재고 부족→구매 에이전트의 수량·공급사 제안→구매 담당자 승인/거절→ERP 발주→공급사 통지→입고·재고 반영→결과 보고를 작도한다. HYD의 기업 시스템 시뮬레이션에서 발주·통지·입고가 연결되는 구조를 확인한다.</x:v>
      </x:c>
      <x:c r="D103" s="61" t="n">
        <x:v>45</x:v>
      </x:c>
    </x:row>
    <x:row r="104" s="1" customFormat="1" ht="108" customHeight="1">
      <x:c r="A104" s="64" t="inlineStr">
        <x:is>
          <x:t xml:space="preserve">실습</x:t>
        </x:is>
      </x:c>
      <x:c r="B104" s="55" t="inlineStr">
        <x:is>
          <x:t xml:space="preserve">구매 프로세스를 실제 업무로 실행하기</x:t>
        </x:is>
      </x:c>
      <x:c r="C104" s="53" t="str">
        <x:v>포털의 준비된 재고 보충 시나리오 C에서 공급사·수량의 제안 근거와 승인 조건을 확인한다. 발주·통지·입고·재고 반영을 각각 찾아 시작 재고·예약·발주 중 수량과 비교한다. 수업 시스템의 즉시 입고를 실제 배송으로 설명하지 않는다. 반려 사례는 제공 기록과 구분해 비교하고 BPMN의 해당 작업과 실제 결과를 연결한다.</x:v>
      </x:c>
      <x:c r="D104" s="54" t="n">
        <x:v>40</x:v>
      </x:c>
    </x:row>
    <x:row r="105" s="1" customFormat="1" ht="108" customHeight="1">
      <x:c r="A105" s="63" t="inlineStr">
        <x:is>
          <x:t xml:space="preserve">이론</x:t>
        </x:is>
      </x:c>
      <x:c r="B105" s="62" t="inlineStr">
        <x:is>
          <x:t xml:space="preserve">AI와 사람이 함께 수행하는 전체 업무 흐름 정리하기 — Wrap-up</x:t>
        </x:is>
      </x:c>
      <x:c r="C105" s="60" t="str">
        <x:v>설비 조치·정기 점검·재고 보충의 시작 이벤트, 에이전트 판단, 사람 승인·반려, 시스템 처리와 종료 기록을 되짚는다. 온톨로지→에이전트→프로세스의 연결을 복습하며 새로운 실습은 하지 않는다. 다음 회차에는 설비·정비·재고 기록을 교대 인계안으로 묶고 사람이 검토·확인하는 흐름을 완성한다.</x:v>
      </x:c>
      <x:c r="D105" s="61" t="n">
        <x:v>30</x:v>
      </x:c>
    </x:row>
    <x:row r="106" s="1" customFormat="1" ht="29" customHeight="1">
      <x:c r="A106" s="66" t="inlineStr">
        <x:is>
          <x:t xml:space="preserve">일차 합계</x:t>
        </x:is>
      </x:c>
      <x:c r="D106" s="49" t="n">
        <x:f>SUM(D100:D105)</x:f>
        <x:v>240</x:v>
      </x:c>
    </x:row>
    <x:row r="107"/>
    <x:row r="108" s="1" customFormat="1" ht="39" customHeight="1">
      <x:c r="A108" s="43" t="str">
        <x:v>11일차  |  추가 지식과 에이전트로 교대 인수인계 완성하기</x:v>
      </x:c>
      <x:c r="D108" s="44" t="inlineStr">
        <x:is>
          <x:t xml:space="preserve">4H</x:t>
        </x:is>
      </x:c>
    </x:row>
    <x:row r="109" s="1" customFormat="1" ht="29" customHeight="1">
      <x:c r="A109" s="49" t="inlineStr">
        <x:is>
          <x:t xml:space="preserve">구분</x:t>
        </x:is>
      </x:c>
      <x:c r="B109" s="49" t="inlineStr">
        <x:is>
          <x:t xml:space="preserve">제목</x:t>
        </x:is>
      </x:c>
      <x:c r="C109" s="49" t="inlineStr">
        <x:is>
          <x:t xml:space="preserve">상세 교육 내용</x:t>
        </x:is>
      </x:c>
      <x:c r="D109" s="49" t="inlineStr">
        <x:is>
          <x:t xml:space="preserve">시간(분)</x:t>
        </x:is>
      </x:c>
    </x:row>
    <x:row r="110" s="1" customFormat="1" ht="108" customHeight="1">
      <x:c r="A110" s="56" t="inlineStr">
        <x:is>
          <x:t xml:space="preserve">이론</x:t>
        </x:is>
      </x:c>
      <x:c r="B110" s="55" t="inlineStr">
        <x:is>
          <x:t xml:space="preserve">현장 지식이 AI의 판단 근거가 되는 과정 복습하기</x:t>
        </x:is>
      </x:c>
      <x:c r="C110" s="53" t="str">
        <x:v>그동안 만든 지식·에이전트·업무 흐름을 교대 인수인계 한 건에 연결한다. 설비·센서·고장 관계를 정의하는 클래스·인스턴스·스키마, 그래프 질의, SOP·DMN·BSC/KPI, 문서 인제스천과 출처, 정적 지식과 현재 DB 값의 구분을 되짚는다. 앞선 영역 Wrap-up의 단순 반복보다 에이전트 입력으로 연결되는 구조를 중심으로 정리한다.</x:v>
      </x:c>
      <x:c r="D110" s="54" t="n">
        <x:v>30</x:v>
      </x:c>
    </x:row>
    <x:row r="111" s="1" customFormat="1" ht="60" customHeight="1">
      <x:c r="A111" s="63" t="inlineStr">
        <x:is>
          <x:t xml:space="preserve">이론</x:t>
        </x:is>
      </x:c>
      <x:c r="B111" s="62" t="inlineStr">
        <x:is>
          <x:t xml:space="preserve">에이전트의 결과가 업무 완료로 이어지는 전체 구조 복습하기</x:t>
        </x:is>
      </x:c>
      <x:c r="C111" s="60" t="str">
        <x:v>에이전트 실행·Skill·MCP·HITL·SDD·BDD와 BPMN 정의·인스턴스·승인·시스템 실행의 역할 차이를 정리한다. 개별 제안이 실제 처리 건에서 누구의 승인과 어떤 업무 시스템 실행을 거쳐 종료되는지 살펴본다.</x:v>
      </x:c>
      <x:c r="D111" s="61" t="n">
        <x:v>30</x:v>
      </x:c>
    </x:row>
    <x:row r="112" s="1" customFormat="1" ht="60" customHeight="1">
      <x:c r="A112" s="64" t="inlineStr">
        <x:is>
          <x:t xml:space="preserve">실습</x:t>
        </x:is>
      </x:c>
      <x:c r="B112" s="55" t="str">
        <x:v>교대 인수인계의 입력과 완료 조건 정의하기</x:v>
      </x:c>
      <x:c r="C112" s="53" t="str">
        <x:v>대상 설비·교대·기준 시각과 작업 메모를 입력으로 정한다. 설비 상태, 미완료 작업지시, 부품 대기 정보를 대조하여 다음 근무자의 확인 사항을 인계한다. ABC의 조치·정비·구매를 다시 실행하지 않고 인계자 검토와 인수자 확인을 완료 조건으로 정한다.</x:v>
      </x:c>
      <x:c r="D112" s="54" t="n">
        <x:v>30</x:v>
      </x:c>
    </x:row>
    <x:row r="113" s="1" customFormat="1" ht="108" customHeight="1">
      <x:c r="A113" s="65" t="inlineStr">
        <x:is>
          <x:t xml:space="preserve">실습</x:t>
        </x:is>
      </x:c>
      <x:c r="B113" s="62" t="str">
        <x:v>제공 보충 매뉴얼의 추출 결과를 검토하고 지식에 추가하기</x:v>
      </x:c>
      <x:c r="C113" s="60" t="str">
        <x:v>강사 코드로 열린 교대 실습에서 제공 HI-01 보충 매뉴얼을 선택한다. 준비된 추출 후보를 원문과 대조하여 절차·조건·근거를 검토하고 승인한 지식을 추가한다. 추출 결과 재사용과 사람의 검토·적재를 구분한다. 지식 지도에서 새 항목의 식별자와 문서·판본·절 연결을 확인하고 이후 인계안의 확인 기준으로 사용한다.</x:v>
      </x:c>
      <x:c r="D113" s="61" t="n">
        <x:v>30</x:v>
      </x:c>
    </x:row>
    <x:row r="114" s="1" customFormat="1" ht="60" customHeight="1">
      <x:c r="A114" s="64" t="inlineStr">
        <x:is>
          <x:t xml:space="preserve">실습</x:t>
        </x:is>
      </x:c>
      <x:c r="B114" s="55" t="str">
        <x:v>설비·정비·ERP를 대조하는 인수인계 에이전트 만들기</x:v>
      </x:c>
      <x:c r="C114" s="53" t="str">
        <x:v>교대 실습에서 허용된 설비·정비·ERP 조회 도구로 인계안을 작성하는 에이전트·스킬을 구성한다. 이름·설명·스킬에 확인할 항목을 적고, 완료 메모와 열린 작업지시 또는 입고 예정과 실제 재고가 다를 때 확인 사항으로 남기는지 결과와 원천을 대조한다.</x:v>
      </x:c>
      <x:c r="D114" s="54" t="n">
        <x:v>30</x:v>
      </x:c>
    </x:row>
    <x:row r="115" s="1" customFormat="1" ht="92" customHeight="1">
      <x:c r="A115" s="65" t="inlineStr">
        <x:is>
          <x:t xml:space="preserve">실습</x:t>
        </x:is>
      </x:c>
      <x:c r="B115" s="62" t="str">
        <x:v>교대 인수인계 BPMN을 등록하고 검토·확인 흐름 실행하기</x:v>
      </x:c>
      <x:c r="C115" s="60" t="str">
        <x:v>제공 교대 BPMN을 bpmn.io에서 열어 작업 이름과 배치를 정리한다. 시작 입력·검토·보완 분기를 유지하고 세 초안 단계에 교대 에이전트를 배정하여 별도 판본을 등록한다. 설비·교대 정보를 입력해 인계안 작성→인계자 검토→인수자 보완 요청→재검토→인수 확인을 수행하고 근거와 완료 기록을 확인한다.</x:v>
      </x:c>
      <x:c r="D115" s="61" t="n">
        <x:v>30</x:v>
      </x:c>
    </x:row>
    <x:row r="116" s="1" customFormat="1" ht="60" customHeight="1">
      <x:c r="A116" s="65" t="inlineStr">
        <x:is>
          <x:t xml:space="preserve">실습</x:t>
        </x:is>
      </x:c>
      <x:c r="B116" s="62" t="inlineStr">
        <x:is>
          <x:t xml:space="preserve">ProcessGPT 시연으로 지식·에이전트·프로세스의 연결 확인하기</x:t>
        </x:is>
      </x:c>
      <x:c r="C116" s="60" t="str">
        <x:v>ProcessGPT 시연을 보며 지금까지 만든 지식·에이전트·프로세스가 실제 제품의 업무 흐름에 어떻게 연결되는지 살펴본다. 프로세스 정의·실행 인스턴스·작업함·에이전트 활동을 HYD 수업용 구현과 비교하고, 기업 업무에 적용할 때 필요한 권한·승인·실행 기록을 확인한다.</x:v>
      </x:c>
      <x:c r="D116" s="61" t="n">
        <x:v>40</x:v>
      </x:c>
    </x:row>
    <x:row r="117" s="1" customFormat="1" ht="108" customHeight="1">
      <x:c r="A117" s="65" t="inlineStr">
        <x:is>
          <x:t xml:space="preserve">실습</x:t>
        </x:is>
      </x:c>
      <x:c r="B117" s="62" t="inlineStr">
        <x:is>
          <x:t xml:space="preserve">학습 내용과 제작 결과를 개인 지식 자산으로 정리하기</x:t>
        </x:is>
      </x:c>
      <x:c r="C117" s="60" t="str">
        <x:v>첫날 준비한 Notion 학습노트에 개념·참고 자료·실습 산출물·검증 결과를 연결해 기록한다. 수업 계정에서 Notion 연결과 쓰기 권한이 검증된 경우 MCP 연동을 시연하고, 미연결 환경에서는 준비한 Markdown을 Notion에 직접 정리한다. 관계 모델·판단 근거·명세·검증 결과·인계 기록을 함께 찾아볼 수 있게 정리하며 과정을 마친다.</x:v>
      </x:c>
      <x:c r="D117" s="61" t="n">
        <x:v>20</x:v>
      </x:c>
    </x:row>
    <x:row r="118" s="1" customFormat="1" ht="29" customHeight="1">
      <x:c r="A118" s="66" t="inlineStr">
        <x:is>
          <x:t xml:space="preserve">일차 합계</x:t>
        </x:is>
      </x:c>
      <x:c r="D118" s="49" t="n">
        <x:f>SUM(D110:D117)</x:f>
        <x:v>240</x:v>
      </x:c>
    </x:row>
    <x:row r="119"/>
    <x:row r="120" s="1" customFormat="1" ht="36" customHeight="1">
      <x:c r="A120" s="43" t="inlineStr">
        <x:is>
          <x:t xml:space="preserve">전체 온라인 강의 합계</x:t>
        </x:is>
      </x:c>
      <x:c r="D120" s="44" t="n">
        <x:f>SUM(D13,D24,D34,D43,D53,D64,D75,D85,D96,D106,D118)</x:f>
        <x:v>2640</x:v>
      </x:c>
    </x:row>
    <x:row r="121"/>
    <x:row r="122" s="1" customFormat="1" ht="50" customHeight="1">
      <x:c r="A122" s="69" t="inlineStr">
        <x:is>
          <x:t xml:space="preserve">운영 유의: HYD BPMN은 포털의 일부 시스템 단계 설정 칸이 부족하여 제공 mapping.json·검증된 API 절차가 필요할 수 있음. 공용 서버에 여러 학생이 동시에 배포하면 마지막 배포 흐름이 경보를 수신하므로 학생별 환경 또는 순차 진행 필요.</x:t>
        </x:is>
      </x:c>
    </x:row>
    <x:row r="123"/>
    <x:row r="124" s="1" customFormat="1" ht="50" customHeight="1">
      <x:c r="A124" s="69" t="inlineStr">
        <x:is>
          <x:t xml:space="preserve">실습 사전검증: 외부 MCP(파일시스템·Git·시간) 설치·권한·접속, Notion 쓰기 권한, SDD 기능 변경 실패 재현 입력, 오프라인 수강생 실행 시간은 미실측이므로 강사 리허설 필요. 지원되지 않는 업무 기능은 실제 구현 완료로 표기하지 않음.</x:t>
        </x:is>
      </x:c>
    </x:row>
    <x:row r="125"/>
    <x:row r="126" s="1" customFormat="1" ht="50" customHeight="1">
      <x:c r="A126" s="69" t="inlineStr">
        <x:is>
          <x:t xml:space="preserve">HYD 근거: https://github.com/uengine-oss/hyd-iot-edu/tree/claude/hyd-handoff-work-xziutz/students/flows · https://github.com/uengine-oss/hyd-iot-edu/blob/claude/hyd-handoff-work-xziutz/docs/handoff/verification/2026-10-10/final-verify.md</x:t>
        </x:is>
      </x:c>
    </x:row>
  </x:sheetData>
  <x:mergeCells>
    <x:mergeCell ref="A126:D126"/>
    <x:mergeCell ref="A108:C108"/>
    <x:mergeCell ref="A66:C66"/>
    <x:mergeCell ref="A122:D122"/>
    <x:mergeCell ref="A118:C118"/>
    <x:mergeCell ref="A75:C75"/>
    <x:mergeCell ref="A120:C120"/>
    <x:mergeCell ref="A55:C55"/>
    <x:mergeCell ref="A26:C26"/>
    <x:mergeCell ref="A2:C2"/>
    <x:mergeCell ref="A85:C85"/>
    <x:mergeCell ref="A106:C106"/>
    <x:mergeCell ref="A53:C53"/>
    <x:mergeCell ref="A4:C4"/>
    <x:mergeCell ref="A43:C43"/>
    <x:mergeCell ref="A96:C96"/>
    <x:mergeCell ref="A1:D1"/>
    <x:mergeCell ref="A13:C13"/>
    <x:mergeCell ref="A124:D124"/>
    <x:mergeCell ref="A77:C77"/>
    <x:mergeCell ref="A34:C34"/>
    <x:mergeCell ref="A15:C15"/>
    <x:mergeCell ref="A24:C24"/>
    <x:mergeCell ref="A64:C64"/>
    <x:mergeCell ref="A98:C98"/>
    <x:mergeCell ref="A36:C36"/>
    <x:mergeCell ref="A45:C45"/>
    <x:mergeCell ref="A87:C87"/>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2" style="1" customWidth="1"/>
    <x:col min="2" max="2" width="46" style="1" customWidth="1"/>
    <x:col min="3" max="3" width="108" style="1" customWidth="1"/>
    <x:col min="4" max="4" width="12" style="1" customWidth="1"/>
  </x:cols>
  <x:sheetData>
    <x:row r="1" s="1" customFormat="1" ht="46" customHeight="1">
      <x:c r="A1" s="84" t="inlineStr">
        <x:is>
          <x:t xml:space="preserve">HYD 제조 AI  |  실전반 온라인 32H 상세 실라버스</x:t>
        </x:is>
      </x:c>
      <x:c r="D1" s="84" t="n"/>
    </x:row>
    <x:row r="2" s="1" customFormat="1" ht="36" customHeight="1">
      <x:c r="A2" s="66" t="str">
        <x:v>2026-10-26 개편 | 8회×240분 | 온라인 설명·시연 및 Wrap-up 유지 | 시간은 편성값이며 녹화 실측과 구별</x:v>
      </x:c>
      <x:c r="D2" s="49" t="n">
        <x:f>SUM(D13,D26,D38,D49,D61,D75,D85,D97)</x:f>
        <x:v>1920</x:v>
      </x:c>
    </x:row>
    <x:row r="3" s="1" customFormat="1" ht="12" customHeight="1">
      <x:c r="A3" s="73" t="n"/>
      <x:c r="B3" s="73" t="n"/>
      <x:c r="C3" s="73" t="n"/>
      <x:c r="D3" s="73" t="n"/>
    </x:row>
    <x:row r="4" s="1" customFormat="1" ht="39" customHeight="1">
      <x:c r="A4" s="43" t="inlineStr">
        <x:is>
          <x:t xml:space="preserve">01일차  |  설비 데이터가 판단과 조치로 이어지는 전체 흐름 이해하기</x:t>
        </x:is>
      </x:c>
      <x:c r="D4" s="44" t="inlineStr">
        <x:is>
          <x:t xml:space="preserve">4H</x:t>
        </x:is>
      </x:c>
    </x:row>
    <x:row r="5" s="1" customFormat="1" ht="29" customHeight="1">
      <x:c r="A5" s="49" t="inlineStr">
        <x:is>
          <x:t xml:space="preserve">구분</x:t>
        </x:is>
      </x:c>
      <x:c r="B5" s="49" t="inlineStr">
        <x:is>
          <x:t xml:space="preserve">제목</x:t>
        </x:is>
      </x:c>
      <x:c r="C5" s="49" t="inlineStr">
        <x:is>
          <x:t xml:space="preserve">상세 교육 내용</x:t>
        </x:is>
      </x:c>
      <x:c r="D5" s="49" t="inlineStr">
        <x:is>
          <x:t xml:space="preserve">시간(분)</x:t>
        </x:is>
      </x:c>
    </x:row>
    <x:row r="6" s="1" customFormat="1" ht="108" customHeight="1">
      <x:c r="A6" s="56" t="str">
        <x:v>이론</x:v>
      </x:c>
      <x:c r="B6" s="55" t="str">
        <x:v>학습 내용을 지식 자산으로 전환하는 방법 이해하기</x:v>
      </x:c>
      <x:c r="C6" s="53" t="str">
        <x:v>HYD의 전체 흐름을 보고 이후 실습에서 만들 지식·에이전트·업무 연결의 목표를 확인한다. 단순히 내용을 기록하는 것과 나중에 다시 찾아 활용할 수 있는 지식 자산으로 축적하는 것의 차이를 이해한다. 학습한 개념, 핵심 원리, 참고 자료와 출처, 실습 과정 및 결과를 체계적으로 연결해 기록하는 이유를 배운다. Notion을 활용해 수업이 끝난 뒤에도 지식을 검색·보완·재사용할 수 있는 개인 학습 체계를 마련하는 목적을 살펴본다.</x:v>
      </x:c>
      <x:c r="D6" s="54" t="n">
        <x:v>10</x:v>
      </x:c>
    </x:row>
    <x:row r="7" s="1" customFormat="1" ht="60" customHeight="1">
      <x:c r="A7" s="65" t="str">
        <x:v>실습</x:v>
      </x:c>
      <x:c r="B7" s="62" t="str">
        <x:v>Notion으로 지식 자산화를 위한 학습노트 만들기</x:v>
      </x:c>
      <x:c r="C7" s="60" t="str">
        <x:v>Notion에서 학습노트 홈과 주제별 카드·페이지를 구성한다. 샘플 개념·출처·실습 결과를 연결하고 검색·보완·재사용할 수 있도록 저장·재열기를 확인한다.</x:v>
      </x:c>
      <x:c r="D7" s="61" t="n">
        <x:v>50</x:v>
      </x:c>
    </x:row>
    <x:row r="8" s="1" customFormat="1" ht="60" customHeight="1">
      <x:c r="A8" s="56" t="str">
        <x:v>이론</x:v>
      </x:c>
      <x:c r="B8" s="55" t="str">
        <x:v>설비 데이터가 판단으로 이어지는 시스템 구조와 데이터 흐름 이해하기</x:v>
      </x:c>
      <x:c r="C8" s="53" t="str">
        <x:v>선행 SCADA 교육에서 다룬 설비·센서·PLC·관제 화면의 역할을 간단히 복습한다. HYD 시스템의 전체 아키텍처와 L1~L9 레이어, OT·DMZ·IT 영역의 구분과 역할을 학습한다. 센서 데이터가 MQTT·메시지 처리·시계열 DB·분석 서비스를 거쳐 화면과 판단 기능에 활용되는 경로를 살펴본다. 데이터 리니지의 개념을 배우고, 원천 데이터·가공 데이터·이상 이벤트·판단 결과가 어떤 구성요소를 거쳐 생성되는지 살펴본다. 분석 결과가 실제 조치로 이어질 때 명령 게이트웨이와 설비 제어 영역이 필요한 이유도 이해한다.</x:v>
      </x:c>
      <x:c r="D8" s="54" t="n">
        <x:v>50</x:v>
      </x:c>
    </x:row>
    <x:row r="9" s="1" customFormat="1" ht="108" customHeight="1">
      <x:c r="A9" s="65" t="str">
        <x:v>실습</x:v>
      </x:c>
      <x:c r="B9" s="62" t="str">
        <x:v>준비된 수업 환경을 시작하고 실습 자료 열기</x:v>
      </x:c>
      <x:c r="C9" s="60" t="str">
        <x:v>준비된 학교 PC에서 VS Code·AI 코딩 도구·Python·Docker의 역할과 실행 상태를 확인한다. 제공 시작 절차로 HYD 포털을 열어 설비 화면·지식 지도·작업함을 찾는다. 재부팅하면 실습 파일이 사라지는 환경임을 확인하고, 실습 시작 도구로 필요한 자료를 새 폴더에 받아 가이드와 작업 폴더를 여는 방법을 익힌다. 보관할 결과는 USB 또는 개인 클라우드로 내보낸다.</x:v>
      </x:c>
      <x:c r="D9" s="61" t="n">
        <x:v>30</x:v>
      </x:c>
    </x:row>
    <x:row r="10" s="1" customFormat="1" ht="60" customHeight="1">
      <x:c r="A10" s="64" t="str">
        <x:v>실습</x:v>
      </x:c>
      <x:c r="B10" s="55" t="str">
        <x:v>설비 이상 발생부터 판단·승인·조치까지 전체 과정 경험하기</x:v>
      </x:c>
      <x:c r="C10" s="53" t="str">
        <x:v>HYD 포털의 쿨러 열화 시연을 보며 설비 이상→센서 변화·경보→원인 분석→조치 추천→담당자 승인→시스템 조치→효과 재확인의 흐름을 따라간다. 각 단계에 사용된 정보와 다음 단계로 전달된 결과를 비교하고, AI의 추천과 사람의 승인·실제 조치가 서로 다른 단계임을 확인한다.</x:v>
      </x:c>
      <x:c r="D10" s="54" t="n">
        <x:v>20</x:v>
      </x:c>
    </x:row>
    <x:row r="11" s="1" customFormat="1" ht="60" customHeight="1">
      <x:c r="A11" s="63" t="str">
        <x:v>이론</x:v>
      </x:c>
      <x:c r="B11" s="62" t="str">
        <x:v>설비 데이터에 의미와 관계를 부여하는 온톨로지 이해하기</x:v>
      </x:c>
      <x:c r="C11" s="60" t="str">
        <x:v>센서에서 온도가 상승했다는 사실만으로는 어느 부품에 문제가 있는지, 가능한 원인이 무엇인지, 어떤 조치를 취해야 하는지 알기 어려운 이유를 살펴본다. 개별 수치와 데이터, 데이터에 의미를 부여한 정보, 판단에 활용할 수 있는 지식의 차이를 이해한다. 온톨로지가 대상의 종류·속성·관계·제약을 명시적으로 정의해 공통된 의미로 이해하도록 하는 지식 모델임을 배운다. 설비·센서·부품·증상·원인·조치·근거 문서가 어떻게 연결되는지 살펴보고, 단순한 관계 그림이나 그래프 DB 자체가 온톨로지와 동일한 것은 아니라는 점을 구분한다. 이를 통해 이후 원인 탐색과 근거 기반 판단에 온톨로지가 필요한 이유를 이해한다.</x:v>
      </x:c>
      <x:c r="D11" s="61" t="n">
        <x:v>50</x:v>
      </x:c>
    </x:row>
    <x:row r="12" s="1" customFormat="1" ht="118" customHeight="1">
      <x:c r="A12" s="64" t="str">
        <x:v>실습</x:v>
      </x:c>
      <x:c r="B12" s="55" t="str">
        <x:v>설비 이상과 원인·조치의 관계를 시각화하기</x:v>
      </x:c>
      <x:c r="C12" s="53" t="str">
        <x:v>arrows.app의 노드·관계·레이블 작성 방법을 익힌다. 간단한 설비 이상 사례를 바탕으로 설비·센서·증상·원인·조치를 배치하고 각각의 연결 관계를 직접 그린다. 어떤 대상이 다른 대상과 연결되는지, 관계의 방향을 어떻게 표현하는지 살펴본다. 완성한 관계도를 통해 단순히 정보를 나열하는 방식과 관계를 중심으로 표현하는 방식의 차이를 확인한다. 복잡한 온톨로지 스키마와 제약은 다음 학습에서 다룬다. 이 관계를 다음 회차에서 식별자와 속성을 갖춘 모델로 옮겨 실제 질의로 확인한다.</x:v>
      </x:c>
      <x:c r="D12" s="54" t="n">
        <x:v>30</x:v>
      </x:c>
    </x:row>
    <x:row r="13" s="1" customFormat="1" ht="29" customHeight="1">
      <x:c r="A13" s="66" t="inlineStr">
        <x:is>
          <x:t xml:space="preserve">일차 합계</x:t>
        </x:is>
      </x:c>
      <x:c r="D13" s="49" t="n">
        <x:f>SUM(D6:D12)</x:f>
        <x:v>240</x:v>
      </x:c>
    </x:row>
    <x:row r="14">
      <x:c r="A14" s="73" t="n"/>
      <x:c r="B14" s="73" t="n"/>
      <x:c r="C14" s="73" t="n"/>
      <x:c r="D14" s="73" t="n"/>
    </x:row>
    <x:row r="15" s="1" customFormat="1" ht="39" customHeight="1">
      <x:c r="A15" s="43" t="inlineStr">
        <x:is>
          <x:t xml:space="preserve">02일차  |  설비의 지식 구조를 만들고 안전한 조치 기준 마련하기</x:t>
        </x:is>
      </x:c>
      <x:c r="D15" s="44" t="inlineStr">
        <x:is>
          <x:t xml:space="preserve">4H</x:t>
        </x:is>
      </x:c>
    </x:row>
    <x:row r="16" s="1" customFormat="1" ht="29" customHeight="1">
      <x:c r="A16" s="49" t="inlineStr">
        <x:is>
          <x:t xml:space="preserve">구분</x:t>
        </x:is>
      </x:c>
      <x:c r="B16" s="49" t="inlineStr">
        <x:is>
          <x:t xml:space="preserve">제목</x:t>
        </x:is>
      </x:c>
      <x:c r="C16" s="49" t="inlineStr">
        <x:is>
          <x:t xml:space="preserve">상세 교육 내용</x:t>
        </x:is>
      </x:c>
      <x:c r="D16" s="49" t="inlineStr">
        <x:is>
          <x:t xml:space="preserve">시간(분)</x:t>
        </x:is>
      </x:c>
    </x:row>
    <x:row r="17" s="1" customFormat="1" ht="108" customHeight="1">
      <x:c r="A17" s="56" t="inlineStr">
        <x:is>
          <x:t xml:space="preserve">이론</x:t>
        </x:is>
      </x:c>
      <x:c r="B17" s="55" t="inlineStr">
        <x:is>
          <x:t xml:space="preserve">클래스와 인스턴스를 구분해 현장 정보의 구조 이해하기</x:t>
        </x:is>
      </x:c>
      <x:c r="C17" s="53" t="str">
        <x:v>관계도에서 부품이 쓰이는 설비와 공급 정보를 찾고, 작업 조건을 판단에 쓸 수 있는 형태로 바꾼다. 클래스·인스턴스·속성·관계, 관계 방향, 카디널리티를 HYD 설비와 센서 실례로 살펴본다. 같은 종류의 설비와 실제 설비 1대를 구별한다.</x:v>
      </x:c>
      <x:c r="D17" s="54" t="n">
        <x:v>25</x:v>
      </x:c>
    </x:row>
    <x:row r="18" s="1" customFormat="1" ht="108" customHeight="1">
      <x:c r="A18" s="63" t="inlineStr">
        <x:is>
          <x:t xml:space="preserve">이론</x:t>
        </x:is>
      </x:c>
      <x:c r="B18" s="62" t="inlineStr">
        <x:is>
          <x:t xml:space="preserve">일관된 지식 구조를 만들기 위한 스키마 설계 원리 이해하기</x:t>
        </x:is>
      </x:c>
      <x:c r="C18" s="60" t="str">
        <x:v>고유 식별자, 자료형, 필수값, 레이블, 노드 간 관계·제약, 스키마와 인스턴스의 역할 차이를 살펴본다. 중복 부품 명칭과 고유 식별자로 대상을 구분한 결과를 비교한다.</x:v>
      </x:c>
      <x:c r="D18" s="61" t="n">
        <x:v>20</x:v>
      </x:c>
    </x:row>
    <x:row r="19" s="1" customFormat="1" ht="60" customHeight="1">
      <x:c r="A19" s="56" t="inlineStr">
        <x:is>
          <x:t xml:space="preserve">이론</x:t>
        </x:is>
      </x:c>
      <x:c r="B19" s="55" t="inlineStr">
        <x:is>
          <x:t xml:space="preserve">그래프 DB에서 연결 관계를 조회하는 방법 이해하기</x:t>
        </x:is>
      </x:c>
      <x:c r="C19" s="53" t="str">
        <x:v>Neo4j의 노드·관계·속성과 Cypher의 MATCH·WHERE·RETURN·CREATE·MERGE의 목적을 살펴본다. 구조 조회와 실제 데이터 적재를 구분한다.</x:v>
      </x:c>
      <x:c r="D19" s="54" t="n">
        <x:v>15</x:v>
      </x:c>
    </x:row>
    <x:row r="20" s="1" customFormat="1" ht="123" customHeight="1">
      <x:c r="A20" s="65" t="inlineStr">
        <x:is>
          <x:t xml:space="preserve">실습</x:t>
        </x:is>
      </x:c>
      <x:c r="B20" s="62" t="str">
        <x:v>Cypher로 그래프를 다루고 설비 조회 결과 해석하기</x:v>
      </x:c>
      <x:c r="C20" s="60" t="str">
        <x:v>Neo4j Browser의 연결·쿼리 실행·그래프와 표 보기 방법을 익힌다. 작은 예제에서 CREATE·MATCH·WHERE·RETURN·MERGE·SET으로 노드와 관계를 생성·조회·수정하고 그래프를 클릭해 속성을 확인한다. RETURN의 대상에 따른 그래프·표 결과를 비교한다. DELETE·DETACH DELETE 후 재조회해 연습 데이터를 정리한다. 이어 제공 설비 예제에서 구성 요소·센서·부품의 연결을 한 단계·여러 단계 경로로 조회하고 조건·집계 결과를 원래 행과 대조한다. 실습용 예제 DB와 포털 기준 DB를 구분한다.</x:v>
      </x:c>
      <x:c r="D20" s="61" t="n">
        <x:v>15</x:v>
      </x:c>
    </x:row>
    <x:row r="21" s="1" customFormat="1" ht="108" customHeight="1">
      <x:c r="A21" s="64" t="inlineStr">
        <x:is>
          <x:t xml:space="preserve">실습</x:t>
        </x:is>
      </x:c>
      <x:c r="B21" s="55" t="inlineStr">
        <x:is>
          <x:t xml:space="preserve">기준 설비 지식의 실제 연결 구조 확인하기</x:t>
        </x:is>
      </x:c>
      <x:c r="C21" s="53" t="str">
        <x:v>포털 지식 지도에서 설비·구성 요소·부품·문서의 연결을 펼치고 노드의 ID·속성과 관계 방향을 확인한다. 한 부품을 사용하는 설비를 찾고, 연결이 있다는 사실과 실제 재고·공급 조건이 확보됐다는 판단을 구분한다. 이어지는 로컬 랩에서는 제공 공급 자료로 답할 질문을 정한다.</x:v>
      </x:c>
      <x:c r="D21" s="54" t="n">
        <x:v>10</x:v>
      </x:c>
    </x:row>
    <x:row r="22" s="1" customFormat="1" ht="108" customHeight="1">
      <x:c r="A22" s="65" t="inlineStr">
        <x:is>
          <x:t xml:space="preserve">실습</x:t>
        </x:is>
      </x:c>
      <x:c r="B22" s="62" t="str">
        <x:v>설비·부품·공급 정보를 연결하는 온톨로지 설계하기</x:v>
      </x:c>
      <x:c r="C22" s="60" t="str">
        <x:v>제공된 이전 단계 설비·부품 모델에 공급 조건 자료를 연결하도록 모델을 확장한다. 부품별 사용 설비와 공급사별 승인 여부·단가·불량률·납기를 찾을 질문을 정한다. 공용 부품을 설비별로 중복 생성하지 않고 단위와 출처를 보존한다. AI와 작성한 모델을 원자료의 품번·공급사·조건에 대조한다. 공급사를 자동 선정하는 기능은 이번 요구에 포함하지 않는다.</x:v>
      </x:c>
      <x:c r="D22" s="61" t="n">
        <x:v>40</x:v>
      </x:c>
    </x:row>
    <x:row r="23" s="1" customFormat="1" ht="108" customHeight="1">
      <x:c r="A23" s="64" t="inlineStr">
        <x:is>
          <x:t xml:space="preserve">실습</x:t>
        </x:is>
      </x:c>
      <x:c r="B23" s="55" t="str">
        <x:v>부품의 사용 설비와 공급 정보를 조회하는 그래프 구현하기</x:v>
      </x:c>
      <x:c r="C23" s="53" t="str">
        <x:v>앞 단계 완성 모델로 시작해 부품별 사용 설비와 공급 조건을 반환하는 적재·조회문을 작성한다. P-PMP-SEAL의 사용 설비 HYD-01·02·03과 공급 조건 3행을 원자료와 대조한다. 다른 품번과 없는 품번도 확인하고, 비승인 공급사를 승인 상태와 함께 구별한다. 반복 적재의 중복 여부를 검사하고 질의·결과·남은 확인 사항을 저장한다.</x:v>
      </x:c>
      <x:c r="D23" s="54" t="n">
        <x:v>40</x:v>
      </x:c>
    </x:row>
    <x:row r="24" s="1" customFormat="1" ht="60" customHeight="1">
      <x:c r="A24" s="63" t="inlineStr">
        <x:is>
          <x:t xml:space="preserve">이론</x:t>
        </x:is>
      </x:c>
      <x:c r="B24" s="62" t="inlineStr">
        <x:is>
          <x:t xml:space="preserve">작업 절차와 판단 조건이 다른 이유 이해하기</x:t>
        </x:is>
      </x:c>
      <x:c r="C24" s="60" t="str">
        <x:v>SOP의 단계·안전 전제·금지 조건과 DMN의 입력 조건·결정표·출력 판단을 비교한다. 절차를 모두 규칙으로 대체할 수 없다는 점을 살펴본다.</x:v>
      </x:c>
      <x:c r="D24" s="61" t="n">
        <x:v>35</x:v>
      </x:c>
    </x:row>
    <x:row r="25" s="1" customFormat="1" ht="108" customHeight="1">
      <x:c r="A25" s="64" t="inlineStr">
        <x:is>
          <x:t xml:space="preserve">실습</x:t>
        </x:is>
      </x:c>
      <x:c r="B25" s="55" t="str">
        <x:v>작업 기준의 복합 조건과 예외를 조치 조건표로 표현하기</x:v>
      </x:c>
      <x:c r="C25" s="53" t="str">
        <x:v>제공 SOP에서 경고·감점·제외를 구분해 입력·단위·연산자·경계·출력·출처를 조건표로 작성한다. 복수 사유를 함께 남기고, 입력 누락이 있어도 확인된 제외 근거는 보존한다. 후보 유지와 실행 승인을 구별한다. 다음 회차에는 이 조건표로 조치 검토 결과를 만들고 매뉴얼 근거를 연결한다.</x:v>
      </x:c>
      <x:c r="D25" s="54" t="n">
        <x:v>40</x:v>
      </x:c>
    </x:row>
    <x:row r="26" s="1" customFormat="1" ht="29" customHeight="1">
      <x:c r="A26" s="66" t="inlineStr">
        <x:is>
          <x:t xml:space="preserve">일차 합계</x:t>
        </x:is>
      </x:c>
      <x:c r="D26" s="49" t="n">
        <x:f>SUM(D17:D25)</x:f>
        <x:v>240</x:v>
      </x:c>
    </x:row>
    <x:row r="27">
      <x:c r="A27" s="73" t="n"/>
      <x:c r="B27" s="73" t="n"/>
      <x:c r="C27" s="73" t="n"/>
      <x:c r="D27" s="73" t="n"/>
    </x:row>
    <x:row r="28" s="1" customFormat="1" ht="39" customHeight="1">
      <x:c r="A28" s="43" t="inlineStr">
        <x:is>
          <x:t xml:space="preserve">03일차  |  조치의 성과를 비교하고 현장 자료를 판단 근거로 전환하기</x:t>
        </x:is>
      </x:c>
      <x:c r="D28" s="44" t="inlineStr">
        <x:is>
          <x:t xml:space="preserve">4H</x:t>
        </x:is>
      </x:c>
    </x:row>
    <x:row r="29" s="1" customFormat="1" ht="29" customHeight="1">
      <x:c r="A29" s="49" t="inlineStr">
        <x:is>
          <x:t xml:space="preserve">구분</x:t>
        </x:is>
      </x:c>
      <x:c r="B29" s="49" t="inlineStr">
        <x:is>
          <x:t xml:space="preserve">제목</x:t>
        </x:is>
      </x:c>
      <x:c r="C29" s="49" t="inlineStr">
        <x:is>
          <x:t xml:space="preserve">상세 교육 내용</x:t>
        </x:is>
      </x:c>
      <x:c r="D29" s="49" t="inlineStr">
        <x:is>
          <x:t xml:space="preserve">시간(분)</x:t>
        </x:is>
      </x:c>
    </x:row>
    <x:row r="30" s="1" customFormat="1" ht="108" customHeight="1">
      <x:c r="A30" s="56" t="inlineStr">
        <x:is>
          <x:t xml:space="preserve">이론</x:t>
        </x:is>
      </x:c>
      <x:c r="B30" s="55" t="inlineStr">
        <x:is>
          <x:t xml:space="preserve">조치의 효과를 비용과 성과 관점에서 평가하는 기준 이해하기</x:t>
        </x:is>
      </x:c>
      <x:c r="C30" s="53" t="str">
        <x:v>조건표에 따른 조치 선택과 문서의 원문 근거를 연결해 검토 결과와 작업 확인 카드를 만든다. BSC 4관점과 전략 목표·KPI의 역할, 안전을 만족한 후보 사이에서 예상 비용·생산 영향·품질·에너지 측면을 비교하는 이유, What-if 분석의 개념을 살펴본다.</x:v>
      </x:c>
      <x:c r="D30" s="54" t="n">
        <x:v>20</x:v>
      </x:c>
    </x:row>
    <x:row r="31" s="1" customFormat="1" ht="60" customHeight="1">
      <x:c r="A31" s="65" t="inlineStr">
        <x:is>
          <x:t xml:space="preserve">실습</x:t>
        </x:is>
      </x:c>
      <x:c r="B31" s="62" t="inlineStr">
        <x:is>
          <x:t xml:space="preserve">운전 조건을 바꿔 조치의 우선순위와 성과 비교하기</x:t>
        </x:is>
      </x:c>
      <x:c r="C31" s="60" t="str">
        <x:v>포털 What-if에서 같은 설비의 시험 입력을 바꾸고 적용 규칙·허용 또는 제외된 조치·예상 성과를 비교한다. 결과의 근거와 입력 단위를 확인하고 시험값 변경과 실제 설비 조치를 구분한다. 순위가 높은 후보라도 금지 조건에 해당하면 선택할 수 없는 이유를 결과에서 찾는다.</x:v>
      </x:c>
      <x:c r="D31" s="61" t="n">
        <x:v>15</x:v>
      </x:c>
    </x:row>
    <x:row r="32" s="1" customFormat="1" ht="108" customHeight="1">
      <x:c r="A32" s="64" t="inlineStr">
        <x:is>
          <x:t xml:space="preserve">실습</x:t>
        </x:is>
      </x:c>
      <x:c r="B32" s="55" t="str">
        <x:v>판정·성과 비교를 조치 검토 결과로 완성하기</x:v>
      </x:c>
      <x:c r="C32" s="53" t="str">
        <x:v>제공된 완성 조건표에서 출발해 후보별 판정과 조치 검토 결과를 만드는 기능을 작성한다. 경고·감점·제외·정보 부족을 구분하고, 허용 후보만 제공 교육용 비용·생산·품질·에너지 산식으로 비교한다. 검토 결과에 후보별 이유·원문 출처·추가로 확인할 값을 함께 표시한다. 경계값, 제외 사유와 누락이 겹친 입력, 모두 제외된 입력으로 확인한다. 비교 순위와 실제 실행 승인은 구분한다.</x:v>
      </x:c>
      <x:c r="D32" s="54" t="n">
        <x:v>35</x:v>
      </x:c>
    </x:row>
    <x:row r="33" s="1" customFormat="1" ht="60" customHeight="1">
      <x:c r="A33" s="63" t="inlineStr">
        <x:is>
          <x:t xml:space="preserve">이론</x:t>
        </x:is>
      </x:c>
      <x:c r="B33" s="62" t="inlineStr">
        <x:is>
          <x:t xml:space="preserve">현장 문서를 검토 가능한 지식으로 전환하는 전체 과정 이해하기</x:t>
        </x:is>
      </x:c>
      <x:c r="C33" s="60" t="str">
        <x:v>원본 문서 확보→추출→클래스·관계 매핑→원문 대조·검토→승인→그래프 적재→조회, 출처·개정 기록의 원리를 살펴본다. 2일차 샘플 인스턴스 적재와 본격 문서 인제스천의 차이를 구분한다.</x:v>
      </x:c>
      <x:c r="D33" s="61" t="n">
        <x:v>30</x:v>
      </x:c>
    </x:row>
    <x:row r="34" s="1" customFormat="1" ht="108" customHeight="1">
      <x:c r="A34" s="64" t="inlineStr">
        <x:is>
          <x:t xml:space="preserve">실습</x:t>
        </x:is>
      </x:c>
      <x:c r="B34" s="55" t="str">
        <x:v>매뉴얼 근거를 대조하고 작업 확인 항목 정리하기</x:v>
      </x:c>
      <x:c r="C34" s="53" t="str">
        <x:v>제공 매뉴얼의 원문과 포털에 등록된 지식을 대조한다. 팬 운전과 핀 세척의 적용 조건·금지 사항·완료 기준에서 어떤 항목을 작업 전에 확인해야 하는지 찾고 원문 절에 연결한다. 현재 값은 문서의 기준값과 구분해 읽는다. 직접 추가 적재는 마지막 교대 실습에서 제공 보충 매뉴얼로 수행한다.</x:v>
      </x:c>
      <x:c r="D34" s="54" t="n">
        <x:v>35</x:v>
      </x:c>
    </x:row>
    <x:row r="35" s="1" customFormat="1" ht="148" customHeight="1">
      <x:c r="A35" s="65" t="inlineStr">
        <x:is>
          <x:t xml:space="preserve">실습</x:t>
        </x:is>
      </x:c>
      <x:c r="B35" s="62" t="str">
        <x:v>문서에서 작업 조건과 근거를 추출하는 기능 만들기</x:v>
      </x:c>
      <x:c r="C35" s="60" t="str">
        <x:v>포털에서 본 문서 지식화 과정을 VS Code의 독립 랩으로 구현한다. 원문에서 작업 순서·조건·단위·금지 사항을 추출하고 문서 ID·절·인용을 함께 반환하는 기능을 만든다. 생성된 후보를 원문과 대조하여 채택·수정·제외·보류를 기록한다. 다른 문서에도 적용해 누락과 근거 없는 생성을 확인한다. 제공 추출 결과는 비교·연결 장애 시 대안으로 사용하며, 실제 추출 실행과 구분한다. 실전반은 선택한 작업의 준비·금지·완료 조건을 추출하여 다음 실습의 작업 확인 카드에 연결한다.</x:v>
      </x:c>
      <x:c r="D35" s="61" t="n">
        <x:v>40</x:v>
      </x:c>
    </x:row>
    <x:row r="36" s="1" customFormat="1" ht="148" customHeight="1">
      <x:c r="A36" s="64" t="inlineStr">
        <x:is>
          <x:t xml:space="preserve">실습</x:t>
        </x:is>
      </x:c>
      <x:c r="B36" s="55" t="str">
        <x:v>검토 지식으로 작업 확인 카드 만들기</x:v>
      </x:c>
      <x:c r="C36" s="53" t="str">
        <x:v>앞 단계의 검토 결과와 랩 모델에서 시작해 승인 지식을 별도 랩 DB의 기존 ID·관계에 연결한다. 선택한 작업의 준비·금지·완료 조건과 원문 출처를 모아 작업 확인 카드를 생성한다. 다른 작업·미제공 절·반복 적재를 확인하고 남은 질문을 표시한다. 질문·모델·문서·추출/검토·적재·조회 결과를 연결해 온톨로지 구축 결과로 저장한다. 공급 정보와 작업 조건을 어디까지 답할 수 있는지, 현재값·승인 없이 결정할 수 없는 것은 무엇인지 설명한다. 다음 회차에는 이 지식으로 점검 요청을 만든다.</x:v>
      </x:c>
      <x:c r="D36" s="54" t="n">
        <x:v>35</x:v>
      </x:c>
    </x:row>
    <x:row r="37" s="1" customFormat="1" ht="108" customHeight="1">
      <x:c r="A37" s="63" t="inlineStr">
        <x:is>
          <x:t xml:space="preserve">이론</x:t>
        </x:is>
      </x:c>
      <x:c r="B37" s="62" t="inlineStr">
        <x:is>
          <x:t xml:space="preserve">온톨로지 설계부터 지식 활용까지 전체 과정 정리하기 — Wrap-up</x:t>
        </x:is>
      </x:c>
      <x:c r="C37" s="60" t="str">
        <x:v>온톨로지 WHY→클래스·스키마→그래프 DB→SOP·DMN→BSC·KPI→매뉴얼 인제스천의 역할과 다음 에이전트 학습으로 이어지는 지식 자산을 복습한다. 신규 실습 없음. 검토한 근거와 확인 항목은 다음 회차 점검 요청을 작성하는 에이전트의 입력으로 활용한다.</x:v>
      </x:c>
      <x:c r="D37" s="61" t="n">
        <x:v>30</x:v>
      </x:c>
    </x:row>
    <x:row r="38" s="1" customFormat="1" ht="29" customHeight="1">
      <x:c r="A38" s="66" t="inlineStr">
        <x:is>
          <x:t xml:space="preserve">일차 합계</x:t>
        </x:is>
      </x:c>
      <x:c r="D38" s="49" t="n">
        <x:f>SUM(D30:D37)</x:f>
        <x:v>240</x:v>
      </x:c>
    </x:row>
    <x:row r="39">
      <x:c r="A39" s="50" t="n"/>
      <x:c r="B39" s="50" t="n"/>
      <x:c r="C39" s="50" t="n"/>
      <x:c r="D39" s="50" t="n"/>
    </x:row>
    <x:row r="40" s="1" customFormat="1" ht="39" customHeight="1">
      <x:c r="A40" s="43" t="inlineStr">
        <x:is>
          <x:t xml:space="preserve">04일차  |  업무를 수행하는 AI를 만들고 다양한 도구 연결하기</x:t>
        </x:is>
      </x:c>
      <x:c r="D40" s="44" t="inlineStr">
        <x:is>
          <x:t xml:space="preserve">4H</x:t>
        </x:is>
      </x:c>
    </x:row>
    <x:row r="41" s="1" customFormat="1" ht="29" customHeight="1">
      <x:c r="A41" s="49" t="inlineStr">
        <x:is>
          <x:t xml:space="preserve">구분</x:t>
        </x:is>
      </x:c>
      <x:c r="B41" s="49" t="inlineStr">
        <x:is>
          <x:t xml:space="preserve">제목</x:t>
        </x:is>
      </x:c>
      <x:c r="C41" s="49" t="inlineStr">
        <x:is>
          <x:t xml:space="preserve">상세 교육 내용</x:t>
        </x:is>
      </x:c>
      <x:c r="D41" s="49" t="inlineStr">
        <x:is>
          <x:t xml:space="preserve">시간(분)</x:t>
        </x:is>
      </x:c>
    </x:row>
    <x:row r="42" s="1" customFormat="1" ht="148" customHeight="1">
      <x:c r="A42" s="56" t="inlineStr">
        <x:is>
          <x:t xml:space="preserve">이론</x:t>
        </x:is>
      </x:c>
      <x:c r="B42" s="55" t="inlineStr">
        <x:is>
          <x:t xml:space="preserve">실제 업무를 수행하는 AI의 구조 이해하기</x:t>
        </x:is>
      </x:c>
      <x:c r="C42" s="53" t="str">
        <x:v>온톨로지 구축 결과를 점검 요청에 활용하는 사례에서 출발해 분석·시각화, 회의 후속 업무, 자기 자료 학습, 작성·검토 협업으로 에이전트의 활용 범위를 살펴본다. LLM·RAG·Agent의 목표·근거·도구·반복 실행 차이를 비교하고, 작업마다 필요한 입력·결과·검증이 달라짐을 이해한다. 로컬 실습은 근거 있는 점검 요청과 외부 자료를 연결한 다음 협의 안건으로 완성한다. 무엇이든 자동 수행한다고 가정하지 않고 연결된 기능·권한·종료 조건과 사람의 판단을 구분한다.</x:v>
      </x:c>
      <x:c r="D42" s="54" t="n">
        <x:v>30</x:v>
      </x:c>
    </x:row>
    <x:row r="43" s="1" customFormat="1" ht="108" customHeight="1">
      <x:c r="A43" s="65" t="inlineStr">
        <x:is>
          <x:t xml:space="preserve">실습</x:t>
        </x:is>
      </x:c>
      <x:c r="B43" s="62" t="str">
        <x:v>업무 에이전트를 구성하고 질문의 도구·근거 확인하기</x:v>
      </x:c>
      <x:c r="C43" s="60" t="str">
        <x:v>포털의 제공 에이전트에서 목표·지침·조회 도구를 읽고 수업용 에이전트를 구성한다. 지정 모델과 준비된 조회 서버 안에서 원인 근거와 추가 확인을 정리하도록 목표·지침을 작성한다. 같은 대상의 질문을 실행하고 실제 호출 입력·결과·관측 시각을 대조한다. 답이 길어진 것보다 근거가 확인되고 모르는 항목이 구분되는지 확인하며 설정과 결과를 저장한다.</x:v>
      </x:c>
      <x:c r="D43" s="61" t="n">
        <x:v>25</x:v>
      </x:c>
    </x:row>
    <x:row r="44" s="1" customFormat="1" ht="128" customHeight="1">
      <x:c r="A44" s="64" t="inlineStr">
        <x:is>
          <x:t xml:space="preserve">실습</x:t>
        </x:is>
      </x:c>
      <x:c r="B44" s="55" t="str">
        <x:v>원인 분석을 점검 요청 초안으로 연결하기</x:v>
      </x:c>
      <x:c r="C44" s="53" t="str">
        <x:v>포털에서 본 조회·판단을 독립 에이전트로 구현한다. 설비 그래프와 사례 입력을 읽는 도구를 연결하고 호출 기록에서 선택한 도구·입력·결과를 확인한다. 원인 후보·근거·추가 확인을 대상 설비·부품·관측 시각·확인 항목이 있는 점검 요청 초안으로 바꾼다. 오래된 값·표본 부족·복수 원인과 문서 기준의 차이를 대조한다. 다른 대상에도 적용하고 가설을 확정 원인으로 쓰거나 작업지시를 발행한 것처럼 표시하지 않는지 검증한다.</x:v>
      </x:c>
      <x:c r="D44" s="54" t="n">
        <x:v>45</x:v>
      </x:c>
    </x:row>
    <x:row r="45" s="1" customFormat="1" ht="60" customHeight="1">
      <x:c r="A45" s="63" t="inlineStr">
        <x:is>
          <x:t xml:space="preserve">이론</x:t>
        </x:is>
      </x:c>
      <x:c r="B45" s="62" t="inlineStr">
        <x:is>
          <x:t xml:space="preserve">반복 업무를 재사용 가능한 능력으로 만들기</x:t>
        </x:is>
      </x:c>
      <x:c r="C45" s="60" t="str">
        <x:v>SKILL.md의 목표·호출 조건·입출력·절차, 현장 SOP와 Agent Skill의 차이를 학습한다. 여러 업무에 같은 지침을 재사용하는 이유를 살펴본다.</x:v>
      </x:c>
      <x:c r="D45" s="61" t="n">
        <x:v>25</x:v>
      </x:c>
    </x:row>
    <x:row r="46" s="1" customFormat="1" ht="108" customHeight="1">
      <x:c r="A46" s="64" t="inlineStr">
        <x:is>
          <x:t xml:space="preserve">실습</x:t>
        </x:is>
      </x:c>
      <x:c r="B46" s="55" t="str">
        <x:v>회의 결정과 후속 업무를 추출하는 스킬 만들기</x:v>
      </x:c>
      <x:c r="C46" s="53" t="str">
        <x:v>제공된 두 회의록에서 결정·제안·조건부 작업·담당 미정을 구분하는 스킬을 작성한다. 이전 결정과 후속 확인을 연결하여 전달 완료와 발주 완료, 설비별 점검 상태를 구별한다. 각 미결 항목에 다음 협의에서 확인할 질문과 원문 근거를 남기도록 지침을 보완한다. 두 원문에 다시 적용해 특정 이름·날짜에만 맞춘 결과가 아닌지 확인한다.</x:v>
      </x:c>
      <x:c r="D46" s="54" t="n">
        <x:v>45</x:v>
      </x:c>
    </x:row>
    <x:row r="47" s="1" customFormat="1" ht="60" customHeight="1">
      <x:c r="A47" s="63" t="inlineStr">
        <x:is>
          <x:t xml:space="preserve">이론</x:t>
        </x:is>
      </x:c>
      <x:c r="B47" s="62" t="inlineStr">
        <x:is>
          <x:t xml:space="preserve">외부 시스템과 안전하게 연결하는 방법 이해하기</x:t>
        </x:is>
      </x:c>
      <x:c r="C47" s="60" t="str">
        <x:v>MCP Host·Client·Server·Tool, stdio·HTTP, 입력 스키마·출력, 읽기/쓰기 권한·호출 실패, HYD 포털과 로컬 MCP 설정의 차이를 살펴본다.</x:v>
      </x:c>
      <x:c r="D47" s="61" t="n">
        <x:v>25</x:v>
      </x:c>
    </x:row>
    <x:row r="48" s="1" customFormat="1" ht="148" customHeight="1">
      <x:c r="A48" s="64" t="inlineStr">
        <x:is>
          <x:t xml:space="preserve">실습</x:t>
        </x:is>
      </x:c>
      <x:c r="B48" s="55" t="str">
        <x:v>외부 MCP와 내 도구로 다음 협의 안건 만들기</x:v>
      </x:c>
      <x:c r="C48" s="53" t="str">
        <x:v>자기가 정리한 Notion 회의·학습 기록의 읽기 연결과 파일·Git·시간 MCP를 설정한다. 제공 서버 골격에 점검 메모 조회 함수를 구현하고 외부 도구와 조합한다. 앞 회의 스킬을 재사용해 결정할 질문·확인된 사실·남은 확인·페이지나 파일 근거를 담은 다음 협의 안건을 만든다. 서로 다른 회의와 후속 변경을 대조하여 결정이 사라지거나 중복되지 않는지 확인한다. 접근 실패를 업무 없음으로 처리하지 않는다. Notion 미연결 시 같은 자료의 내보내기로 이어가되 연결 성공으로 기록하지 않는다.</x:v>
      </x:c>
      <x:c r="D48" s="54" t="n">
        <x:v>45</x:v>
      </x:c>
    </x:row>
    <x:row r="49" s="1" customFormat="1" ht="29" customHeight="1">
      <x:c r="A49" s="66" t="inlineStr">
        <x:is>
          <x:t xml:space="preserve">일차 합계</x:t>
        </x:is>
      </x:c>
      <x:c r="D49" s="49" t="n">
        <x:f>SUM(D42:D48)</x:f>
        <x:v>240</x:v>
      </x:c>
    </x:row>
    <x:row r="50">
      <x:c r="A50" s="50" t="n"/>
      <x:c r="B50" s="50" t="n"/>
      <x:c r="C50" s="50" t="n"/>
      <x:c r="D50" s="50" t="n"/>
    </x:row>
    <x:row r="51" s="1" customFormat="1" ht="39" customHeight="1">
      <x:c r="A51" s="43" t="inlineStr">
        <x:is>
          <x:t xml:space="preserve">05일차  |  사람과 협업하고 변경된 기능까지 검증하기</x:t>
        </x:is>
      </x:c>
      <x:c r="D51" s="44" t="inlineStr">
        <x:is>
          <x:t xml:space="preserve">4H</x:t>
        </x:is>
      </x:c>
    </x:row>
    <x:row r="52" s="1" customFormat="1" ht="29" customHeight="1">
      <x:c r="A52" s="49" t="inlineStr">
        <x:is>
          <x:t xml:space="preserve">구분</x:t>
        </x:is>
      </x:c>
      <x:c r="B52" s="49" t="inlineStr">
        <x:is>
          <x:t xml:space="preserve">제목</x:t>
        </x:is>
      </x:c>
      <x:c r="C52" s="49" t="inlineStr">
        <x:is>
          <x:t xml:space="preserve">상세 교육 내용</x:t>
        </x:is>
      </x:c>
      <x:c r="D52" s="49" t="inlineStr">
        <x:is>
          <x:t xml:space="preserve">시간(분)</x:t>
        </x:is>
      </x:c>
    </x:row>
    <x:row r="53" s="1" customFormat="1" ht="108" customHeight="1">
      <x:c r="A53" s="56" t="inlineStr">
        <x:is>
          <x:t xml:space="preserve">이론</x:t>
        </x:is>
      </x:c>
      <x:c r="B53" s="55" t="inlineStr">
        <x:is>
          <x:t xml:space="preserve">사람이 최종 판단해야 하는 상황 이해하기</x:t>
        </x:is>
      </x:c>
      <x:c r="C53" s="53" t="str">
        <x:v>점검 요청을 바로 확정할 수 없는 경우를 구분하고, 새 요구를 반영해도 기존 조건을 지키게 한다. HITL의 승인·보류·거절, 역할별 책임·감사 기록, AI의 자체 검토와 사람 결정의 차이를 살펴본다.</x:v>
      </x:c>
      <x:c r="D53" s="54" t="n">
        <x:v>20</x:v>
      </x:c>
    </x:row>
    <x:row r="54" s="1" customFormat="1" ht="92" customHeight="1">
      <x:c r="A54" s="65" t="inlineStr">
        <x:is>
          <x:t xml:space="preserve">실습</x:t>
        </x:is>
      </x:c>
      <x:c r="B54" s="62" t="inlineStr">
        <x:is>
          <x:t xml:space="preserve">사람 승인에 따라 업무가 달라지는 과정 확인하기</x:t>
        </x:is>
      </x:c>
      <x:c r="C54" s="60" t="str">
        <x:v>포털의 처리 건과 내 작업함에서 승인 대기 작업·담당 역할·추천 근거를 확인한다. 수업용 승인·거절 사례의 처리 결과를 비교하고, 대기 상태와 완료 상태를 구분한다. 승인하지 않은 추천이 실제 명령이나 업무 처리로 이어지지 않는지 실행 이력을 확인한다.</x:v>
      </x:c>
      <x:c r="D54" s="61" t="n">
        <x:v>15</x:v>
      </x:c>
    </x:row>
    <x:row r="55" s="1" customFormat="1" ht="108" customHeight="1">
      <x:c r="A55" s="64" t="inlineStr">
        <x:is>
          <x:t xml:space="preserve">실습</x:t>
        </x:is>
      </x:c>
      <x:c r="B55" s="55" t="str">
        <x:v>점검 요청의 부족한 정보를 질문하고 재개하기</x:v>
      </x:c>
      <x:c r="C55" s="53" t="str">
        <x:v>제공된 이전 단계 점검 요청 기능에서 시작한다. 요청의 설비·경보·사례를 기존 자료로 먼저 확인하고 부족하거나 충돌한 정보만 질문하도록 확장한다. 답변을 같은 요청 번호에 연결해 다시 판단하며, 다른 요청의 답이 섞이지 않는지 대조한다. 초안의 확인 항목이 답변 전후에 어떻게 바뀌었는지 기록하고 정보 답변과 실제 승인을 구분한다.</x:v>
      </x:c>
      <x:c r="D55" s="54" t="n">
        <x:v>35</x:v>
      </x:c>
    </x:row>
    <x:row r="56" s="1" customFormat="1" ht="60" customHeight="1">
      <x:c r="A56" s="63" t="inlineStr">
        <x:is>
          <x:t xml:space="preserve">이론</x:t>
        </x:is>
      </x:c>
      <x:c r="B56" s="62" t="inlineStr">
        <x:is>
          <x:t xml:space="preserve">기존 기능을 보존하면서 요구사항 확장하기</x:t>
        </x:is>
      </x:c>
      <x:c r="C56" s="60" t="str">
        <x:v>SDD의 입력/출력 계약·제약·수용 기준과 모호한 바이브 코딩 변경의 위험을 살펴본다. spec.md에 지켜야 할 일반 업무 기능과 긴급 요청의 차이를 명시하는 이유를 연결한다.</x:v>
      </x:c>
      <x:c r="D56" s="61" t="n">
        <x:v>30</x:v>
      </x:c>
    </x:row>
    <x:row r="57" s="1" customFormat="1" ht="108" customHeight="1">
      <x:c r="A57" s="64" t="inlineStr">
        <x:is>
          <x:t xml:space="preserve">실습</x:t>
        </x:is>
      </x:c>
      <x:c r="B57" s="55" t="str">
        <x:v>내 활용 기능의 요구 변경을 명세하고 구현하기</x:v>
      </x:c>
      <x:c r="C57" s="53" t="str">
        <x:v>점검 요청에 긴급 확인 표시를 추가하는 요구를 명세한다. 제공 교육용 조건인 쿨러 경보·유효한 TS1 120초 평균 60도 이상을 적용하고, 값 누락·신선도 실패·표본 부족은 미판정으로 남긴다. 기존 요청의 출력과 질문·승인 조건을 보존하면서 구현한다. 요청 초안에서 긴급 표시의 이유와 확인할 항목을 읽을 수 있는지 대조한다. 실제 설비 기준이나 승인 권한은 바꾸지 않는다.</x:v>
      </x:c>
      <x:c r="D57" s="54" t="n">
        <x:v>50</x:v>
      </x:c>
    </x:row>
    <x:row r="58" s="1" customFormat="1" ht="60" customHeight="1">
      <x:c r="A58" s="63" t="inlineStr">
        <x:is>
          <x:t xml:space="preserve">이론</x:t>
        </x:is>
      </x:c>
      <x:c r="B58" s="62" t="inlineStr">
        <x:is>
          <x:t xml:space="preserve">에이전트의 행동을 시나리오로 검증하기</x:t>
        </x:is>
      </x:c>
      <x:c r="C58" s="60" t="str">
        <x:v>BDD의 Given/When/Then, SDD와의 차이, 정상·누락·거절·경계 조건 및 회귀 검증을 살펴본다.</x:v>
      </x:c>
      <x:c r="D58" s="61" t="n">
        <x:v>20</x:v>
      </x:c>
    </x:row>
    <x:row r="59" s="1" customFormat="1" ht="108" customHeight="1">
      <x:c r="A59" s="64" t="inlineStr">
        <x:is>
          <x:t xml:space="preserve">실습</x:t>
        </x:is>
      </x:c>
      <x:c r="B59" s="55" t="str">
        <x:v>직접 정한 기대 결과로 활용 기능 검증하기</x:v>
      </x:c>
      <x:c r="C59" s="53" t="str">
        <x:v>일반·긴급·경계값·정보 누락·거절·도구 오류의 기대 결과를 명세와 원자료에서 먼저 작성한다. 테스트 골격에 판정 코드를 구현하여 점검 요청의 긴급 표시·근거·미확인·기존 출력 계약을 검사한다. 실제 오류의 원인을 고친 뒤 기존 사례도 재실행한다. 모델 표현 차이와 계약 위반을 구분하고, 새 대상에 적용한 결과와 재사용할 명세·검증 기록을 저장한다.</x:v>
      </x:c>
      <x:c r="D59" s="54" t="n">
        <x:v>40</x:v>
      </x:c>
    </x:row>
    <x:row r="60" s="1" customFormat="1" ht="108" customHeight="1">
      <x:c r="A60" s="63" t="inlineStr">
        <x:is>
          <x:t xml:space="preserve">이론</x:t>
        </x:is>
      </x:c>
      <x:c r="B60" s="62" t="inlineStr">
        <x:is>
          <x:t xml:space="preserve">업무 에이전트의 제작과 검증 과정 정리하기 — Wrap-up</x:t>
        </x:is>
      </x:c>
      <x:c r="C60" s="60" t="str">
        <x:v>Agent·Skill·MCP·HITL·SDD·BDD가 각각 해결하는 문제와 구현 산출물을 복습하고 BPMN 업무 연결을 예고한다. 새로운 실습 없음. 검증한 개별 작업을 다음 회차에서 사람의 승인과 연결한 BPMN 흐름으로 표현한다.</x:v>
      </x:c>
      <x:c r="D60" s="61" t="n">
        <x:v>30</x:v>
      </x:c>
    </x:row>
    <x:row r="61" s="1" customFormat="1" ht="29" customHeight="1">
      <x:c r="A61" s="66" t="inlineStr">
        <x:is>
          <x:t xml:space="preserve">일차 합계</x:t>
        </x:is>
      </x:c>
      <x:c r="D61" s="49" t="n">
        <x:f>SUM(D53:D60)</x:f>
        <x:v>240</x:v>
      </x:c>
    </x:row>
    <x:row r="62">
      <x:c r="A62" s="50" t="n"/>
      <x:c r="B62" s="50" t="n"/>
      <x:c r="C62" s="50" t="n"/>
      <x:c r="D62" s="50" t="n"/>
    </x:row>
    <x:row r="63" s="1" customFormat="1" ht="39" customHeight="1">
      <x:c r="A63" s="43" t="inlineStr">
        <x:is>
          <x:t xml:space="preserve">06일차  |  설비 이상 대응을 안전하게 실행하는 프로세스 완성하기</x:t>
        </x:is>
      </x:c>
      <x:c r="D63" s="44" t="inlineStr">
        <x:is>
          <x:t xml:space="preserve">4H</x:t>
        </x:is>
      </x:c>
    </x:row>
    <x:row r="64" s="1" customFormat="1" ht="29" customHeight="1">
      <x:c r="A64" s="49" t="inlineStr">
        <x:is>
          <x:t xml:space="preserve">구분</x:t>
        </x:is>
      </x:c>
      <x:c r="B64" s="49" t="inlineStr">
        <x:is>
          <x:t xml:space="preserve">제목</x:t>
        </x:is>
      </x:c>
      <x:c r="C64" s="49" t="inlineStr">
        <x:is>
          <x:t xml:space="preserve">상세 교육 내용</x:t>
        </x:is>
      </x:c>
      <x:c r="D64" s="49" t="inlineStr">
        <x:is>
          <x:t xml:space="preserve">시간(분)</x:t>
        </x:is>
      </x:c>
    </x:row>
    <x:row r="65" s="1" customFormat="1" ht="108" customHeight="1">
      <x:c r="A65" s="56" t="inlineStr">
        <x:is>
          <x:t xml:space="preserve">이론</x:t>
        </x:is>
      </x:c>
      <x:c r="B65" s="55" t="inlineStr">
        <x:is>
          <x:t xml:space="preserve">AI 작업과 비즈니스 프로세스의 차이 이해하기</x:t>
        </x:is>
      </x:c>
      <x:c r="C65" s="53" t="str">
        <x:v>개별 판단이 실제 조치로 이어지려면 어떤 역할·승인·실행 연결이 필요한지 흐름과 기록을 대조한다. End-to-End 업무, 시작·입력·담당·완료와 BPM의 분석·설계·실행·모니터링·개선, 에이전트의 단일 작업과 오케스트레이션의 전체 흐름 책임을 살펴본다.</x:v>
      </x:c>
      <x:c r="D65" s="54" t="n">
        <x:v>20</x:v>
      </x:c>
    </x:row>
    <x:row r="66" s="1" customFormat="1" ht="60" customHeight="1">
      <x:c r="A66" s="63" t="inlineStr">
        <x:is>
          <x:t xml:space="preserve">이론</x:t>
        </x:is>
      </x:c>
      <x:c r="B66" s="62" t="inlineStr">
        <x:is>
          <x:t xml:space="preserve">업무 흐름을 표현하는 공통 규칙 이해하기</x:t>
        </x:is>
      </x:c>
      <x:c r="C66" s="60" t="str">
        <x:v>BPMN의 Event·Task·Gateway·Lane·Sequence Flow·Message Flow, 승인·거절·Timer·Boundary Event를 설비 이상 대응을 통해 살펴본다.</x:v>
      </x:c>
      <x:c r="D66" s="61" t="n">
        <x:v>20</x:v>
      </x:c>
    </x:row>
    <x:row r="67" s="1" customFormat="1" ht="60" customHeight="1">
      <x:c r="A67" s="56" t="inlineStr">
        <x:is>
          <x:t xml:space="preserve">이론</x:t>
        </x:is>
      </x:c>
      <x:c r="B67" s="55" t="inlineStr">
        <x:is>
          <x:t xml:space="preserve">프로세스의 실행과 통제 구조 이해하기</x:t>
        </x:is>
      </x:c>
      <x:c r="C67" s="53" t="str">
        <x:v>정의·인스턴스·프로세스 변수·Token, 프로세스 엔진, User/Service/Agent 작업, 상태·권한·배포·감사 기록의 의미를 살펴본다.</x:v>
      </x:c>
      <x:c r="D67" s="54" t="n">
        <x:v>20</x:v>
      </x:c>
    </x:row>
    <x:row r="68" s="1" customFormat="1" ht="60" customHeight="1">
      <x:c r="A68" s="65" t="inlineStr">
        <x:is>
          <x:t xml:space="preserve">실습</x:t>
        </x:is>
      </x:c>
      <x:c r="B68" s="62" t="inlineStr">
        <x:is>
          <x:t xml:space="preserve">업무 설계 도구의 기본 사용법 익히기</x:t>
        </x:is>
      </x:c>
      <x:c r="C68" s="60" t="str">
        <x:v>bpmn.io에서 요소 배치·연결·수정·속성 확인, .bpmn 저장·불러오기를 직접 실행한다.</x:v>
      </x:c>
      <x:c r="D68" s="61" t="n">
        <x:v>20</x:v>
      </x:c>
    </x:row>
    <x:row r="69" s="1" customFormat="1" ht="60" customHeight="1">
      <x:c r="A69" s="64" t="inlineStr">
        <x:is>
          <x:t xml:space="preserve">실습</x:t>
        </x:is>
      </x:c>
      <x:c r="B69" s="55" t="inlineStr">
        <x:is>
          <x:t xml:space="preserve">간단한 승인 업무 흐름 그려보기</x:t>
        </x:is>
      </x:c>
      <x:c r="C69" s="53" t="str">
        <x:v>시작→요청 확인→승인 여부→승인/반려 종료를 그려 Event·Task·Gateway와 각 경로 연결을 확인한다.</x:v>
      </x:c>
      <x:c r="D69" s="54" t="n">
        <x:v>15</x:v>
      </x:c>
    </x:row>
    <x:row r="70" s="1" customFormat="1" ht="60" customHeight="1">
      <x:c r="A70" s="65" t="inlineStr">
        <x:is>
          <x:t xml:space="preserve">실습</x:t>
        </x:is>
      </x:c>
      <x:c r="B70" s="62" t="inlineStr">
        <x:is>
          <x:t xml:space="preserve">설비 이상을 조치까지 연결하는 흐름 설계하기</x:t>
        </x:is>
      </x:c>
      <x:c r="C70" s="60" t="str">
        <x:v>쿨러 경보→진단·조치 제안 에이전트→운전원 승인→PLC 명령→효과 재확인→보고를 bpmn.io에서 작성하고 역할별 Lane을 구성한다.</x:v>
      </x:c>
      <x:c r="D70" s="61" t="n">
        <x:v>40</x:v>
      </x:c>
    </x:row>
    <x:row r="71" s="1" customFormat="1" ht="60" customHeight="1">
      <x:c r="A71" s="64" t="inlineStr">
        <x:is>
          <x:t xml:space="preserve">실습</x:t>
        </x:is>
      </x:c>
      <x:c r="B71" s="55" t="inlineStr">
        <x:is>
          <x:t xml:space="preserve">승인 조건과 예외를 반영해 안전한 흐름 만들기</x:t>
        </x:is>
      </x:c>
      <x:c r="C71" s="53" t="str">
        <x:v>승인·거절 분기, 반려 종료, 승인 지연 알림 Timer를 구성한다. 거절 시 명령이 실행되지 않으며 알림이 사람 작업을 취소하지 않는 구조를 확인한다.</x:v>
      </x:c>
      <x:c r="D71" s="54" t="n">
        <x:v>30</x:v>
      </x:c>
    </x:row>
    <x:row r="72" s="1" customFormat="1" ht="92" customHeight="1">
      <x:c r="A72" s="65" t="inlineStr">
        <x:is>
          <x:t xml:space="preserve">실습</x:t>
        </x:is>
      </x:c>
      <x:c r="B72" s="62" t="str">
        <x:v>작성한 BPMN과 등록된 작업의 실행 연결 비교하기</x:v>
      </x:c>
      <x:c r="C72" s="60" t="str">
        <x:v>bpmn.io에서 작성한 설비 대응 흐름과 포털에 등록된 기준 흐름을 비교한다. 제공 매핑 자료에서 시작 이벤트·에이전트·운전원 승인·설비 명령·재관측 작업의 연결을 찾는다. 자신이 그린 각 작업이 어떤 실행 기능에 대응하는지 표시하고, 그림 파일과 실행 정의를 구분한다.</x:v>
      </x:c>
      <x:c r="D72" s="61" t="n">
        <x:v>30</x:v>
      </x:c>
    </x:row>
    <x:row r="73" s="1" customFormat="1" ht="92" customHeight="1">
      <x:c r="A73" s="64" t="inlineStr">
        <x:is>
          <x:t xml:space="preserve">실습</x:t>
        </x:is>
      </x:c>
      <x:c r="B73" s="55" t="str">
        <x:v>BPMN의 역할·분기·종료 연결 검사하고 수정하기</x:v>
      </x:c>
      <x:c r="C73" s="53" t="str">
        <x:v>자신의 BPMN에서 승인·반려 경로와 종료 연결을 따라가며 누락을 찾고 수정한다. 제공 기준 BPMN·매핑 자료와 비교하여 작업별 담당 역할과 실행 기능이 빠지지 않았는지 확인한다. 수정한 그림을 저장하고 다시 열어 연결을 확인한다.</x:v>
      </x:c>
      <x:c r="D73" s="54" t="n">
        <x:v>25</x:v>
      </x:c>
    </x:row>
    <x:row r="74" s="1" customFormat="1" ht="108" customHeight="1">
      <x:c r="A74" s="65" t="inlineStr">
        <x:is>
          <x:t xml:space="preserve">실습</x:t>
        </x:is>
      </x:c>
      <x:c r="B74" s="62" t="inlineStr">
        <x:is>
          <x:t xml:space="preserve">실제 설비 이벤트로 프로세스의 처리 결과 검증하기</x:t>
        </x:is>
      </x:c>
      <x:c r="C74" s="60" t="str">
        <x:v>포털의 준비된 냉각 대응 시나리오 A를 실행하고 같은 처리 건의 판단→운전원 승인→명령→재관측→보고를 따라간다. 승인 대기·거절·보류는 실제 기록이나 제공 사례와 구분해 비교한다. 명령 처리와 온도 회복, 작업지시 등록과 정비 완료를 따로 확인한다. 다음 담당자가 계속 확인할 일이 무엇인지 근거와 함께 설명한다. 작성한 BPMN에서 해당 작업을 찾고 실제 정의·판본·처리 건과 결과를 기록한다.</x:v>
      </x:c>
      <x:c r="D74" s="61" t="n">
        <x:v>20</x:v>
      </x:c>
    </x:row>
    <x:row r="75" s="1" customFormat="1" ht="29" customHeight="1">
      <x:c r="A75" s="66" t="inlineStr">
        <x:is>
          <x:t xml:space="preserve">일차 합계</x:t>
        </x:is>
      </x:c>
      <x:c r="D75" s="49" t="n">
        <x:f>SUM(D65:D74)</x:f>
        <x:v>240</x:v>
      </x:c>
    </x:row>
    <x:row r="76">
      <x:c r="A76" s="50" t="n"/>
      <x:c r="B76" s="50" t="n"/>
      <x:c r="C76" s="50" t="n"/>
      <x:c r="D76" s="50" t="n"/>
    </x:row>
    <x:row r="77" s="1" customFormat="1" ht="39" customHeight="1">
      <x:c r="A77" s="43" t="inlineStr">
        <x:is>
          <x:t xml:space="preserve">07일차  |  정비와 구매 업무를 연결하고 프로세스의 실행 결과 검증하기</x:t>
        </x:is>
      </x:c>
      <x:c r="D77" s="44" t="inlineStr">
        <x:is>
          <x:t xml:space="preserve">4H</x:t>
        </x:is>
      </x:c>
    </x:row>
    <x:row r="78" s="1" customFormat="1" ht="29" customHeight="1">
      <x:c r="A78" s="49" t="inlineStr">
        <x:is>
          <x:t xml:space="preserve">구분</x:t>
        </x:is>
      </x:c>
      <x:c r="B78" s="49" t="inlineStr">
        <x:is>
          <x:t xml:space="preserve">제목</x:t>
        </x:is>
      </x:c>
      <x:c r="C78" s="49" t="inlineStr">
        <x:is>
          <x:t xml:space="preserve">상세 교육 내용</x:t>
        </x:is>
      </x:c>
      <x:c r="D78" s="49" t="inlineStr">
        <x:is>
          <x:t xml:space="preserve">시간(분)</x:t>
        </x:is>
      </x:c>
    </x:row>
    <x:row r="79" s="1" customFormat="1" ht="108" customHeight="1">
      <x:c r="A79" s="56" t="inlineStr">
        <x:is>
          <x:t xml:space="preserve">이론</x:t>
        </x:is>
      </x:c>
      <x:c r="B79" s="55" t="inlineStr">
        <x:is>
          <x:t xml:space="preserve">여러 업무의 시작 조건과 실행 결과를 일관되게 관리하기</x:t>
        </x:is>
      </x:c>
      <x:c r="C79" s="53" t="str">
        <x:v>설비 제어와 정비·구매 처리가 끝나는 지점을 구분하고 각 결과를 실행 기록에서 확인한다. 정기 점검 도래와 재고 부족 시작 이벤트, 승인자·시스템 차이, 프로세스 정의 재사용·인스턴스 상태·배포·오류·반려 기록을 사례로 살펴본다.</x:v>
      </x:c>
      <x:c r="D79" s="54" t="n">
        <x:v>20</x:v>
      </x:c>
    </x:row>
    <x:row r="80" s="1" customFormat="1" ht="60" customHeight="1">
      <x:c r="A80" s="65" t="inlineStr">
        <x:is>
          <x:t xml:space="preserve">실습</x:t>
        </x:is>
      </x:c>
      <x:c r="B80" s="62" t="inlineStr">
        <x:is>
          <x:t xml:space="preserve">정기 점검부터 작업지시까지 이어지는 프로세스 설계하기</x:t>
        </x:is>
      </x:c>
      <x:c r="C80" s="60" t="str">
        <x:v>bpmn.io에서 정기 점검 도래→정비 계획 에이전트→설비보전팀장 승인·거절→CMMS 오더→생산팀 공지→종료를 그린다. 공통 역할·승인 구조에 기반해 작업과 분기 조건을 완성한다.</x:v>
      </x:c>
      <x:c r="D80" s="61" t="n">
        <x:v>50</x:v>
      </x:c>
    </x:row>
    <x:row r="81" s="1" customFormat="1" ht="108" customHeight="1">
      <x:c r="A81" s="64" t="inlineStr">
        <x:is>
          <x:t xml:space="preserve">실습</x:t>
        </x:is>
      </x:c>
      <x:c r="B81" s="55" t="inlineStr">
        <x:is>
          <x:t xml:space="preserve">정비 프로세스를 실행하고 승인 조건 검증하기</x:t>
        </x:is>
      </x:c>
      <x:c r="C81" s="53" t="str">
        <x:v>포털의 준비된 정기 점검 시나리오 B에서 점검 시점 제안과 근거를 읽고 담당자의 결정을 거친다. 같은 처리 건의 작업지시·부품 예약·생산 공지·보고를 대조한다. 오더 등록은 실제 정비 완료와 구분한다. 예약 뒤 실제 정비와 다음 교대에 남는 확인을 정리한다. 거절·보류 사례는 확인한 기록 범위에서 비교하고, 실행 결과를 자신의 BPMN 작업과 연결해 저장한다.</x:v>
      </x:c>
      <x:c r="D81" s="54" t="n">
        <x:v>45</x:v>
      </x:c>
    </x:row>
    <x:row r="82" s="1" customFormat="1" ht="60" customHeight="1">
      <x:c r="A82" s="65" t="inlineStr">
        <x:is>
          <x:t xml:space="preserve">실습</x:t>
        </x:is>
      </x:c>
      <x:c r="B82" s="62" t="inlineStr">
        <x:is>
          <x:t xml:space="preserve">재고 부족부터 발주·입고까지 이어지는 프로세스 설계하기</x:t>
        </x:is>
      </x:c>
      <x:c r="C82" s="60" t="str">
        <x:v>bpmn.io에서 재고 부족→기존 구매 에이전트→구매 담당자 승인·거절→ERP 발주→공급사 통지→즉시 입고 반영→종료를 작성한다. ERP와 재고 기능은 HYD 시뮬레이션으로 다룬다.</x:v>
      </x:c>
      <x:c r="D82" s="61" t="n">
        <x:v>50</x:v>
      </x:c>
    </x:row>
    <x:row r="83" s="1" customFormat="1" ht="108" customHeight="1">
      <x:c r="A83" s="64" t="inlineStr">
        <x:is>
          <x:t xml:space="preserve">실습</x:t>
        </x:is>
      </x:c>
      <x:c r="B83" s="55" t="inlineStr">
        <x:is>
          <x:t xml:space="preserve">구매 프로세스를 실행하고 처리 결과 검증하기</x:t>
        </x:is>
      </x:c>
      <x:c r="C83" s="53" t="str">
        <x:v>포털의 준비된 재고 보충 시나리오 C에서 공급사·수량의 제안 근거와 승인 조건을 확인한다. 발주·통지·입고·재고 반영을 각각 찾아 시작 재고·예약·발주 중 수량과 비교한다. 수업 시스템의 즉시 입고를 실제 배송으로 설명하지 않는다. 발주 중과 입고 완료를 구분하여 다음 교대에 전달할 수량·남은 확인을 정리한다. 반려 사례는 제공 기록과 구분해 비교하고 BPMN의 해당 작업과 실제 결과를 연결한다.</x:v>
      </x:c>
      <x:c r="D83" s="54" t="n">
        <x:v>45</x:v>
      </x:c>
    </x:row>
    <x:row r="84" s="1" customFormat="1" ht="108" customHeight="1">
      <x:c r="A84" s="63" t="inlineStr">
        <x:is>
          <x:t xml:space="preserve">이론</x:t>
        </x:is>
      </x:c>
      <x:c r="B84" s="62" t="inlineStr">
        <x:is>
          <x:t xml:space="preserve">프로세스 설계·실행·검증 과정 정리하기 — Wrap-up</x:t>
        </x:is>
      </x:c>
      <x:c r="C84" s="60" t="str">
        <x:v>BPMN 모델, 엔진의 정의·인스턴스, 이벤트·에이전트·사람·시스템의 역할과 온톨로지부터 프로세스까지의 학습 연결을 복습한다. 신규 실습 없음. 다음 회차에는 이 기록의 미완료·불일치를 인계안으로 모아 사람의 검토·확인까지 연결한다.</x:v>
      </x:c>
      <x:c r="D84" s="61" t="n">
        <x:v>30</x:v>
      </x:c>
    </x:row>
    <x:row r="85" s="1" customFormat="1" ht="29" customHeight="1">
      <x:c r="A85" s="66" t="inlineStr">
        <x:is>
          <x:t xml:space="preserve">일차 합계</x:t>
        </x:is>
      </x:c>
      <x:c r="D85" s="49" t="n">
        <x:f>SUM(D79:D84)</x:f>
        <x:v>240</x:v>
      </x:c>
    </x:row>
    <x:row r="86">
      <x:c r="A86" s="50" t="n"/>
      <x:c r="B86" s="50" t="n"/>
      <x:c r="C86" s="50" t="n"/>
      <x:c r="D86" s="50" t="n"/>
    </x:row>
    <x:row r="87" s="1" customFormat="1" ht="39" customHeight="1">
      <x:c r="A87" s="43" t="str">
        <x:v>08일차  |  추가 지식과 에이전트로 교대 인수인계 완성하기</x:v>
      </x:c>
      <x:c r="D87" s="44" t="inlineStr">
        <x:is>
          <x:t xml:space="preserve">4H</x:t>
        </x:is>
      </x:c>
    </x:row>
    <x:row r="88" s="1" customFormat="1" ht="29" customHeight="1">
      <x:c r="A88" s="49" t="inlineStr">
        <x:is>
          <x:t xml:space="preserve">구분</x:t>
        </x:is>
      </x:c>
      <x:c r="B88" s="49" t="inlineStr">
        <x:is>
          <x:t xml:space="preserve">제목</x:t>
        </x:is>
      </x:c>
      <x:c r="C88" s="49" t="inlineStr">
        <x:is>
          <x:t xml:space="preserve">상세 교육 내용</x:t>
        </x:is>
      </x:c>
      <x:c r="D88" s="49" t="inlineStr">
        <x:is>
          <x:t xml:space="preserve">시간(분)</x:t>
        </x:is>
      </x:c>
    </x:row>
    <x:row r="89" s="1" customFormat="1" ht="108" customHeight="1">
      <x:c r="A89" s="56" t="inlineStr">
        <x:is>
          <x:t xml:space="preserve">이론</x:t>
        </x:is>
      </x:c>
      <x:c r="B89" s="55" t="inlineStr">
        <x:is>
          <x:t xml:space="preserve">현장 지식이 AI의 판단 근거가 되는 과정 복습하기</x:t>
        </x:is>
      </x:c>
      <x:c r="C89" s="53" t="str">
        <x:v>지식·도구·에이전트·승인 흐름을 교대 인수인계 한 건에 연결하여 결과와 근거를 확인한다. 온톨로지·스키마·그래프·SOP·DMN·BSC/KPI·매뉴얼 인제스천에서 만든 공용 지식이 에이전트 도구 조회로 어떻게 쓰이는지 되짚는다.</x:v>
      </x:c>
      <x:c r="D89" s="54" t="n">
        <x:v>30</x:v>
      </x:c>
    </x:row>
    <x:row r="90" s="1" customFormat="1" ht="60" customHeight="1">
      <x:c r="A90" s="63" t="inlineStr">
        <x:is>
          <x:t xml:space="preserve">이론</x:t>
        </x:is>
      </x:c>
      <x:c r="B90" s="62" t="inlineStr">
        <x:is>
          <x:t xml:space="preserve">에이전트가 사람과 시스템을 통해 업무를 완료하는 구조 복습하기</x:t>
        </x:is>
      </x:c>
      <x:c r="C90" s="60" t="str">
        <x:v>Agent·Skill·MCP·HITL·SDD·BDD, BPMN 정의·인스턴스·작업 담당·승인·시스템 작업의 차이를 전체 처리 건 시나리오로 연결한다.</x:v>
      </x:c>
      <x:c r="D90" s="61" t="n">
        <x:v>30</x:v>
      </x:c>
    </x:row>
    <x:row r="91" s="1" customFormat="1" ht="108" customHeight="1">
      <x:c r="A91" s="64" t="inlineStr">
        <x:is>
          <x:t xml:space="preserve">실습</x:t>
        </x:is>
      </x:c>
      <x:c r="B91" s="55" t="str">
        <x:v>교대 인수인계의 입력과 완료 조건 정의하기</x:v>
      </x:c>
      <x:c r="C91" s="53" t="str">
        <x:v>ABC에서 확인한 업무 기록과 별개로, 다음 담당자가 설비 상태·열린 작업·부품·작업 메모를 이어 확인할 교대 인수인계 문제를 정한다. 제공 HI-01의 기준에 맞춰 대상·교대·기준 시각·메모를 정리한다. 인계안의 각 주장에 근거가 있고, 불일치와 확인할 일이 남으며, 인계자 검토와 인수자 확인이 기록되는 것을 완료 조건으로 정한다.</x:v>
      </x:c>
      <x:c r="D91" s="54" t="n">
        <x:v>30</x:v>
      </x:c>
    </x:row>
    <x:row r="92" s="1" customFormat="1" ht="108" customHeight="1">
      <x:c r="A92" s="65" t="inlineStr">
        <x:is>
          <x:t xml:space="preserve">실습</x:t>
        </x:is>
      </x:c>
      <x:c r="B92" s="62" t="str">
        <x:v>제공 보충 매뉴얼의 추출 결과를 검토하고 지식에 추가하기</x:v>
      </x:c>
      <x:c r="C92" s="60" t="str">
        <x:v>강사 코드로 열린 교대 실습에서 제공 HI-01 보충 매뉴얼을 선택한다. 준비된 추출 후보를 원문과 대조하여 절차·조건·근거를 검토하고 승인한 지식을 추가한다. 추출 결과 재사용과 사람의 검토·적재를 구분한다. 지식 지도에서 새 항목의 식별자와 문서·판본·절 연결을 확인하고 이후 인계안의 확인 기준으로 사용한다.</x:v>
      </x:c>
      <x:c r="D92" s="61" t="n">
        <x:v>30</x:v>
      </x:c>
    </x:row>
    <x:row r="93" s="1" customFormat="1" ht="108" customHeight="1">
      <x:c r="A93" s="64" t="inlineStr">
        <x:is>
          <x:t xml:space="preserve">실습</x:t>
        </x:is>
      </x:c>
      <x:c r="B93" s="55" t="str">
        <x:v>설비·정비·ERP를 대조하는 인수인계 에이전트 만들기</x:v>
      </x:c>
      <x:c r="C93" s="53" t="str">
        <x:v>허용된 설비·정비·ERP 읽기 도구로 인계안을 작성하는 에이전트와 스킬을 구성한다. 설비 관측 시각, 열린 작업지시, 재고·예약·발주 중 수량, 작업 메모를 대조하도록 요구한다. 완료 주장과 원천 상태가 다르면 두 근거와 확인할 질문을 남기게 한다. 결과의 각 문장을 원천 기록과 비교하고 지침을 보완한다. 로컬 랩에서 익힌 출처·질문·검증 방법을 활용하되 코드를 포털에 자동 연결하지 않는다.</x:v>
      </x:c>
      <x:c r="D93" s="54" t="n">
        <x:v>30</x:v>
      </x:c>
    </x:row>
    <x:row r="94" s="1" customFormat="1" ht="108" customHeight="1">
      <x:c r="A94" s="65" t="inlineStr">
        <x:is>
          <x:t xml:space="preserve">실습</x:t>
        </x:is>
      </x:c>
      <x:c r="B94" s="62" t="str">
        <x:v>교대 인수인계 BPMN을 등록하고 검토·확인 흐름 실행하기</x:v>
      </x:c>
      <x:c r="C94" s="60" t="str">
        <x:v>제공 교대 BPMN의 시작 입력·검토·보완 흐름을 유지하고 표시 이름·배치를 정리한다. 세 초안 단계에 작성한 에이전트를 배정해 판본을 등록한다. 인계안을 원천과 대조하고 인수자에게 근거와 남은 일을 설명한다. 실제 보완 요청이 있으면 같은 처리 건에서 반영해 재검토·인수 확인한다. 인수 확인을 정비·발주 완료로 바꾸지 않고 최종 인계안·근거·확인 기록을 저장한다.</x:v>
      </x:c>
      <x:c r="D94" s="61" t="n">
        <x:v>30</x:v>
      </x:c>
    </x:row>
    <x:row r="95" s="1" customFormat="1" ht="60" customHeight="1">
      <x:c r="A95" s="65" t="inlineStr">
        <x:is>
          <x:t xml:space="preserve">실습</x:t>
        </x:is>
      </x:c>
      <x:c r="B95" s="62" t="inlineStr">
        <x:is>
          <x:t xml:space="preserve">ProcessGPT 시연으로 지식·에이전트·프로세스의 연결 확인하기</x:t>
        </x:is>
      </x:c>
      <x:c r="C95" s="60" t="str">
        <x:v>ProcessGPT 시연을 보며 지식 조회·에이전트 판단·사람 작업·프로세스 실행이 연결되는 모습을 확인한다. 프로세스 정의·실행 인스턴스·작업함을 HYD 수업용 구현과 비교하고, 실제 제품의 업무 통제와 실행 기록을 살펴본다.</x:v>
      </x:c>
      <x:c r="D95" s="61" t="n">
        <x:v>40</x:v>
      </x:c>
    </x:row>
    <x:row r="96" s="1" customFormat="1" ht="108" customHeight="1">
      <x:c r="A96" s="65" t="inlineStr">
        <x:is>
          <x:t xml:space="preserve">실습</x:t>
        </x:is>
      </x:c>
      <x:c r="B96" s="62" t="inlineStr">
        <x:is>
          <x:t xml:space="preserve">제작 결과를 Notion 학습노트에 기록하기</x:t>
        </x:is>
      </x:c>
      <x:c r="C96" s="60" t="str">
        <x:v>Notion 학습노트에 핵심 개념·실습 결과·참고 출처를 연결한다. 수업 환경에서 사용 가능한 경우 MCP로 기록을 반영하고, 그렇지 않은 경우 작성한 Markdown을 직접 붙여 학습노트를 완성한다. 조회·판단·검토·실행 확인에 사용한 자료와 산출물을 연결해 이후에도 다시 활용할 수 있게 정리한다.</x:v>
      </x:c>
      <x:c r="D96" s="61" t="n">
        <x:v>20</x:v>
      </x:c>
    </x:row>
    <x:row r="97" s="1" customFormat="1" ht="29" customHeight="1">
      <x:c r="A97" s="66" t="inlineStr">
        <x:is>
          <x:t xml:space="preserve">일차 합계</x:t>
        </x:is>
      </x:c>
      <x:c r="D97" s="49" t="n">
        <x:f>SUM(D89:D96)</x:f>
        <x:v>240</x:v>
      </x:c>
    </x:row>
    <x:row r="98">
      <x:c r="A98" s="50" t="n"/>
      <x:c r="B98" s="50" t="n"/>
      <x:c r="C98" s="50" t="n"/>
      <x:c r="D98" s="50" t="n"/>
    </x:row>
    <x:row r="99" s="1" customFormat="1" ht="36" customHeight="1">
      <x:c r="A99" s="43" t="inlineStr">
        <x:is>
          <x:t xml:space="preserve">전체 온라인 강의 합계</x:t>
        </x:is>
      </x:c>
      <x:c r="D99" s="44" t="n">
        <x:f>SUM(D13,D26,D38,D49,D61,D75,D85,D97)</x:f>
        <x:v>1920</x:v>
      </x:c>
    </x:row>
    <x:row r="100">
      <x:c r="A100" s="50" t="n"/>
      <x:c r="B100" s="50" t="n"/>
      <x:c r="C100" s="50" t="n"/>
      <x:c r="D100" s="50" t="n"/>
    </x:row>
    <x:row r="101" s="1" customFormat="1" ht="50" customHeight="1">
      <x:c r="A101" s="69" t="inlineStr">
        <x:is>
          <x:t xml:space="preserve">운영 유의: HYD BPMN은 포털의 일부 시스템 단계 설정 칸이 부족하여 제공 mapping.json·검증된 API 절차가 필요할 수 있음. 공용 서버에 여러 학생이 동시에 배포하면 마지막 배포 흐름이 경보를 수신하므로 학생별 환경 또는 순차 진행 필요.</x:t>
        </x:is>
      </x:c>
    </x:row>
    <x:row r="102">
      <x:c r="A102" s="50" t="n"/>
      <x:c r="B102" s="50" t="n"/>
      <x:c r="C102" s="50" t="n"/>
      <x:c r="D102" s="50" t="n"/>
    </x:row>
    <x:row r="103" s="1" customFormat="1" ht="50" customHeight="1">
      <x:c r="A103" s="69" t="inlineStr">
        <x:is>
          <x:t xml:space="preserve">실습 사전검증: 외부 MCP(파일시스템·Git·시간) 설치·권한·접속, Notion 쓰기 권한, SDD 기능 변경 실패 재현 입력, 오프라인 수강생 실행 시간은 미실측이므로 강사 리허설 필요. 지원되지 않는 업무 기능은 실제 구현 완료로 표기하지 않음.</x:t>
        </x:is>
      </x:c>
    </x:row>
    <x:row r="104">
      <x:c r="A104" s="50" t="n"/>
      <x:c r="B104" s="50" t="n"/>
      <x:c r="C104" s="50" t="n"/>
      <x:c r="D104" s="50" t="n"/>
    </x:row>
    <x:row r="105" s="1" customFormat="1" ht="50" customHeight="1">
      <x:c r="A105" s="69" t="inlineStr">
        <x:is>
          <x:t xml:space="preserve">HYD 근거: https://github.com/uengine-oss/hyd-iot-edu/tree/claude/hyd-handoff-work-xziutz/students/flows · https://github.com/uengine-oss/hyd-iot-edu/blob/claude/hyd-handoff-work-xziutz/docs/handoff/verification/2026-10-10/final-verify.md</x:t>
        </x:is>
      </x:c>
    </x:row>
    <x:row r="106">
      <x:c r="A106" s="50" t="n"/>
      <x:c r="B106" s="50" t="n"/>
      <x:c r="C106" s="50" t="n"/>
      <x:c r="D106" s="50" t="n"/>
    </x:row>
    <x:row r="107">
      <x:c r="A107" s="50" t="n"/>
      <x:c r="B107" s="50" t="n"/>
      <x:c r="C107" s="50" t="n"/>
      <x:c r="D107" s="50" t="n"/>
    </x:row>
    <x:row r="108">
      <x:c r="A108" s="50" t="n"/>
      <x:c r="B108" s="50" t="n"/>
      <x:c r="C108" s="50" t="n"/>
      <x:c r="D108" s="50" t="n"/>
    </x:row>
    <x:row r="109">
      <x:c r="A109" s="50" t="n"/>
      <x:c r="B109" s="50" t="n"/>
      <x:c r="C109" s="50" t="n"/>
      <x:c r="D109" s="50" t="n"/>
    </x:row>
    <x:row r="110">
      <x:c r="A110" s="50" t="n"/>
      <x:c r="B110" s="50" t="n"/>
      <x:c r="C110" s="50" t="n"/>
      <x:c r="D110" s="50" t="n"/>
    </x:row>
    <x:row r="111">
      <x:c r="A111" s="50" t="n"/>
      <x:c r="B111" s="50" t="n"/>
      <x:c r="C111" s="50" t="n"/>
      <x:c r="D111" s="50" t="n"/>
    </x:row>
    <x:row r="112">
      <x:c r="A112" s="50" t="n"/>
      <x:c r="B112" s="50" t="n"/>
      <x:c r="C112" s="50" t="n"/>
      <x:c r="D112" s="50" t="n"/>
    </x:row>
    <x:row r="113">
      <x:c r="A113" s="50" t="n"/>
      <x:c r="B113" s="50" t="n"/>
      <x:c r="C113" s="50" t="n"/>
      <x:c r="D113" s="50" t="n"/>
    </x:row>
    <x:row r="114">
      <x:c r="A114" s="50" t="n"/>
      <x:c r="B114" s="50" t="n"/>
      <x:c r="C114" s="50" t="n"/>
      <x:c r="D114" s="50" t="n"/>
    </x:row>
    <x:row r="115">
      <x:c r="A115" s="50" t="n"/>
      <x:c r="B115" s="50" t="n"/>
      <x:c r="C115" s="50" t="n"/>
      <x:c r="D115" s="50" t="n"/>
    </x:row>
    <x:row r="116">
      <x:c r="A116" s="50" t="n"/>
      <x:c r="B116" s="50" t="n"/>
      <x:c r="C116" s="50" t="n"/>
      <x:c r="D116" s="50" t="n"/>
    </x:row>
    <x:row r="117">
      <x:c r="A117" s="50" t="n"/>
      <x:c r="B117" s="50" t="n"/>
      <x:c r="C117" s="50" t="n"/>
      <x:c r="D117" s="50" t="n"/>
    </x:row>
    <x:row r="118">
      <x:c r="A118" s="50" t="n"/>
      <x:c r="B118" s="50" t="n"/>
      <x:c r="C118" s="50" t="n"/>
      <x:c r="D118" s="50" t="n"/>
    </x:row>
    <x:row r="119">
      <x:c r="A119" s="50" t="n"/>
      <x:c r="B119" s="50" t="n"/>
      <x:c r="C119" s="50" t="n"/>
      <x:c r="D119" s="50" t="n"/>
    </x:row>
    <x:row r="120">
      <x:c r="A120" s="50" t="n"/>
      <x:c r="B120" s="50" t="n"/>
      <x:c r="C120" s="50" t="n"/>
      <x:c r="D120" s="50" t="n"/>
    </x:row>
    <x:row r="121">
      <x:c r="A121" s="50" t="n"/>
      <x:c r="B121" s="50" t="n"/>
      <x:c r="C121" s="50" t="n"/>
      <x:c r="D121" s="50" t="n"/>
    </x:row>
    <x:row r="122">
      <x:c r="A122" s="50" t="n"/>
      <x:c r="B122" s="50" t="n"/>
      <x:c r="C122" s="50" t="n"/>
      <x:c r="D122" s="50" t="n"/>
    </x:row>
    <x:row r="123">
      <x:c r="A123" s="50" t="n"/>
      <x:c r="B123" s="50" t="n"/>
      <x:c r="C123" s="50" t="n"/>
      <x:c r="D123" s="50" t="n"/>
    </x:row>
    <x:row r="124">
      <x:c r="A124" s="50" t="n"/>
      <x:c r="B124" s="50" t="n"/>
      <x:c r="C124" s="50" t="n"/>
      <x:c r="D124" s="50" t="n"/>
    </x:row>
    <x:row r="125">
      <x:c r="A125" s="50" t="n"/>
      <x:c r="B125" s="50" t="n"/>
      <x:c r="C125" s="50" t="n"/>
      <x:c r="D125" s="50" t="n"/>
    </x:row>
    <x:row r="126">
      <x:c r="A126" s="50" t="n"/>
      <x:c r="B126" s="50" t="n"/>
      <x:c r="C126" s="50" t="n"/>
      <x:c r="D126" s="50" t="n"/>
    </x:row>
    <x:row r="127">
      <x:c r="A127" s="50" t="n"/>
      <x:c r="B127" s="50" t="n"/>
      <x:c r="C127" s="50" t="n"/>
      <x:c r="D127" s="50" t="n"/>
    </x:row>
    <x:row r="128">
      <x:c r="A128" s="50" t="n"/>
      <x:c r="B128" s="50" t="n"/>
      <x:c r="C128" s="50" t="n"/>
      <x:c r="D128" s="50" t="n"/>
    </x:row>
    <x:row r="129">
      <x:c r="A129" s="50" t="n"/>
      <x:c r="B129" s="50" t="n"/>
      <x:c r="C129" s="50" t="n"/>
      <x:c r="D129" s="50" t="n"/>
    </x:row>
    <x:row r="130">
      <x:c r="A130" s="50" t="n"/>
      <x:c r="B130" s="50" t="n"/>
      <x:c r="C130" s="50" t="n"/>
      <x:c r="D130" s="50" t="n"/>
    </x:row>
    <x:row r="131">
      <x:c r="A131" s="50" t="n"/>
      <x:c r="B131" s="50" t="n"/>
      <x:c r="C131" s="50" t="n"/>
      <x:c r="D131" s="50" t="n"/>
    </x:row>
    <x:row r="132">
      <x:c r="A132" s="50" t="n"/>
      <x:c r="B132" s="50" t="n"/>
      <x:c r="C132" s="50" t="n"/>
      <x:c r="D132" s="50" t="n"/>
    </x:row>
    <x:row r="133">
      <x:c r="A133" s="50" t="n"/>
      <x:c r="B133" s="50" t="n"/>
      <x:c r="C133" s="50" t="n"/>
      <x:c r="D133" s="50" t="n"/>
    </x:row>
    <x:row r="134">
      <x:c r="A134" s="50" t="n"/>
      <x:c r="B134" s="50" t="n"/>
      <x:c r="C134" s="50" t="n"/>
      <x:c r="D134" s="50" t="n"/>
    </x:row>
    <x:row r="135">
      <x:c r="A135" s="50" t="n"/>
      <x:c r="B135" s="50" t="n"/>
      <x:c r="C135" s="50" t="n"/>
      <x:c r="D135" s="50" t="n"/>
    </x:row>
    <x:row r="136">
      <x:c r="A136" s="50" t="n"/>
      <x:c r="B136" s="50" t="n"/>
      <x:c r="C136" s="50" t="n"/>
      <x:c r="D136" s="50" t="n"/>
    </x:row>
    <x:row r="137">
      <x:c r="A137" s="50" t="n"/>
      <x:c r="B137" s="50" t="n"/>
      <x:c r="C137" s="50" t="n"/>
      <x:c r="D137" s="50" t="n"/>
    </x:row>
    <x:row r="138">
      <x:c r="A138" s="50" t="n"/>
      <x:c r="B138" s="50" t="n"/>
      <x:c r="C138" s="50" t="n"/>
      <x:c r="D138" s="50" t="n"/>
    </x:row>
    <x:row r="139">
      <x:c r="A139" s="50" t="n"/>
      <x:c r="B139" s="50" t="n"/>
      <x:c r="C139" s="50" t="n"/>
      <x:c r="D139" s="50" t="n"/>
    </x:row>
    <x:row r="140">
      <x:c r="A140" s="50" t="n"/>
      <x:c r="B140" s="50" t="n"/>
      <x:c r="C140" s="50" t="n"/>
      <x:c r="D140" s="50" t="n"/>
    </x:row>
    <x:row r="141">
      <x:c r="A141" s="50" t="n"/>
      <x:c r="B141" s="50" t="n"/>
      <x:c r="C141" s="50" t="n"/>
      <x:c r="D141" s="50" t="n"/>
    </x:row>
    <x:row r="142">
      <x:c r="A142" s="50" t="n"/>
      <x:c r="B142" s="50" t="n"/>
      <x:c r="C142" s="50" t="n"/>
      <x:c r="D142" s="50" t="n"/>
    </x:row>
    <x:row r="143">
      <x:c r="A143" s="50" t="n"/>
      <x:c r="B143" s="50" t="n"/>
      <x:c r="C143" s="50" t="n"/>
      <x:c r="D143" s="50" t="n"/>
    </x:row>
    <x:row r="144">
      <x:c r="A144" s="50" t="n"/>
      <x:c r="B144" s="50" t="n"/>
      <x:c r="C144" s="50" t="n"/>
      <x:c r="D144" s="50" t="n"/>
    </x:row>
    <x:row r="145">
      <x:c r="A145" s="50" t="n"/>
      <x:c r="B145" s="50" t="n"/>
      <x:c r="C145" s="50" t="n"/>
      <x:c r="D145" s="50" t="n"/>
    </x:row>
    <x:row r="146">
      <x:c r="A146" s="50" t="n"/>
      <x:c r="B146" s="50" t="n"/>
      <x:c r="C146" s="50" t="n"/>
      <x:c r="D146" s="50" t="n"/>
    </x:row>
    <x:row r="147">
      <x:c r="A147" s="50" t="n"/>
      <x:c r="B147" s="50" t="n"/>
      <x:c r="C147" s="50" t="n"/>
      <x:c r="D147" s="50" t="n"/>
    </x:row>
    <x:row r="148">
      <x:c r="A148" s="50" t="n"/>
      <x:c r="B148" s="50" t="n"/>
      <x:c r="C148" s="50" t="n"/>
      <x:c r="D148" s="50" t="n"/>
    </x:row>
    <x:row r="149">
      <x:c r="A149" s="50" t="n"/>
      <x:c r="B149" s="50" t="n"/>
      <x:c r="C149" s="50" t="n"/>
      <x:c r="D149" s="50" t="n"/>
    </x:row>
    <x:row r="150">
      <x:c r="A150" s="50" t="n"/>
      <x:c r="B150" s="50" t="n"/>
      <x:c r="C150" s="50" t="n"/>
      <x:c r="D150" s="50" t="n"/>
    </x:row>
    <x:row r="151">
      <x:c r="A151" s="50" t="n"/>
      <x:c r="B151" s="50" t="n"/>
      <x:c r="C151" s="50" t="n"/>
      <x:c r="D151" s="50" t="n"/>
    </x:row>
    <x:row r="152">
      <x:c r="A152" s="50" t="n"/>
      <x:c r="B152" s="50" t="n"/>
      <x:c r="C152" s="50" t="n"/>
      <x:c r="D152" s="50" t="n"/>
    </x:row>
    <x:row r="153">
      <x:c r="A153" s="50" t="n"/>
      <x:c r="B153" s="50" t="n"/>
      <x:c r="C153" s="50" t="n"/>
      <x:c r="D153" s="50" t="n"/>
    </x:row>
    <x:row r="154">
      <x:c r="A154" s="50" t="n"/>
      <x:c r="B154" s="50" t="n"/>
      <x:c r="C154" s="50" t="n"/>
      <x:c r="D154" s="50" t="n"/>
    </x:row>
    <x:row r="155">
      <x:c r="A155" s="50" t="n"/>
      <x:c r="B155" s="50" t="n"/>
      <x:c r="C155" s="50" t="n"/>
      <x:c r="D155" s="50" t="n"/>
    </x:row>
    <x:row r="156">
      <x:c r="A156" s="50" t="n"/>
      <x:c r="B156" s="50" t="n"/>
      <x:c r="C156" s="50" t="n"/>
      <x:c r="D156" s="50" t="n"/>
    </x:row>
    <x:row r="157">
      <x:c r="A157" s="50" t="n"/>
      <x:c r="B157" s="50" t="n"/>
      <x:c r="C157" s="50" t="n"/>
      <x:c r="D157" s="50" t="n"/>
    </x:row>
    <x:row r="158">
      <x:c r="A158" s="50" t="n"/>
      <x:c r="B158" s="50" t="n"/>
      <x:c r="C158" s="50" t="n"/>
      <x:c r="D158" s="50" t="n"/>
    </x:row>
    <x:row r="159">
      <x:c r="A159" s="50" t="n"/>
      <x:c r="B159" s="50" t="n"/>
      <x:c r="C159" s="50" t="n"/>
      <x:c r="D159" s="50" t="n"/>
    </x:row>
    <x:row r="160">
      <x:c r="A160" s="50" t="n"/>
      <x:c r="B160" s="50" t="n"/>
      <x:c r="C160" s="50" t="n"/>
      <x:c r="D160" s="50" t="n"/>
    </x:row>
    <x:row r="161">
      <x:c r="A161" s="50" t="n"/>
      <x:c r="B161" s="50" t="n"/>
      <x:c r="C161" s="50" t="n"/>
      <x:c r="D161" s="50" t="n"/>
    </x:row>
    <x:row r="162">
      <x:c r="A162" s="50" t="n"/>
      <x:c r="B162" s="50" t="n"/>
      <x:c r="C162" s="50" t="n"/>
      <x:c r="D162" s="50" t="n"/>
    </x:row>
    <x:row r="163">
      <x:c r="A163" s="50" t="n"/>
      <x:c r="B163" s="50" t="n"/>
      <x:c r="C163" s="50" t="n"/>
      <x:c r="D163" s="50" t="n"/>
    </x:row>
    <x:row r="164">
      <x:c r="A164" s="50" t="n"/>
      <x:c r="B164" s="50" t="n"/>
      <x:c r="C164" s="50" t="n"/>
      <x:c r="D164" s="50" t="n"/>
    </x:row>
    <x:row r="165">
      <x:c r="A165" s="50" t="n"/>
      <x:c r="B165" s="50" t="n"/>
      <x:c r="C165" s="50" t="n"/>
      <x:c r="D165" s="50" t="n"/>
    </x:row>
    <x:row r="166">
      <x:c r="A166" s="50" t="n"/>
      <x:c r="B166" s="50" t="n"/>
      <x:c r="C166" s="50" t="n"/>
      <x:c r="D166" s="50" t="n"/>
    </x:row>
    <x:row r="167">
      <x:c r="A167" s="50" t="n"/>
      <x:c r="B167" s="50" t="n"/>
      <x:c r="C167" s="50" t="n"/>
      <x:c r="D167" s="50" t="n"/>
    </x:row>
    <x:row r="168">
      <x:c r="A168" s="50" t="n"/>
      <x:c r="B168" s="50" t="n"/>
      <x:c r="C168" s="50" t="n"/>
      <x:c r="D168" s="50" t="n"/>
    </x:row>
    <x:row r="169">
      <x:c r="A169" s="50" t="n"/>
      <x:c r="B169" s="50" t="n"/>
      <x:c r="C169" s="50" t="n"/>
      <x:c r="D169" s="50" t="n"/>
    </x:row>
    <x:row r="170">
      <x:c r="A170" s="50" t="n"/>
      <x:c r="B170" s="50" t="n"/>
      <x:c r="C170" s="50" t="n"/>
      <x:c r="D170" s="50" t="n"/>
    </x:row>
  </x:sheetData>
  <x:mergeCells>
    <x:mergeCell ref="A99:C99"/>
    <x:mergeCell ref="A75:C75"/>
    <x:mergeCell ref="A26:C26"/>
    <x:mergeCell ref="A2:C2"/>
    <x:mergeCell ref="A85:C85"/>
    <x:mergeCell ref="A97:C97"/>
    <x:mergeCell ref="A4:C4"/>
    <x:mergeCell ref="A38:C38"/>
    <x:mergeCell ref="A28:C28"/>
    <x:mergeCell ref="A103:D103"/>
    <x:mergeCell ref="A13:C13"/>
    <x:mergeCell ref="A63:C63"/>
    <x:mergeCell ref="A40:C40"/>
    <x:mergeCell ref="A77:C77"/>
    <x:mergeCell ref="A15:C15"/>
    <x:mergeCell ref="A51:C51"/>
    <x:mergeCell ref="A49:C49"/>
    <x:mergeCell ref="A1:C1"/>
    <x:mergeCell ref="A105:D105"/>
    <x:mergeCell ref="A61:C61"/>
    <x:mergeCell ref="A101:D101"/>
    <x:mergeCell ref="A87:C87"/>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13" style="1" hidden="0" customWidth="1"/>
    <x:col min="2" max="2" width="43" style="1" hidden="0" customWidth="1"/>
    <x:col min="3" max="3" width="110" style="1" hidden="0" customWidth="1"/>
    <x:col min="4" max="4" width="12" style="1" hidden="0" customWidth="1"/>
  </x:cols>
  <x:sheetData>
    <x:row r="1" s="1" customFormat="1" ht="38" customHeight="1">
      <x:c r="A1" s="137" t="str">
        <x:v>HYD 제조 AI | 통합반 오프라인 정규 10회 | 수업 계획</x:v>
      </x:c>
      <x:c r="B1" s="137"/>
      <x:c r="C1" s="137"/>
      <x:c r="D1" s="137"/>
    </x:row>
    <x:row r="2" s="1" customFormat="1" ht="48" customHeight="1">
      <x:c r="A2" s="135" t="str">
        <x:v>매회 50분 수업·10분 휴식 × 4교시입니다(수업200분·휴식40분). 온라인 선행학습을 바탕으로 목적·핵심 개념을 연결하고 실습합니다. 이전 개인 결과 없이 제공 시작본으로 시작할 수 있습니다.</x:v>
      </x:c>
      <x:c r="B2" s="135"/>
      <x:c r="C2" s="135"/>
      <x:c r="D2" s="135"/>
    </x:row>
    <x:row r="3" s="1" customFormat="1" ht="12" customHeight="1">
      <x:c r="A3" s="135"/>
      <x:c r="B3" s="135"/>
      <x:c r="C3" s="135"/>
      <x:c r="D3" s="135"/>
    </x:row>
    <x:row r="4" s="1" customFormat="1" ht="38" customHeight="1">
      <x:c r="A4" s="138" t="str">
        <x:v>01회차 | HYD 전체 흐름을 확인하고 설비 관계 표현하기</x:v>
      </x:c>
      <x:c r="B4" s="138"/>
      <x:c r="C4" s="138"/>
      <x:c r="D4" s="138"/>
    </x:row>
    <x:row r="5" s="1" customFormat="1" ht="28" customHeight="1">
      <x:c r="A5" s="140" t="str">
        <x:v>구분</x:v>
      </x:c>
      <x:c r="B5" s="140" t="str">
        <x:v>수업 단위</x:v>
      </x:c>
      <x:c r="C5" s="140" t="str">
        <x:v>세부 활동과 확인할 결과</x:v>
      </x:c>
      <x:c r="D5" s="140" t="str">
        <x:v>시간(분)</x:v>
      </x:c>
    </x:row>
    <x:row r="6" s="1" customFormat="1" ht="108" customHeight="1">
      <x:c r="A6" s="141" t="str">
        <x:v>이론</x:v>
      </x:c>
      <x:c r="B6" s="141" t="str">
        <x:v>HYD 시스템과 이번 과정의 학습 목표 이해하기</x:v>
      </x:c>
      <x:c r="C6" s="141" t="str">
        <x:v>HYD의 완성 흐름을 먼저 확인하고, 판단 근거를 표현하는 관계도와 그래프를 직접 다룬다. HYD가 유압 설비와 업무 시스템을 연결한 수업용 시스템임을 이해한다. 설비·센서 데이터 수집→상태 관찰→지식에 근거한 판단→사람 승인→조치→결과 확인의 전체 구조를 살펴본다. 포털에서 확인할 설비 화면·지식 지도·에이전트·작업함의 역할을 구분한다. 이번 과정에서 관계 모델을 만들고, 근거를 조회하는 에이전트와 업무 흐름으로 연결할 학습 목표를 확인한다.</x:v>
      </x:c>
      <x:c r="D6" s="142" t="n">
        <x:v>50</x:v>
      </x:c>
    </x:row>
    <x:row r="7" s="1" customFormat="1" ht="125" customHeight="1">
      <x:c r="A7" s="143" t="str">
        <x:v>실습</x:v>
      </x:c>
      <x:c r="B7" s="143" t="str">
        <x:v>포털 시연으로 완성 흐름을 확인하고 관계도 그리기</x:v>
      </x:c>
      <x:c r="C7" s="143" t="str">
        <x:v>강사가 실제 HYD 포털을 열어 보여 주는 설비 상태·센서 값과 쿨러 열화 시나리오를 따라간다. 경보 발생→에이전트의 원인·조치 추천→운전원 승인→설비 명령→센서 값 재확인과 완료 기록을 보고, 추천·승인·실행의 차이를 구분한다. 지식 지도에서 판단에 사용된 설비·센서·고장·조치 연결을 확인한다. 이어 arrows.app에서 방금 본 대상을 노드와 관계로 그려 각 화살표를 문장으로 읽는다.</x:v>
      </x:c>
      <x:c r="D7" s="144" t="n">
        <x:v>50</x:v>
      </x:c>
    </x:row>
    <x:row r="8" s="1" customFormat="1" ht="92" customHeight="1">
      <x:c r="A8" s="141" t="str">
        <x:v>실습</x:v>
      </x:c>
      <x:c r="B8" s="141" t="str">
        <x:v>Cypher로 그래프 생성·조회·수정·삭제하기</x:v>
      </x:c>
      <x:c r="C8" s="141" t="str">
        <x:v>별도 Neo4j 랩 DB에서 작은 예제를 CREATE·MATCH·WHERE·RETURN·MERGE·SET으로 생성·조회·수정한다. 그래프의 노드와 관계를 눌러 속성을 확인하고 표 결과와 비교한다. DELETE·DETACH DELETE로 연습 데이터만 정리하고 재조회한다.</x:v>
      </x:c>
      <x:c r="D8" s="142" t="n">
        <x:v>50</x:v>
      </x:c>
    </x:row>
    <x:row r="9" s="1" customFormat="1" ht="108" customHeight="1">
      <x:c r="A9" s="143" t="str">
        <x:v>실습</x:v>
      </x:c>
      <x:c r="B9" s="143" t="str">
        <x:v>관계도를 설비 모델로 옮기고 적재·조회 결과 확인하기</x:v>
      </x:c>
      <x:c r="C9" s="143" t="str">
        <x:v>제공 설비·센서·부품 자료에서 같은 대상의 ID와 관계를 확인하고 작은 모델을 작성한다. 앞 단계가 완성된 시작본과 제공 적재 도구를 활용해 별도 랩 DB에서 설비별 센서·부품을 조회한다. 구조 검사와 원자료의 의미 대조를 구분한다. 관계도·모델·조회 결과를 저장한다. 다음 회차에는 직접 적재·조회 기능을 만들고 SOP를 연결한다.</x:v>
      </x:c>
      <x:c r="D9" s="144" t="n">
        <x:v>50</x:v>
      </x:c>
    </x:row>
    <x:row r="10" s="1" customFormat="1" ht="28" customHeight="1">
      <x:c r="A10" s="139" t="str">
        <x:v>수업 합계 (휴식40분 별도)</x:v>
      </x:c>
      <x:c r="B10" s="139"/>
      <x:c r="C10" s="139"/>
      <x:c r="D10" s="139" t="n">
        <x:f>SUM(D6:D9)</x:f>
        <x:v>200</x:v>
      </x:c>
    </x:row>
    <x:row r="11" s="1" customFormat="1" ht="60" customHeight="1">
      <x:c r="A11" s="135"/>
      <x:c r="B11" s="135"/>
      <x:c r="C11" s="135"/>
      <x:c r="D11" s="135"/>
    </x:row>
    <x:row r="12" s="1" customFormat="1" ht="38" customHeight="1">
      <x:c r="A12" s="138" t="str">
        <x:v>02회차 | 설비 모델을 완성하고 작업 절차 연결하기</x:v>
      </x:c>
      <x:c r="B12" s="138"/>
      <x:c r="C12" s="138"/>
      <x:c r="D12" s="138"/>
    </x:row>
    <x:row r="13" s="1" customFormat="1" ht="28" customHeight="1">
      <x:c r="A13" s="140" t="str">
        <x:v>구분</x:v>
      </x:c>
      <x:c r="B13" s="140" t="str">
        <x:v>수업 단위</x:v>
      </x:c>
      <x:c r="C13" s="140" t="str">
        <x:v>세부 활동과 확인할 결과</x:v>
      </x:c>
      <x:c r="D13" s="140" t="str">
        <x:v>시간(분)</x:v>
      </x:c>
    </x:row>
    <x:row r="14" s="1" customFormat="1" ht="108" customHeight="1">
      <x:c r="A14" s="141" t="str">
        <x:v>이론</x:v>
      </x:c>
      <x:c r="B14" s="141" t="str">
        <x:v>식별자·적재·SOP 연결 원리 이해하기</x:v>
      </x:c>
      <x:c r="C14" s="141" t="str">
        <x:v>앞서 만든 작은 모델을 다시 적재해도 중복되지 않게 하고 작업 절차를 연결한다. 고유 식별자로 같은 대상을 구분하는 방법과 반복 적재 시 중복을 막는 원리를 살펴본다. 필수값·자료형·관계 끝점 제약을 설비 모델에 대어 확인하고, 고장·조치와 SOP의 전제·금지·완료 조건이 연결되는 구조를 이해한다.</x:v>
      </x:c>
      <x:c r="D14" s="142" t="n">
        <x:v>50</x:v>
      </x:c>
    </x:row>
    <x:row r="15" s="1" customFormat="1" ht="92" customHeight="1">
      <x:c r="A15" s="143" t="str">
        <x:v>실습</x:v>
      </x:c>
      <x:c r="B15" s="143" t="str">
        <x:v>모델을 보완하고 적재·조회 검증하기</x:v>
      </x:c>
      <x:c r="C15" s="143" t="str">
        <x:v>설비 모델의 고유 ID·자료형·필수값·관계 끝점을 원자료와 대조해 보완한다. 모델을 적재하고 설비별 센서·부품을 조회한다. 같은 자료를 다시 적재한 뒤 노드와 관계가 불필요하게 늘어나지 않았는지 확인한다.</x:v>
      </x:c>
      <x:c r="D15" s="144" t="n">
        <x:v>50</x:v>
      </x:c>
    </x:row>
    <x:row r="16" s="1" customFormat="1" ht="108" customHeight="1">
      <x:c r="A16" s="141" t="str">
        <x:v>실습</x:v>
      </x:c>
      <x:c r="B16" s="141" t="str">
        <x:v>제공된 다른 설비와 공용 부품으로 모델 확인하기</x:v>
      </x:c>
      <x:c r="C16" s="141" t="str">
        <x:v>제공 원자료에 있는 다른 설비를 같은 스키마로 표현한다. 공용 부품의 ID를 재사용하고 설비별로 같은 이름을 쓰는 센서는 구분한다. 새로 연결한 설비와 기존 설비를 함께 조회해 누락·중복·잘못된 끝점을 확인한다. 제공 자료 밖의 설비나 상태를 만들지 않는다.</x:v>
      </x:c>
      <x:c r="D16" s="142" t="n">
        <x:v>50</x:v>
      </x:c>
    </x:row>
    <x:row r="17" s="1" customFormat="1" ht="108" customHeight="1">
      <x:c r="A17" s="143" t="str">
        <x:v>실습</x:v>
      </x:c>
      <x:c r="B17" s="143" t="str">
        <x:v>SOP를 모델에 연결하고 결과 완성하기</x:v>
      </x:c>
      <x:c r="C17" s="143" t="str">
        <x:v>제공 SOP에서 작업의 전제·금지·수행 단계·완료 조건을 구분한다. 고장 유형과 조치 방법을 기존 설비 모델의 식별자에 연결하고, 선택한 고장에 적용할 절차와 금지 조건을 조회해 원문과 비교한다. 다음 회차에는 연결한 SOP 조건으로 조치의 허용·제외와 성과를 판정한다.</x:v>
      </x:c>
      <x:c r="D17" s="144" t="n">
        <x:v>50</x:v>
      </x:c>
    </x:row>
    <x:row r="18" s="1" customFormat="1" ht="28" customHeight="1">
      <x:c r="A18" s="139" t="str">
        <x:v>수업 합계 (휴식40분 별도)</x:v>
      </x:c>
      <x:c r="B18" s="139"/>
      <x:c r="C18" s="139"/>
      <x:c r="D18" s="139" t="n">
        <x:f>SUM(D14:D17)</x:f>
        <x:v>200</x:v>
      </x:c>
    </x:row>
    <x:row r="19" s="1" customFormat="1" ht="60" customHeight="1">
      <x:c r="A19" s="135"/>
      <x:c r="B19" s="135"/>
      <x:c r="C19" s="135"/>
      <x:c r="D19" s="135"/>
    </x:row>
    <x:row r="20" s="1" customFormat="1" ht="38" customHeight="1">
      <x:c r="A20" s="138" t="str">
        <x:v>03회차 | 안전한 조치와 성과 비교 기능 만들기</x:v>
      </x:c>
      <x:c r="B20" s="138"/>
      <x:c r="C20" s="138"/>
      <x:c r="D20" s="138"/>
    </x:row>
    <x:row r="21" s="1" customFormat="1" ht="28" customHeight="1">
      <x:c r="A21" s="140" t="str">
        <x:v>구분</x:v>
      </x:c>
      <x:c r="B21" s="140" t="str">
        <x:v>수업 단위</x:v>
      </x:c>
      <x:c r="C21" s="140" t="str">
        <x:v>세부 활동과 확인할 결과</x:v>
      </x:c>
      <x:c r="D21" s="140" t="str">
        <x:v>시간(분)</x:v>
      </x:c>
    </x:row>
    <x:row r="22" s="1" customFormat="1" ht="108" customHeight="1">
      <x:c r="A22" s="141" t="str">
        <x:v>이론</x:v>
      </x:c>
      <x:c r="B22" s="141" t="str">
        <x:v>안전한 판단 규칙과 성과 비교 기준 이해하기</x:v>
      </x:c>
      <x:c r="C22" s="141" t="str">
        <x:v>관계와 절차를 읽는 데서 나아가 입력 조건에 따라 가능한 조치와 그 이유를 반환한다. SOP의 작업 순서와 DMN의 판단 조건을 구분한다. 입력값·단위·연산자·경계값으로 조치 허용·제외를 표현하고, 허용된 후보끼리 비용·생산·품질·에너지 성과를 비교하는 이유를 사례로 확인한다.</x:v>
      </x:c>
      <x:c r="D22" s="142" t="n">
        <x:v>50</x:v>
      </x:c>
    </x:row>
    <x:row r="23" s="1" customFormat="1" ht="92" customHeight="1">
      <x:c r="A23" s="143" t="str">
        <x:v>실습</x:v>
      </x:c>
      <x:c r="B23" s="143" t="str">
        <x:v>SOP 조건표를 만들고 조치 차이 확인하기</x:v>
      </x:c>
      <x:c r="C23" s="143" t="str">
        <x:v>포털 What-if에서 운전 조건을 바꿔 조치 허용·제외와 순위 변화를 비교한다. 제공 SOP에서 입력·단위·경계·출처를 뽑아 결정표를 작성하고, 각 조건이 어떤 조치를 허용하거나 제외하는지 표시한다.</x:v>
      </x:c>
      <x:c r="D23" s="144" t="n">
        <x:v>50</x:v>
      </x:c>
    </x:row>
    <x:row r="24" s="1" customFormat="1" ht="92" customHeight="1">
      <x:c r="A24" s="141" t="str">
        <x:v>실습</x:v>
      </x:c>
      <x:c r="B24" s="141" t="str">
        <x:v>조건별 판정 기능 구현하기</x:v>
      </x:c>
      <x:c r="C24" s="141" t="str">
        <x:v>VS Code에서 결정표를 입력으로 사용해 조치의 허용·제외와 사유를 반환하는 기능을 만든다. 정상 조건, 경계값, 여러 규칙이 동시에 맞는 경우, 금지 조건을 입력해 실제 결과를 조건표와 대조한다.</x:v>
      </x:c>
      <x:c r="D24" s="142" t="n">
        <x:v>50</x:v>
      </x:c>
    </x:row>
    <x:row r="25" s="1" customFormat="1" ht="108" customHeight="1">
      <x:c r="A25" s="143" t="str">
        <x:v>실습</x:v>
      </x:c>
      <x:c r="B25" s="143" t="str">
        <x:v>성과를 비교하고 경계·누락 입력 검증하기</x:v>
      </x:c>
      <x:c r="C25" s="143" t="str">
        <x:v>허용된 조치 후보만 비용·생산 영향·품질·에너지 기준으로 비교한다. 경계값이나 필수 정보 누락에 따라 결과가 달라지는지 확인하고, 선택 이유와 추가 확인 사항을 출력한다. 추천 결과와 사람의 실행 승인을 구분한다. 다음 회차에는 사용한 조건의 원문을 추출·검토하여 근거 지식을 보강한다.</x:v>
      </x:c>
      <x:c r="D25" s="144" t="n">
        <x:v>50</x:v>
      </x:c>
    </x:row>
    <x:row r="26" s="1" customFormat="1" ht="28" customHeight="1">
      <x:c r="A26" s="139" t="str">
        <x:v>수업 합계 (휴식40분 별도)</x:v>
      </x:c>
      <x:c r="B26" s="139"/>
      <x:c r="C26" s="139"/>
      <x:c r="D26" s="139" t="n">
        <x:f>SUM(D22:D25)</x:f>
        <x:v>200</x:v>
      </x:c>
    </x:row>
    <x:row r="27" s="1" customFormat="1" ht="36" customHeight="1">
      <x:c r="A27" s="135"/>
      <x:c r="B27" s="135"/>
      <x:c r="C27" s="135"/>
      <x:c r="D27" s="135"/>
    </x:row>
    <x:row r="28" s="1" customFormat="1" ht="38" customHeight="1">
      <x:c r="A28" s="138" t="str">
        <x:v>04회차 | 문서를 지식으로 추출하고 검토하기</x:v>
      </x:c>
      <x:c r="B28" s="138"/>
      <x:c r="C28" s="138"/>
      <x:c r="D28" s="138"/>
    </x:row>
    <x:row r="29" s="1" customFormat="1" ht="28" customHeight="1">
      <x:c r="A29" s="140" t="str">
        <x:v>구분</x:v>
      </x:c>
      <x:c r="B29" s="140" t="str">
        <x:v>수업 단위</x:v>
      </x:c>
      <x:c r="C29" s="140" t="str">
        <x:v>세부 활동과 확인할 결과</x:v>
      </x:c>
      <x:c r="D29" s="140" t="str">
        <x:v>시간(분)</x:v>
      </x:c>
    </x:row>
    <x:row r="30" s="1" customFormat="1" ht="108" customHeight="1">
      <x:c r="A30" s="141" t="str">
        <x:v>이론</x:v>
      </x:c>
      <x:c r="B30" s="141" t="str">
        <x:v>문서 추출·검토·출처 관리 원리 이해하기</x:v>
      </x:c>
      <x:c r="C30" s="141" t="str">
        <x:v>판단에 쓰는 조건을 원문까지 확인할 수 있도록 문서 추출·검토·적재를 연결한다. 매뉴얼 원문, AI가 추출한 후보, 검토를 거친 지식을 구분한다. 부정 조건·단위·작업 순서가 잘못 추출된 사례를 원문과 대조하고, 문서 ID·페이지·인용 구간을 지식과 함께 보존하는 이유를 이해한다.</x:v>
      </x:c>
      <x:c r="D30" s="142" t="n">
        <x:v>50</x:v>
      </x:c>
    </x:row>
    <x:row r="31" s="1" customFormat="1" ht="108" customHeight="1">
      <x:c r="A31" s="143" t="str">
        <x:v>실습</x:v>
      </x:c>
      <x:c r="B31" s="143" t="str">
        <x:v>문서 지식 추출 기능을 만들고 원문과 대조하기</x:v>
      </x:c>
      <x:c r="C31" s="143" t="str">
        <x:v>포털의 제공 원문과 등록 지식을 비교한 뒤, 독립 랩에서 원문을 읽어 조건·단위·금지 사항·근거 절을 추출하는 기능을 작성한다. 생성한 후보를 원문과 대조해 채택·수정·제외·보류를 기록한다. 제공 후보만 검사한 경우와 실제 추출한 경우를 구분한다.</x:v>
      </x:c>
      <x:c r="D31" s="144" t="n">
        <x:v>50</x:v>
      </x:c>
    </x:row>
    <x:row r="32" s="1" customFormat="1" ht="108" customHeight="1">
      <x:c r="A32" s="141" t="str">
        <x:v>실습</x:v>
      </x:c>
      <x:c r="B32" s="141" t="str">
        <x:v>원문을 대조하고 승인 지식 그래프에 반영하기</x:v>
      </x:c>
      <x:c r="C32" s="141" t="str">
        <x:v>제공된 검토 결과와 랩 모델에서 시작해 승인한 후보만 별도 랩 DB에 연결한다. 작업 조건·단계·근거 문서의 경로를 조회하고 원문과 대조한다. 미승인 후보 제외와 반복 적재의 중복 방지를 확인한다.</x:v>
      </x:c>
      <x:c r="D32" s="142" t="n">
        <x:v>50</x:v>
      </x:c>
    </x:row>
    <x:row r="33" s="1" customFormat="1" ht="128" customHeight="1">
      <x:c r="A33" s="143" t="str">
        <x:v>실습</x:v>
      </x:c>
      <x:c r="B33" s="143" t="str">
        <x:v>다른 문서에 적용하고 결과 검증하기</x:v>
      </x:c>
      <x:c r="C33" s="143" t="str">
        <x:v>앞에서 만든 추출·검토·적재 기능을 다른 문서에 적용한다. 제공 PM-02·PR-07 또는 사용할 수 있는 문서의 단위·부정 조건·작업 순서·출처를 대조한다. 처음 정한 질문으로 그래프와 원문 근거를 다시 조회하고 반복 적재를 확인한다. 질문·모델·문서·인제스천 코드·검토·조회 결과를 묶어 구축 결과를 완성한다. 답할 수 있는 질문과 현재값·추가 자료가 필요한 질문을 설명한 뒤 다음 회차 에이전트의 근거로 연결한다.</x:v>
      </x:c>
      <x:c r="D33" s="144" t="n">
        <x:v>50</x:v>
      </x:c>
    </x:row>
    <x:row r="34" s="1" customFormat="1" ht="28" customHeight="1">
      <x:c r="A34" s="139" t="str">
        <x:v>수업 합계 (휴식40분 별도)</x:v>
      </x:c>
      <x:c r="B34" s="139"/>
      <x:c r="C34" s="139"/>
      <x:c r="D34" s="139" t="n">
        <x:f>SUM(D30:D33)</x:f>
        <x:v>200</x:v>
      </x:c>
    </x:row>
    <x:row r="35" s="1" customFormat="1" ht="28" customHeight="1">
      <x:c r="A35" s="135"/>
      <x:c r="B35" s="135"/>
      <x:c r="C35" s="135"/>
      <x:c r="D35" s="135"/>
    </x:row>
    <x:row r="36" s="1" customFormat="1" ht="38" customHeight="1">
      <x:c r="A36" s="138" t="str">
        <x:v>05회차 | 서로 다른 일을 하는 에이전트 만들기</x:v>
      </x:c>
      <x:c r="B36" s="138"/>
      <x:c r="C36" s="138"/>
      <x:c r="D36" s="138"/>
    </x:row>
    <x:row r="37" s="1" customFormat="1" ht="28" customHeight="1">
      <x:c r="A37" s="140" t="str">
        <x:v>구분</x:v>
      </x:c>
      <x:c r="B37" s="140" t="str">
        <x:v>수업 단위</x:v>
      </x:c>
      <x:c r="C37" s="140" t="str">
        <x:v>세부 활동과 확인할 결과</x:v>
      </x:c>
      <x:c r="D37" s="140" t="str">
        <x:v>시간(분)</x:v>
      </x:c>
    </x:row>
    <x:row r="38" s="1" customFormat="1" ht="128" customHeight="1">
      <x:c r="A38" s="141" t="str">
        <x:v>이론</x:v>
      </x:c>
      <x:c r="B38" s="141" t="str">
        <x:v>에이전트의 근거·도구·종료 조건 이해하기</x:v>
      </x:c>
      <x:c r="C38" s="141" t="str">
        <x:v>앞에서 구축한 온톨로지를 원인·점검 에이전트의 근거로 사용한다. 품질 접수·데이터 시각화·회의 후속 업무·학습 퀴즈 등 활용에 따라 입력·도구·결과가 어떻게 달라지는지 비교한다. LLM·RAG·에이전트의 역할과 관찰·도구 선택·실행·종료를 이해한다. 설비 지식과 현재값을 구분하고 근거 부족·도구 오류에서 멈추거나 물을 조건을 정한다. 이후 직접 구현과 다른 입력 검증으로 연결한다.</x:v>
      </x:c>
      <x:c r="D38" s="142" t="n">
        <x:v>50</x:v>
      </x:c>
    </x:row>
    <x:row r="39" s="1" customFormat="1" ht="92" customHeight="1">
      <x:c r="A39" s="143" t="str">
        <x:v>실습</x:v>
      </x:c>
      <x:c r="B39" s="143" t="str">
        <x:v>설비 원인과 점검 순서 에이전트 만들기</x:v>
      </x:c>
      <x:c r="C39" s="143" t="str">
        <x:v>포털 에이전트의 목표·도구·근거를 확인한다. VS Code에서 설비·센서·고장·SOP 관계와 센서 입력을 읽어 원인 후보·증거·다음 점검 순서를 제안하는 에이전트를 만든다. 확인되지 않은 원인이 가설로 표시되는지 검토한다.</x:v>
      </x:c>
      <x:c r="D39" s="144" t="n">
        <x:v>50</x:v>
      </x:c>
    </x:row>
    <x:row r="40" ht="108" customHeight="1">
      <x:c r="A40" s="141" t="str">
        <x:v>실습</x:v>
      </x:c>
      <x:c r="B40" s="141" t="str">
        <x:v>품질 접수 후속 업무 에이전트 만들기</x:v>
      </x:c>
      <x:c r="C40" s="141" t="str">
        <x:v>앞 에이전트의 실행 구조를 재사용하여 품질 접수 메시지와 분류 기준으로 유형·추가 확인·담당 부서·대응 초안을 만든다. 표현이 다른 접수와 정보가 빠진 접수를 비교해 단정 대신 조사 요청을 남기는지 확인한다. 품질 대응 카드와 근거를 저장하고 설비 점검과 달라진 입력·판정 기준을 설명한다.</x:v>
      </x:c>
      <x:c r="D40" s="142" t="n">
        <x:v>50</x:v>
      </x:c>
    </x:row>
    <x:row r="41" s="1" customFormat="1" ht="108" customHeight="1">
      <x:c r="A41" s="143" t="str">
        <x:v>실습</x:v>
      </x:c>
      <x:c r="B41" s="143" t="str">
        <x:v>센서 시각화와 에이전트 결과 검증하기</x:v>
      </x:c>
      <x:c r="C41" s="143" t="str">
        <x:v>센서 CSV의 시간·온도·압력 변화를 읽어 이상 구간을 시각화한다. 관련 태그와 조회 기간을 함께 표시하고 원자료와 비교한다. 원인 점검·품질 대응·시각화 결과에서 근거와 미확인 사항이 구분되는지 검토한다. 다음 회차에는 반복 작업의 지침을 스킬로 만들고 파일·Git·시간 도구를 조합한다.</x:v>
      </x:c>
      <x:c r="D41" s="144" t="n">
        <x:v>50</x:v>
      </x:c>
    </x:row>
    <x:row r="42" s="1" customFormat="1" ht="28" customHeight="1">
      <x:c r="A42" s="139" t="str">
        <x:v>수업 합계 (휴식40분 별도)</x:v>
      </x:c>
      <x:c r="B42" s="139"/>
      <x:c r="C42" s="139"/>
      <x:c r="D42" s="139" t="n">
        <x:f>SUM(D38:D41)</x:f>
        <x:v>200</x:v>
      </x:c>
    </x:row>
    <x:row r="43" s="1" customFormat="1" ht="60" customHeight="1">
      <x:c r="A43" s="135"/>
      <x:c r="B43" s="135"/>
      <x:c r="C43" s="135"/>
      <x:c r="D43" s="135"/>
    </x:row>
    <x:row r="44" s="1" customFormat="1" ht="38" customHeight="1">
      <x:c r="A44" s="138" t="str">
        <x:v>06회차 | 스킬과 MCP로 반복 작업 처리하기</x:v>
      </x:c>
      <x:c r="B44" s="138"/>
      <x:c r="C44" s="138"/>
      <x:c r="D44" s="138"/>
    </x:row>
    <x:row r="45" s="1" customFormat="1" ht="28" customHeight="1">
      <x:c r="A45" s="140" t="str">
        <x:v>구분</x:v>
      </x:c>
      <x:c r="B45" s="140" t="str">
        <x:v>수업 단위</x:v>
      </x:c>
      <x:c r="C45" s="140" t="str">
        <x:v>세부 활동과 확인할 결과</x:v>
      </x:c>
      <x:c r="D45" s="140" t="str">
        <x:v>시간(분)</x:v>
      </x:c>
    </x:row>
    <x:row r="46" s="1" customFormat="1" ht="108" customHeight="1">
      <x:c r="A46" s="141" t="str">
        <x:v>이론</x:v>
      </x:c>
      <x:c r="B46" s="141" t="str">
        <x:v>스킬·MCP·접근 범위 이해하기</x:v>
      </x:c>
      <x:c r="C46" s="141" t="str">
        <x:v>에이전트의 반복 작업을 재사용 지침과 도구 호출로 나누어 구성한다. SKILL.md에 담는 목적·입력·출력·절차와 MCP 도구의 역할을 구분한다. 파일·Git·시간 도구의 입력과 반환값을 살펴보고, 읽기·쓰기 권한과 접근 가능한 경로가 작업에 미치는 영향을 확인한다.</x:v>
      </x:c>
      <x:c r="D46" s="142" t="n">
        <x:v>50</x:v>
      </x:c>
    </x:row>
    <x:row r="47" s="1" customFormat="1" ht="92" customHeight="1">
      <x:c r="A47" s="143" t="str">
        <x:v>실습</x:v>
      </x:c>
      <x:c r="B47" s="143" t="str">
        <x:v>도구를 연결하고 회의록 스킬 만들기</x:v>
      </x:c>
      <x:c r="C47" s="143" t="str">
        <x:v>준비된 MCP의 연결과 호출 결과를 확인한다. 회의록에서 결정사항·담당자·기한·출처를 추출하는 SKILL.md를 작성하고, 담당자나 기한이 없는 항목은 미정으로 남기는지 원문과 비교한다.</x:v>
      </x:c>
      <x:c r="D47" s="144" t="n">
        <x:v>50</x:v>
      </x:c>
    </x:row>
    <x:row r="48" s="1" customFormat="1" ht="108" customHeight="1">
      <x:c r="A48" s="141" t="str">
        <x:v>실습</x:v>
      </x:c>
      <x:c r="B48" s="141" t="str">
        <x:v>외부 MCP와 직접 만든 조회 도구 조합하기</x:v>
      </x:c>
      <x:c r="C48" s="141" t="str">
        <x:v>파일·Git·시간 MCP를 연결하고 제공 서버 골격의 점검 자료 조회 함수를 구현한다. 도구 목록·입력·반환값을 확인한 뒤 기존 에이전트에서 외부 도구와 함께 호출한다. 자료 내용·변경 이력·기준 시각이 결과의 어느 근거에 쓰였는지 대조하고, 조회 실패와 자료 없음을 구분한다.</x:v>
      </x:c>
      <x:c r="D48" s="142" t="n">
        <x:v>50</x:v>
      </x:c>
    </x:row>
    <x:row r="49" ht="188" customHeight="1">
      <x:c r="A49" s="143" t="str">
        <x:v>실습</x:v>
      </x:c>
      <x:c r="B49" s="143" t="str">
        <x:v>내 Notion 노트로 퀴즈를 풀고 피드백 확인하기</x:v>
      </x:c>
      <x:c r="C49" s="143" t="str">
        <x:v>1회차부터 자기 Notion에 정리한 학습노트의 페이지를 선택하고 MCP 읽기 연결을 설정한다. 노트에서 문항·정답 기준·해설·원문 근거를 구성하는 퀴즈 에이전트를 만들되, 답하기 전에는 정답과 해설을 숨긴다. 학생 답변을 받아 정답·부분 정답·오답과 이유를 알려주고 원문을 다시 열어 확인한다. 다음 문항과 틀린 개념 재도전으로 이어가며 풀이 기록을 저장한다. 표현만 다른 정답·불완전한 답·노트에 없는 질문으로 검증하고, 근거가 부족하면 출제나 채점을 보류한다. Notion 연결이 안 되면 같은 노트의 Markdown 내보내기로 진행하고 실제 MCP 연결 여부를 따로 기록한다. 다음 회차에는 업무 에이전트의 정보 누락·변경 요구를 질문·명세·검증으로 다룬다.</x:v>
      </x:c>
      <x:c r="D49" s="144" t="n">
        <x:v>50</x:v>
      </x:c>
    </x:row>
    <x:row r="50" s="1" customFormat="1" ht="28" customHeight="1">
      <x:c r="A50" s="139" t="str">
        <x:v>수업 합계 (휴식40분 별도)</x:v>
      </x:c>
      <x:c r="B50" s="139"/>
      <x:c r="C50" s="139"/>
      <x:c r="D50" s="139" t="n">
        <x:f>SUM(D46:D49)</x:f>
        <x:v>200</x:v>
      </x:c>
    </x:row>
    <x:row r="51" s="1" customFormat="1" ht="26" customHeight="1">
      <x:c r="A51" s="135"/>
      <x:c r="B51" s="135"/>
      <x:c r="C51" s="135"/>
      <x:c r="D51" s="135"/>
    </x:row>
    <x:row r="52" s="1" customFormat="1" ht="38" customHeight="1">
      <x:c r="A52" s="138" t="str">
        <x:v>07회차 | 사람 확인·명세·검증으로 결과 완성하기</x:v>
      </x:c>
      <x:c r="B52" s="138"/>
      <x:c r="C52" s="138"/>
      <x:c r="D52" s="138"/>
    </x:row>
    <x:row r="53" s="1" customFormat="1" ht="28" customHeight="1">
      <x:c r="A53" s="140" t="str">
        <x:v>구분</x:v>
      </x:c>
      <x:c r="B53" s="140" t="str">
        <x:v>수업 단위</x:v>
      </x:c>
      <x:c r="C53" s="140" t="str">
        <x:v>세부 활동과 확인할 결과</x:v>
      </x:c>
      <x:c r="D53" s="140" t="str">
        <x:v>시간(분)</x:v>
      </x:c>
    </x:row>
    <x:row r="54" s="1" customFormat="1" ht="108" customHeight="1">
      <x:c r="A54" s="141" t="str">
        <x:v>이론</x:v>
      </x:c>
      <x:c r="B54" s="141" t="str">
        <x:v>질문·승인·명세·행동 검증 이해하기</x:v>
      </x:c>
      <x:c r="C54" s="141" t="str">
        <x:v>앞서 만든 업무 요청 기능의 누락 입력과 변경 요구를 다루고 기존 동작이 유지되는지 확인한다. 정보 확인 질문과 사람의 승인을 구분한다. 입력·출력·금지 조건·수용 기준을 명세로 표현하고, Given/When/Then으로 기대 행동을 정하는 방법을 익힌다. 새 기능의 동작과 기존 기능 보존을 함께 확인하는 이유를 이해한다.</x:v>
      </x:c>
      <x:c r="D54" s="142" t="n">
        <x:v>50</x:v>
      </x:c>
    </x:row>
    <x:row r="55" s="1" customFormat="1" ht="108" customHeight="1">
      <x:c r="A55" s="143" t="str">
        <x:v>실습</x:v>
      </x:c>
      <x:c r="B55" s="143" t="str">
        <x:v>질문·답변·재개를 구현하고 작성·검토 결과 비교하기</x:v>
      </x:c>
      <x:c r="C55" s="143" t="str">
        <x:v>포털의 승인·반려 상태를 확인한 뒤 원인·점검 계획에서 이어진 점검 요청 시작본을 연다. 도구로 확인 가능한 정보는 먼저 읽고 부족한 정보만 질문하며 같은 요청의 답변으로 재개하도록 구현한다. 제공 작성·검토 시작본에 원자료 대조 기준을 적용하고 AI 검토와 사람 승인을 구분한다. 이후 명세 변경과 검증도 같은 점검 요청 프로젝트에서 진행한다.</x:v>
      </x:c>
      <x:c r="D55" s="144" t="n">
        <x:v>50</x:v>
      </x:c>
    </x:row>
    <x:row r="56" s="1" customFormat="1" ht="108" customHeight="1">
      <x:c r="A56" s="141" t="str">
        <x:v>실습</x:v>
      </x:c>
      <x:c r="B56" s="141" t="str">
        <x:v>변경 요구를 명세하고 기능 구현하기</x:v>
      </x:c>
      <x:c r="C56" s="141" t="str">
        <x:v>같은 점검 요청 프로젝트에 긴급 표시를 추가할 입력·조건·출력·금지 사항을 spec.md로 작성한다. 시간 구간·단위·경계값과 누락 처리 기준을 정하고 AI와 구현한다. 기존 일반 요청과 변경 요청을 비교해 근거·미확인·사람 승인 조건이 유지되는지 확인한다.</x:v>
      </x:c>
      <x:c r="D56" s="142" t="n">
        <x:v>50</x:v>
      </x:c>
    </x:row>
    <x:row r="57" s="1" customFormat="1" ht="108" customHeight="1">
      <x:c r="A57" s="143" t="str">
        <x:v>실습</x:v>
      </x:c>
      <x:c r="B57" s="143" t="str">
        <x:v>행동을 검증하고 인수인계 결과 만들기</x:v>
      </x:c>
      <x:c r="C57" s="143" t="str">
        <x:v>정상·정보 누락·변경 요구의 기대 결과를 Given/When/Then으로 작성해 실제 출력과 비교한다. 제공 센서·정비·부품 자료를 연결해 완료·미완료·다음 조치·근거 시각을 담은 인수인계 결과를 만들고 원자료와 대조한다. 다음 회차에는 검증한 작업을 사람의 승인과 함께 BPMN으로 표현한다.</x:v>
      </x:c>
      <x:c r="D57" s="144" t="n">
        <x:v>50</x:v>
      </x:c>
    </x:row>
    <x:row r="58" ht="28" customHeight="1">
      <x:c r="A58" s="139" t="str">
        <x:v>수업 합계 (휴식40분 별도)</x:v>
      </x:c>
      <x:c r="B58" s="139"/>
      <x:c r="C58" s="139"/>
      <x:c r="D58" s="139" t="n">
        <x:f>SUM(D54:D57)</x:f>
        <x:v>200</x:v>
      </x:c>
    </x:row>
    <x:row r="59" s="1" customFormat="1" ht="58" customHeight="1">
      <x:c r="A59" s="135"/>
      <x:c r="B59" s="135"/>
      <x:c r="C59" s="135"/>
      <x:c r="D59" s="135"/>
    </x:row>
    <x:row r="60" s="1" customFormat="1" ht="38" customHeight="1">
      <x:c r="A60" s="138" t="str">
        <x:v>08회차 | 설비 대응 프로세스를 설계하고 연결하기</x:v>
      </x:c>
      <x:c r="B60" s="138"/>
      <x:c r="C60" s="138"/>
      <x:c r="D60" s="138"/>
    </x:row>
    <x:row r="61" s="1" customFormat="1" ht="28" customHeight="1">
      <x:c r="A61" s="140" t="str">
        <x:v>구분</x:v>
      </x:c>
      <x:c r="B61" s="140" t="str">
        <x:v>수업 단위</x:v>
      </x:c>
      <x:c r="C61" s="140" t="str">
        <x:v>세부 활동과 확인할 결과</x:v>
      </x:c>
      <x:c r="D61" s="140" t="str">
        <x:v>시간(분)</x:v>
      </x:c>
    </x:row>
    <x:row r="62" s="1" customFormat="1" ht="108" customHeight="1">
      <x:c r="A62" s="141" t="str">
        <x:v>이론</x:v>
      </x:c>
      <x:c r="B62" s="141" t="str">
        <x:v>BPMN 역할·분기·지연·실행 연결 이해하기</x:v>
      </x:c>
      <x:c r="C62" s="141" t="str">
        <x:v>개별 작업의 결과가 다음 작업으로 넘어가는 조건과 담당 역할을 그림으로 명확히 한다. 시작·종료 이벤트, 작업, 역할별 Lane, 승인 분기와 지연 알림의 의미를 설비 대응 사례로 구분한다. BPMN 그림의 각 작업이 에이전트·사람·시스템 중 누구에게 연결되는지 살펴보고, 승인 거절과 승인 대기 상태의 차이를 확인한다.</x:v>
      </x:c>
      <x:c r="D62" s="142" t="n">
        <x:v>50</x:v>
      </x:c>
    </x:row>
    <x:row r="63" s="1" customFormat="1" ht="92" customHeight="1">
      <x:c r="A63" s="143" t="str">
        <x:v>실습</x:v>
      </x:c>
      <x:c r="B63" s="143" t="str">
        <x:v>기본 승인 흐름에서 설비 대응 흐름 만들기</x:v>
      </x:c>
      <x:c r="C63" s="143" t="str">
        <x:v>bpmn.io에서 시작→요청 확인→승인 또는 반려→종료를 그린다. 이어 쿨러 경보→원인 분석·조치 제안→운전원 승인→설비 명령→효과 확인→보고로 흐름을 확장하고, 담당 역할에 맞게 작업을 Lane에 배치한다.</x:v>
      </x:c>
      <x:c r="D63" s="144" t="n">
        <x:v>50</x:v>
      </x:c>
    </x:row>
    <x:row r="64" s="1" customFormat="1" ht="92" customHeight="1">
      <x:c r="A64" s="141" t="str">
        <x:v>실습</x:v>
      </x:c>
      <x:c r="B64" s="141" t="str">
        <x:v>승인·거절·지연 경로 완성하기</x:v>
      </x:c>
      <x:c r="C64" s="141" t="str">
        <x:v>승인·거절 분기와 각각의 종료 경로를 연결한다. 거절 경로에서 설비 명령으로 진행되지 않는지 확인하고, 승인 작업을 취소하지 않는 지연 알림 Timer를 추가한다. 각 경로를 따라가며 분기 조건과 연결 누락을 점검한다.</x:v>
      </x:c>
      <x:c r="D64" s="142" t="n">
        <x:v>50</x:v>
      </x:c>
    </x:row>
    <x:row r="65" s="1" customFormat="1" ht="108" customHeight="1">
      <x:c r="A65" s="143" t="str">
        <x:v>실습</x:v>
      </x:c>
      <x:c r="B65" s="143" t="str">
        <x:v>BPMN과 등록된 실행 연결 비교하기</x:v>
      </x:c>
      <x:c r="C65" s="143" t="str">
        <x:v>bpmn.io에서 작성한 설비 대응 흐름과 포털에 등록된 기준 흐름을 비교한다. 제공 매핑 자료에서 시작 이벤트·에이전트·운전원 승인·설비 명령·재관측 작업의 연결을 찾는다. 자신이 그린 각 작업이 어떤 실행 기능에 대응하는지 표시하고, 그림 파일과 실행 정의를 구분한다. 다음 회차에는 등록된 흐름을 실행해 이 그림과 실제 처리 이력을 대조한다.</x:v>
      </x:c>
      <x:c r="D65" s="144" t="n">
        <x:v>50</x:v>
      </x:c>
    </x:row>
    <x:row r="66" s="1" customFormat="1" ht="28" customHeight="1">
      <x:c r="A66" s="139" t="str">
        <x:v>수업 합계 (휴식40분 별도)</x:v>
      </x:c>
      <x:c r="B66" s="139"/>
      <x:c r="C66" s="139"/>
      <x:c r="D66" s="139" t="n">
        <x:f>SUM(D62:D65)</x:f>
        <x:v>200</x:v>
      </x:c>
    </x:row>
    <x:row r="67" s="1" customFormat="1" ht="60" customHeight="1">
      <x:c r="A67" s="135"/>
      <x:c r="B67" s="135"/>
      <x:c r="C67" s="135"/>
      <x:c r="D67" s="135"/>
    </x:row>
    <x:row r="68" ht="38" customHeight="1">
      <x:c r="A68" s="138" t="str">
        <x:v>09회차 | 프로세스를 실행·검증하고 교대 인수인계 제작 시작하기</x:v>
      </x:c>
      <x:c r="B68" s="138"/>
      <x:c r="C68" s="138"/>
      <x:c r="D68" s="138"/>
    </x:row>
    <x:row r="69" s="1" customFormat="1" ht="28" customHeight="1">
      <x:c r="A69" s="140" t="str">
        <x:v>구분</x:v>
      </x:c>
      <x:c r="B69" s="140" t="str">
        <x:v>수업 단위</x:v>
      </x:c>
      <x:c r="C69" s="140" t="str">
        <x:v>세부 활동과 확인할 결과</x:v>
      </x:c>
      <x:c r="D69" s="140" t="str">
        <x:v>시간(분)</x:v>
      </x:c>
    </x:row>
    <x:row r="70" s="1" customFormat="1" ht="108" customHeight="1">
      <x:c r="A70" s="141" t="str">
        <x:v>실습</x:v>
      </x:c>
      <x:c r="B70" s="141" t="str">
        <x:v>실행 상태를 이해하고 정상·예외 경로 확인하기</x:v>
      </x:c>
      <x:c r="C70" s="141" t="str">
        <x:v>포털의 준비된 냉각 대응 시나리오 A를 실행하고 같은 처리 건의 판단→운전원 승인→명령→재관측→보고를 따라간다. 승인 대기·거절·보류는 실제 기록이나 제공 사례와 구분해 비교한다. 명령 처리와 온도 회복, 작업지시 등록과 정비 완료를 따로 확인한다. 작성한 BPMN에서 해당 작업을 찾고 실제 정의·판본·처리 건과 결과를 기록한다.</x:v>
      </x:c>
      <x:c r="D70" s="142" t="n">
        <x:v>50</x:v>
      </x:c>
    </x:row>
    <x:row r="71" s="1" customFormat="1" ht="92" customHeight="1">
      <x:c r="A71" s="143" t="str">
        <x:v>실습</x:v>
      </x:c>
      <x:c r="B71" s="143" t="str">
        <x:v>BPMN을 보완하고 교대 인수인계 요구 정하기</x:v>
      </x:c>
      <x:c r="C71" s="143" t="str">
        <x:v>자신의 BPMN 그림과 실행 이력의 작업·역할·분기 차이를 찾아 그림을 수정한다. 교대 인수인계에 필요한 설비·교대·기준 시각·작업 메모를 정하고, 인계자 검토와 인수자 확인을 완료 조건으로 작성한다.</x:v>
      </x:c>
      <x:c r="D71" s="144" t="n">
        <x:v>50</x:v>
      </x:c>
    </x:row>
    <x:row r="72" s="1" customFormat="1" ht="108" customHeight="1">
      <x:c r="A72" s="141" t="str">
        <x:v>실습</x:v>
      </x:c>
      <x:c r="B72" s="141" t="str">
        <x:v>보충 지식과 인수인계 에이전트 구성하기</x:v>
      </x:c>
      <x:c r="C72" s="141" t="str">
        <x:v>강사 코드로 열린 교대 실습에서 제공 HI-01 원문과 준비된 추출 후보를 대조해 검토한 지식을 추가한다. 문서·판본·절 연결을 확인하고, 허용된 설비·정비·ERP 읽기 도구로 인계안을 작성할 에이전트와 스킬을 구성한다. 관측 시각·작업지시·재고·메모의 불일치와 확인할 일을 남기는지 원천 기록과 대조한다.</x:v>
      </x:c>
      <x:c r="D72" s="142" t="n">
        <x:v>50</x:v>
      </x:c>
    </x:row>
    <x:row r="73" s="1" customFormat="1" ht="108" customHeight="1">
      <x:c r="A73" s="143" t="str">
        <x:v>실습</x:v>
      </x:c>
      <x:c r="B73" s="143" t="str">
        <x:v>제공 인수인계 BPMN의 에이전트 배정·등록하기</x:v>
      </x:c>
      <x:c r="C73" s="143" t="str">
        <x:v>제공 교대 BPMN을 bpmn.io에서 열어 이름과 배치를 정리한다. 시작 입력·검토·보완 분기를 유지하고 세 초안 단계에 교대 에이전트를 배정하여 별도 판본을 등록한다. 시작 폼의 설비·교대 입력과 각 단계 배정을 확인한다. 다음 회차에는 정비·구매의 실행 결과를 확인하고 준비한 교대 흐름을 끝까지 수행한다.</x:v>
      </x:c>
      <x:c r="D73" s="144" t="n">
        <x:v>50</x:v>
      </x:c>
    </x:row>
    <x:row r="74" s="1" customFormat="1" ht="28" customHeight="1">
      <x:c r="A74" s="139" t="str">
        <x:v>수업 합계 (휴식40분 별도)</x:v>
      </x:c>
      <x:c r="B74" s="139"/>
      <x:c r="C74" s="139"/>
      <x:c r="D74" s="139" t="n">
        <x:f>SUM(D70:D73)</x:f>
        <x:v>200</x:v>
      </x:c>
    </x:row>
    <x:row r="75" s="1" customFormat="1" ht="60" customHeight="1">
      <x:c r="A75" s="135"/>
      <x:c r="B75" s="135"/>
      <x:c r="C75" s="135"/>
      <x:c r="D75" s="135"/>
    </x:row>
    <x:row r="76" s="1" customFormat="1" ht="38" customHeight="1">
      <x:c r="A76" s="138" t="str">
        <x:v>10회차 | 정비·구매에 적용하고 교대 인수인계 완성하기</x:v>
      </x:c>
      <x:c r="B76" s="138"/>
      <x:c r="C76" s="138"/>
      <x:c r="D76" s="138"/>
    </x:row>
    <x:row r="77" ht="28" customHeight="1">
      <x:c r="A77" s="140" t="str">
        <x:v>구분</x:v>
      </x:c>
      <x:c r="B77" s="140" t="str">
        <x:v>수업 단위</x:v>
      </x:c>
      <x:c r="C77" s="140" t="str">
        <x:v>세부 활동과 확인할 결과</x:v>
      </x:c>
      <x:c r="D77" s="140" t="str">
        <x:v>시간(분)</x:v>
      </x:c>
    </x:row>
    <x:row r="78" s="1" customFormat="1" ht="108" customHeight="1">
      <x:c r="A78" s="141" t="str">
        <x:v>실습</x:v>
      </x:c>
      <x:c r="B78" s="141" t="str">
        <x:v>업무별 시작 조건을 비교하고 정비 흐름 설계하기</x:v>
      </x:c>
      <x:c r="C78" s="141" t="str">
        <x:v>설비 대응에서 익힌 패턴을 정비·구매에 적용하고 교대 인수인계의 검토·확인까지 마친다. 냉각 경보·정기 점검 도래·재고 부족의 시작 조건과 완료 결과를 비교한다. 정기 점검→정비 계획→설비보전팀장 승인 또는 거절→정비 오더→생산팀 공지 흐름을 bpmn.io에서 작성하고 담당 역할과 분기 조건을 연결한다.</x:v>
      </x:c>
      <x:c r="D78" s="142" t="n">
        <x:v>50</x:v>
      </x:c>
    </x:row>
    <x:row r="79" s="1" customFormat="1" ht="108" customHeight="1">
      <x:c r="A79" s="143" t="str">
        <x:v>실습</x:v>
      </x:c>
      <x:c r="B79" s="143" t="str">
        <x:v>등록된 정비 흐름을 실행하고 결과 검증하기</x:v>
      </x:c>
      <x:c r="C79" s="143" t="str">
        <x:v>포털의 준비된 정기 점검 시나리오 B에서 점검 시점 제안과 근거를 읽고 담당자의 결정을 거친다. 같은 처리 건의 작업지시·부품 예약·생산 공지·보고를 대조한다. 오더 등록은 실제 정비 완료와 구분한다. 거절·보류 사례는 확인한 기록 범위에서 비교하고, 실행 결과를 자신의 BPMN 작업과 연결해 저장한다.</x:v>
      </x:c>
      <x:c r="D79" s="144" t="n">
        <x:v>50</x:v>
      </x:c>
    </x:row>
    <x:row r="80" s="1" customFormat="1" ht="108" customHeight="1">
      <x:c r="A80" s="141" t="str">
        <x:v>실습</x:v>
      </x:c>
      <x:c r="B80" s="141" t="str">
        <x:v>구매 흐름을 설계하고 실행 검증하기</x:v>
      </x:c>
      <x:c r="C80" s="141" t="str">
        <x:v>제공 구매 업무를 bpmn.io에서 시작·제안·승인·발주·입고·보고로 표현한다. 포털의 준비된 재고 보충 시나리오 C에서 공급사·수량의 제안 근거와 승인 조건을 확인한다. 발주·통지·입고·재고 반영을 각각 찾아 시작 재고·예약·발주 중 수량과 비교한다. 수업 시스템의 즉시 입고를 실제 배송으로 설명하지 않는다. 반려 사례는 제공 기록과 구분해 비교하고 BPMN의 해당 작업과 실제 결과를 연결한다.</x:v>
      </x:c>
      <x:c r="D80" s="142" t="n">
        <x:v>50</x:v>
      </x:c>
    </x:row>
    <x:row r="81" s="1" customFormat="1" ht="108" customHeight="1">
      <x:c r="A81" s="143" t="str">
        <x:v>실습</x:v>
      </x:c>
      <x:c r="B81" s="143" t="str">
        <x:v>교대 인수인계를 완성하고 ProcessGPT 연결 보기</x:v>
      </x:c>
      <x:c r="C81" s="143" t="str">
        <x:v>교대 인계안을 원천 기록과 대조하고 근거와 남은 일을 상대에게 설명한다. 인계자 검토→인수자의 확인 또는 실제 보완 요청→같은 처리 건의 재검토·인수 확인을 수행한다. 최종 인계안과 확인 기록을 저장하며 인수 확인과 정비·발주 완료를 구분한다. 이어 ProcessGPT 시연에서 지식·에이전트·사람 작업·실행 기록의 연결을 자신이 수행한 과정과 비교한다.</x:v>
      </x:c>
      <x:c r="D81" s="144" t="n">
        <x:v>50</x:v>
      </x:c>
    </x:row>
    <x:row r="82" s="1" customFormat="1" ht="28" customHeight="1">
      <x:c r="A82" s="139" t="str">
        <x:v>수업 합계 (휴식40분 별도)</x:v>
      </x:c>
      <x:c r="B82" s="139"/>
      <x:c r="C82" s="139"/>
      <x:c r="D82" s="139" t="n">
        <x:f>SUM(D78:D81)</x:f>
        <x:v>200</x:v>
      </x:c>
    </x:row>
    <x:row r="83" s="1" customFormat="1" ht="12" customHeight="1">
      <x:c r="A83" s="135"/>
      <x:c r="B83" s="135"/>
      <x:c r="C83" s="135"/>
      <x:c r="D83" s="135"/>
    </x:row>
    <x:row r="84" s="1" customFormat="1" ht="36" customHeight="1">
      <x:c r="A84" s="135" t="str">
        <x:v>전체 수업 시간(분)</x:v>
      </x:c>
      <x:c r="B84" s="135"/>
      <x:c r="C84" s="135"/>
      <x:c r="D84" s="135" t="n">
        <x:f>SUM(D10,D18,D26,D34,D42,D50,D58,D66,D74,D82)</x:f>
        <x:v>2000</x:v>
      </x:c>
    </x:row>
    <x:row r="85" s="1" customFormat="1" ht="26" customHeight="1">
      <x:c r="A85" s="135" t="str">
        <x:v>전체 휴식 시간(분)</x:v>
      </x:c>
      <x:c r="B85" s="135"/>
      <x:c r="C85" s="135"/>
      <x:c r="D85" s="135" t="n">
        <x:f>40*10</x:f>
        <x:v>400</x:v>
      </x:c>
    </x:row>
    <x:row r="86" ht="65" customHeight="1">
      <x:c r="A86" s="135" t="str">
        <x:v>전체 편성 시간(분)</x:v>
      </x:c>
      <x:c r="B86" s="135"/>
      <x:c r="C86" s="135"/>
      <x:c r="D86" s="135" t="n">
        <x:f>SUM(D84:D85)</x:f>
        <x:v>2400</x:v>
      </x:c>
    </x:row>
    <x:row r="87" s="1" customFormat="1" ht="60" customHeight="1">
      <x:c r="A87" s="135"/>
      <x:c r="B87" s="135"/>
      <x:c r="C87" s="135"/>
      <x:c r="D87" s="135"/>
    </x:row>
    <x:row r="88" s="1" customFormat="1" ht="60" customHeight="1">
      <x:c r="A88" s="135"/>
      <x:c r="B88" s="135"/>
      <x:c r="C88" s="135"/>
      <x:c r="D88" s="135"/>
    </x:row>
    <x:row r="89" s="1" customFormat="1" ht="60" customHeight="1">
      <x:c r="A89" s="135"/>
      <x:c r="B89" s="135"/>
      <x:c r="C89" s="135"/>
      <x:c r="D89" s="135"/>
    </x:row>
    <x:row r="90" s="1" customFormat="1" ht="60" customHeight="1">
      <x:c r="A90" s="135"/>
      <x:c r="B90" s="135"/>
      <x:c r="C90" s="135"/>
      <x:c r="D90" s="135"/>
    </x:row>
    <x:row r="91" s="1" customFormat="1" ht="28" customHeight="1">
      <x:c r="A91" s="135"/>
      <x:c r="B91" s="135"/>
      <x:c r="C91" s="135"/>
      <x:c r="D91" s="135"/>
    </x:row>
    <x:row r="92" s="1" customFormat="1" ht="58" customHeight="1">
      <x:c r="A92" s="135"/>
      <x:c r="B92" s="135"/>
      <x:c r="C92" s="135"/>
      <x:c r="D92" s="135"/>
    </x:row>
    <x:row r="93" s="1" customFormat="1" ht="12" customHeight="1">
      <x:c r="A93" s="135"/>
      <x:c r="B93" s="135"/>
      <x:c r="C93" s="135"/>
      <x:c r="D93" s="135"/>
    </x:row>
    <x:row r="94" s="1" customFormat="1" ht="36" customHeight="1">
      <x:c r="A94" s="135"/>
      <x:c r="B94" s="135"/>
      <x:c r="C94" s="135"/>
      <x:c r="D94" s="135"/>
    </x:row>
    <x:row r="95" s="1" customFormat="1" ht="26" customHeight="1">
      <x:c r="A95" s="135"/>
      <x:c r="B95" s="135"/>
      <x:c r="C95" s="135"/>
      <x:c r="D95" s="135"/>
    </x:row>
    <x:row r="96" ht="65" customHeight="1">
      <x:c r="A96" s="135"/>
      <x:c r="B96" s="135"/>
      <x:c r="C96" s="135"/>
      <x:c r="D96" s="135"/>
    </x:row>
    <x:row r="97" s="1" customFormat="1" ht="60" customHeight="1">
      <x:c r="A97" s="135"/>
      <x:c r="B97" s="135"/>
      <x:c r="C97" s="135"/>
      <x:c r="D97" s="135"/>
    </x:row>
    <x:row r="98" s="1" customFormat="1" ht="60" customHeight="1">
      <x:c r="A98" s="135"/>
      <x:c r="B98" s="135"/>
      <x:c r="C98" s="135"/>
      <x:c r="D98" s="135"/>
    </x:row>
    <x:row r="99" s="1" customFormat="1" ht="60" customHeight="1">
      <x:c r="A99" s="135"/>
      <x:c r="B99" s="135"/>
      <x:c r="C99" s="135"/>
      <x:c r="D99" s="135"/>
    </x:row>
    <x:row r="100" ht="68" customHeight="1">
      <x:c r="A100" s="135"/>
      <x:c r="B100" s="135"/>
      <x:c r="C100" s="135"/>
      <x:c r="D100" s="135"/>
    </x:row>
    <x:row r="101" s="1" customFormat="1" ht="60" customHeight="1">
      <x:c r="A101" s="135"/>
      <x:c r="B101" s="135"/>
      <x:c r="C101" s="135"/>
      <x:c r="D101" s="135"/>
    </x:row>
    <x:row r="102" ht="60" customHeight="1">
      <x:c r="A102" s="135"/>
      <x:c r="B102" s="135"/>
      <x:c r="C102" s="135"/>
      <x:c r="D102" s="135"/>
    </x:row>
    <x:row r="103" s="1" customFormat="1" ht="28" customHeight="1">
      <x:c r="A103" s="135"/>
      <x:c r="B103" s="135"/>
      <x:c r="C103" s="135"/>
      <x:c r="D103" s="135"/>
    </x:row>
    <x:row r="104" ht="58" customHeight="1">
      <x:c r="A104" s="135"/>
      <x:c r="B104" s="135"/>
      <x:c r="C104" s="135"/>
      <x:c r="D104" s="135"/>
    </x:row>
    <x:row r="105" s="1" customFormat="1" ht="12" customHeight="1">
      <x:c r="A105" s="135"/>
      <x:c r="B105" s="135"/>
      <x:c r="C105" s="135"/>
      <x:c r="D105" s="135"/>
    </x:row>
    <x:row r="106" ht="36" customHeight="1">
      <x:c r="A106" s="135"/>
      <x:c r="B106" s="135"/>
      <x:c r="C106" s="135"/>
      <x:c r="D106" s="135"/>
    </x:row>
    <x:row r="107" ht="26" customHeight="1">
      <x:c r="A107" s="135"/>
      <x:c r="B107" s="135"/>
      <x:c r="C107" s="135"/>
      <x:c r="D107" s="135"/>
    </x:row>
    <x:row r="108" ht="65" customHeight="1">
      <x:c r="A108" s="135"/>
      <x:c r="B108" s="135"/>
      <x:c r="C108" s="135"/>
      <x:c r="D108" s="135"/>
    </x:row>
    <x:row r="109" ht="60" customHeight="1">
      <x:c r="A109" s="135"/>
      <x:c r="B109" s="135"/>
      <x:c r="C109" s="135"/>
      <x:c r="D109" s="135"/>
    </x:row>
    <x:row r="110" ht="60" customHeight="1">
      <x:c r="A110" s="135"/>
      <x:c r="B110" s="135"/>
      <x:c r="C110" s="135"/>
      <x:c r="D110" s="135"/>
    </x:row>
    <x:row r="111" ht="60" customHeight="1">
      <x:c r="A111" s="135"/>
      <x:c r="B111" s="135"/>
      <x:c r="C111" s="135"/>
      <x:c r="D111" s="135"/>
    </x:row>
    <x:row r="112" ht="60" customHeight="1">
      <x:c r="A112" s="135"/>
      <x:c r="B112" s="135"/>
      <x:c r="C112" s="135"/>
      <x:c r="D112" s="135"/>
    </x:row>
    <x:row r="113" ht="60" customHeight="1">
      <x:c r="A113" s="135"/>
      <x:c r="B113" s="135"/>
      <x:c r="C113" s="135"/>
      <x:c r="D113" s="135"/>
    </x:row>
    <x:row r="114" ht="68" customHeight="1">
      <x:c r="A114" s="135"/>
      <x:c r="B114" s="135"/>
      <x:c r="C114" s="135"/>
      <x:c r="D114" s="135"/>
    </x:row>
    <x:row r="115" ht="28" customHeight="1">
      <x:c r="A115" s="135"/>
      <x:c r="B115" s="135"/>
      <x:c r="C115" s="135"/>
      <x:c r="D115" s="135"/>
    </x:row>
    <x:row r="116" ht="58" customHeight="1">
      <x:c r="A116" s="135"/>
      <x:c r="B116" s="135"/>
      <x:c r="C116" s="135"/>
      <x:c r="D116" s="135"/>
    </x:row>
    <x:row r="117" ht="12" customHeight="1">
      <x:c r="A117" s="135"/>
      <x:c r="B117" s="135"/>
      <x:c r="C117" s="135"/>
      <x:c r="D117" s="135"/>
    </x:row>
    <x:row r="118" ht="28" customHeight="1">
      <x:c r="A118" s="135"/>
      <x:c r="B118" s="135"/>
      <x:c r="C118" s="135"/>
      <x:c r="D118" s="135"/>
    </x:row>
    <x:row r="119" ht="28" customHeight="1">
      <x:c r="A119" s="135"/>
      <x:c r="B119" s="135"/>
      <x:c r="C119" s="135"/>
      <x:c r="D119" s="135"/>
    </x:row>
    <x:row r="120" ht="28" customHeight="1">
      <x:c r="A120" s="135"/>
      <x:c r="B120" s="135"/>
      <x:c r="C120" s="135"/>
      <x:c r="D120" s="135"/>
    </x:row>
    <x:row r="121" ht="48" customHeight="1">
      <x:c r="A121" s="135"/>
      <x:c r="B121" s="135"/>
      <x:c r="C121" s="135"/>
      <x:c r="D121" s="135"/>
    </x:row>
    <x:row r="122">
      <x:c r="A122" s="135"/>
      <x:c r="B122" s="135"/>
      <x:c r="C122" s="135"/>
      <x:c r="D122" s="135"/>
    </x:row>
    <x:row r="123">
      <x:c r="A123" s="135"/>
      <x:c r="B123" s="135"/>
      <x:c r="C123" s="135"/>
      <x:c r="D123" s="135"/>
    </x:row>
    <x:row r="124">
      <x:c r="A124" s="135"/>
      <x:c r="B124" s="135"/>
      <x:c r="C124" s="135"/>
      <x:c r="D124" s="135"/>
    </x:row>
    <x:row r="125">
      <x:c r="A125" s="135"/>
      <x:c r="B125" s="135"/>
      <x:c r="C125" s="135"/>
      <x:c r="D125" s="135"/>
    </x:row>
    <x:row r="126">
      <x:c r="A126" s="135"/>
      <x:c r="B126" s="135"/>
      <x:c r="C126" s="135"/>
      <x:c r="D126" s="135"/>
    </x:row>
    <x:row r="127">
      <x:c r="A127" s="135"/>
      <x:c r="B127" s="135"/>
      <x:c r="C127" s="135"/>
      <x:c r="D127" s="135"/>
    </x:row>
    <x:row r="128">
      <x:c r="A128" s="135"/>
      <x:c r="B128" s="135"/>
      <x:c r="C128" s="135"/>
      <x:c r="D128" s="135"/>
    </x:row>
    <x:row r="129">
      <x:c r="A129" s="135"/>
      <x:c r="B129" s="135"/>
      <x:c r="C129" s="135"/>
      <x:c r="D129" s="135"/>
    </x:row>
    <x:row r="130">
      <x:c r="A130" s="135"/>
      <x:c r="B130" s="135"/>
      <x:c r="C130" s="135"/>
      <x:c r="D130" s="135"/>
    </x:row>
    <x:row r="131">
      <x:c r="A131" s="135"/>
      <x:c r="B131" s="135"/>
      <x:c r="C131" s="135"/>
      <x:c r="D131" s="135"/>
    </x:row>
    <x:row r="132">
      <x:c r="A132" s="135"/>
      <x:c r="B132" s="135"/>
      <x:c r="C132" s="135"/>
      <x:c r="D132" s="135"/>
    </x:row>
    <x:row r="133">
      <x:c r="A133" s="135"/>
      <x:c r="B133" s="135"/>
      <x:c r="C133" s="135"/>
      <x:c r="D133" s="135"/>
    </x:row>
    <x:row r="134">
      <x:c r="A134" s="135"/>
      <x:c r="B134" s="135"/>
      <x:c r="C134" s="135"/>
      <x:c r="D134" s="135"/>
    </x:row>
    <x:row r="135">
      <x:c r="A135" s="135"/>
      <x:c r="B135" s="135"/>
      <x:c r="C135" s="135"/>
      <x:c r="D135" s="135"/>
    </x:row>
    <x:row r="136">
      <x:c r="A136" s="135"/>
      <x:c r="B136" s="135"/>
      <x:c r="C136" s="135"/>
      <x:c r="D136" s="135"/>
    </x:row>
    <x:row r="137">
      <x:c r="A137" s="135"/>
      <x:c r="B137" s="135"/>
      <x:c r="C137" s="135"/>
      <x:c r="D137" s="135"/>
    </x:row>
    <x:row r="138">
      <x:c r="A138" s="135"/>
      <x:c r="B138" s="135"/>
      <x:c r="C138" s="135"/>
      <x:c r="D138" s="135"/>
    </x:row>
    <x:row r="139">
      <x:c r="A139" s="135"/>
      <x:c r="B139" s="135"/>
      <x:c r="C139" s="135"/>
      <x:c r="D139" s="135"/>
    </x:row>
    <x:row r="140">
      <x:c r="A140" s="135"/>
      <x:c r="B140" s="135"/>
      <x:c r="C140" s="135"/>
      <x:c r="D140" s="135"/>
    </x:row>
    <x:row r="141">
      <x:c r="A141" s="135"/>
      <x:c r="B141" s="135"/>
      <x:c r="C141" s="135"/>
      <x:c r="D141" s="135"/>
    </x:row>
    <x:row r="142">
      <x:c r="A142" s="135"/>
      <x:c r="B142" s="135"/>
      <x:c r="C142" s="135"/>
      <x:c r="D142" s="135"/>
    </x:row>
    <x:row r="143">
      <x:c r="A143" s="135"/>
      <x:c r="B143" s="135"/>
      <x:c r="C143" s="135"/>
      <x:c r="D143" s="135"/>
    </x:row>
    <x:row r="144">
      <x:c r="A144" s="135"/>
      <x:c r="B144" s="135"/>
      <x:c r="C144" s="135"/>
      <x:c r="D144" s="135"/>
    </x:row>
    <x:row r="145">
      <x:c r="A145" s="135"/>
      <x:c r="B145" s="135"/>
      <x:c r="C145" s="135"/>
      <x:c r="D145" s="135"/>
    </x:row>
    <x:row r="146">
      <x:c r="A146" s="135"/>
      <x:c r="B146" s="135"/>
      <x:c r="C146" s="135"/>
      <x:c r="D146" s="135"/>
    </x:row>
    <x:row r="147">
      <x:c r="A147" s="135"/>
      <x:c r="B147" s="135"/>
      <x:c r="C147" s="135"/>
      <x:c r="D147" s="135"/>
    </x:row>
    <x:row r="148">
      <x:c r="A148" s="135"/>
      <x:c r="B148" s="135"/>
      <x:c r="C148" s="135"/>
      <x:c r="D148" s="135"/>
    </x:row>
    <x:row r="149">
      <x:c r="A149" s="135"/>
      <x:c r="B149" s="135"/>
      <x:c r="C149" s="135"/>
      <x:c r="D149" s="135"/>
    </x:row>
    <x:row r="150">
      <x:c r="A150" s="135"/>
      <x:c r="B150" s="135"/>
      <x:c r="C150" s="135"/>
      <x:c r="D150" s="135"/>
    </x:row>
    <x:row r="151">
      <x:c r="A151"/>
      <x:c r="B151"/>
      <x:c r="C151"/>
      <x:c r="D151"/>
    </x:row>
    <x:row r="152">
      <x:c r="A152"/>
      <x:c r="B152"/>
      <x:c r="C152"/>
      <x:c r="D152"/>
    </x:row>
    <x:row r="153">
      <x:c r="A153"/>
      <x:c r="B153"/>
      <x:c r="C153"/>
      <x:c r="D153"/>
    </x:row>
    <x:row r="154">
      <x:c r="A154"/>
      <x:c r="B154"/>
      <x:c r="C154"/>
      <x:c r="D154"/>
    </x:row>
    <x:row r="155">
      <x:c r="A155"/>
      <x:c r="B155"/>
      <x:c r="C155"/>
      <x:c r="D155"/>
    </x:row>
    <x:row r="156">
      <x:c r="A156"/>
      <x:c r="B156"/>
      <x:c r="C156"/>
      <x:c r="D156"/>
    </x:row>
    <x:row r="157">
      <x:c r="A157"/>
      <x:c r="B157"/>
      <x:c r="C157"/>
      <x:c r="D157"/>
    </x:row>
    <x:row r="158">
      <x:c r="A158"/>
      <x:c r="B158"/>
      <x:c r="C158"/>
      <x:c r="D158"/>
    </x:row>
    <x:row r="159">
      <x:c r="A159"/>
      <x:c r="B159"/>
      <x:c r="C159"/>
      <x:c r="D159"/>
    </x:row>
    <x:row r="160">
      <x:c r="A160"/>
      <x:c r="B160"/>
      <x:c r="C160"/>
      <x:c r="D160"/>
    </x:row>
    <x:row r="161">
      <x:c r="A161"/>
      <x:c r="B161"/>
      <x:c r="C161"/>
      <x:c r="D161"/>
    </x:row>
    <x:row r="162">
      <x:c r="A162"/>
      <x:c r="B162"/>
      <x:c r="C162"/>
      <x:c r="D162"/>
    </x:row>
    <x:row r="163">
      <x:c r="A163"/>
      <x:c r="B163"/>
      <x:c r="C163"/>
      <x:c r="D163"/>
    </x:row>
    <x:row r="164">
      <x:c r="A164"/>
      <x:c r="B164"/>
      <x:c r="C164"/>
      <x:c r="D164"/>
    </x:row>
    <x:row r="165">
      <x:c r="A165"/>
      <x:c r="B165"/>
      <x:c r="C165"/>
      <x:c r="D165"/>
    </x:row>
    <x:row r="166">
      <x:c r="A166"/>
      <x:c r="B166"/>
      <x:c r="C166"/>
      <x:c r="D166"/>
    </x:row>
    <x:row r="167">
      <x:c r="A167"/>
      <x:c r="B167"/>
      <x:c r="C167"/>
      <x:c r="D167"/>
    </x:row>
    <x:row r="168">
      <x:c r="A168"/>
      <x:c r="B168"/>
      <x:c r="C168"/>
      <x:c r="D168"/>
    </x:row>
    <x:row r="169">
      <x:c r="A169"/>
      <x:c r="B169"/>
      <x:c r="C169"/>
      <x:c r="D169"/>
    </x:row>
    <x:row r="170">
      <x:c r="A170"/>
      <x:c r="B170"/>
      <x:c r="C170"/>
      <x:c r="D170"/>
    </x:row>
    <x:row r="201">
      <x:c r="A201"/>
      <x:c r="B201"/>
      <x:c r="C201"/>
      <x:c r="D201"/>
    </x:row>
    <x:row r="202">
      <x:c r="A202"/>
      <x:c r="B202"/>
      <x:c r="C202"/>
      <x:c r="D202"/>
    </x:row>
    <x:row r="203">
      <x:c r="A203"/>
      <x:c r="B203"/>
      <x:c r="C203"/>
      <x:c r="D203"/>
    </x:row>
    <x:row r="204">
      <x:c r="A204"/>
      <x:c r="B204"/>
      <x:c r="C204"/>
      <x:c r="D204"/>
    </x:row>
    <x:row r="205">
      <x:c r="A205"/>
      <x:c r="B205"/>
      <x:c r="C205"/>
      <x:c r="D205"/>
    </x:row>
    <x:row r="206">
      <x:c r="A206"/>
      <x:c r="B206"/>
      <x:c r="C206"/>
      <x:c r="D206"/>
    </x:row>
    <x:row r="207">
      <x:c r="A207"/>
      <x:c r="B207"/>
      <x:c r="C207"/>
      <x:c r="D207"/>
    </x:row>
  </x:sheetData>
  <x:mergeCells>
    <x:mergeCell ref="A1:D1"/>
    <x:mergeCell ref="A2:D2"/>
    <x:mergeCell ref="A4:D4"/>
    <x:mergeCell ref="A10:C10"/>
    <x:mergeCell ref="A12:D12"/>
    <x:mergeCell ref="A18:C18"/>
    <x:mergeCell ref="A20:D20"/>
    <x:mergeCell ref="A26:C26"/>
    <x:mergeCell ref="A28:D28"/>
    <x:mergeCell ref="A34:C34"/>
    <x:mergeCell ref="A36:D36"/>
    <x:mergeCell ref="A42:C42"/>
    <x:mergeCell ref="A44:D44"/>
    <x:mergeCell ref="A50:C50"/>
    <x:mergeCell ref="A52:D52"/>
    <x:mergeCell ref="A58:C58"/>
    <x:mergeCell ref="A60:D60"/>
    <x:mergeCell ref="A66:C66"/>
    <x:mergeCell ref="A68:D68"/>
    <x:mergeCell ref="A74:C74"/>
    <x:mergeCell ref="A76:D76"/>
    <x:mergeCell ref="A82:C82"/>
    <x:mergeCell ref="A84:C84"/>
    <x:mergeCell ref="A85:C85"/>
    <x:mergeCell ref="A86:C86"/>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13" style="1" hidden="0" customWidth="1"/>
    <x:col min="2" max="2" width="43" style="1" hidden="0" customWidth="1"/>
    <x:col min="3" max="3" width="110" style="1" hidden="0" customWidth="1"/>
    <x:col min="4" max="4" width="12" style="1" hidden="0" customWidth="1"/>
  </x:cols>
  <x:sheetData>
    <x:row r="1" s="1" customFormat="1" ht="38" customHeight="1">
      <x:c r="A1" s="137" t="str">
        <x:v>HYD 제조 AI | 실전반 오프라인 정규 9회 | 수업 계획</x:v>
      </x:c>
      <x:c r="B1" s="137"/>
      <x:c r="C1" s="137"/>
      <x:c r="D1" s="137"/>
    </x:row>
    <x:row r="2" s="1" customFormat="1" ht="48" customHeight="1">
      <x:c r="A2" s="135" t="str">
        <x:v>매회 50분 수업·10분 휴식 × 4교시입니다(수업200분·휴식40분). 온라인 선행학습을 바탕으로 목적·핵심 개념을 연결하고 실습합니다. 이전 개인 결과 없이 제공 시작본으로 시작할 수 있습니다.</x:v>
      </x:c>
      <x:c r="B2" s="135"/>
      <x:c r="C2" s="135"/>
      <x:c r="D2" s="135"/>
    </x:row>
    <x:row r="3" s="1" customFormat="1" ht="12" customHeight="1">
      <x:c r="A3" s="135"/>
      <x:c r="B3" s="135"/>
      <x:c r="C3" s="135"/>
      <x:c r="D3" s="135"/>
    </x:row>
    <x:row r="4" s="1" customFormat="1" ht="38" customHeight="1">
      <x:c r="A4" s="138" t="str">
        <x:v>01회차 | HYD 전체 흐름을 확인하고 설비 관계 표현하기</x:v>
      </x:c>
      <x:c r="B4" s="138"/>
      <x:c r="C4" s="138"/>
      <x:c r="D4" s="138"/>
    </x:row>
    <x:row r="5" s="1" customFormat="1" ht="28" customHeight="1">
      <x:c r="A5" s="140" t="str">
        <x:v>구분</x:v>
      </x:c>
      <x:c r="B5" s="140" t="str">
        <x:v>수업 단위</x:v>
      </x:c>
      <x:c r="C5" s="140" t="str">
        <x:v>세부 활동과 확인할 결과</x:v>
      </x:c>
      <x:c r="D5" s="140" t="str">
        <x:v>시간(분)</x:v>
      </x:c>
    </x:row>
    <x:row r="6" s="1" customFormat="1" ht="108" customHeight="1">
      <x:c r="A6" s="141" t="str">
        <x:v>이론</x:v>
      </x:c>
      <x:c r="B6" s="141" t="str">
        <x:v>HYD 시스템과 이번 과정의 학습 목표 이해하기</x:v>
      </x:c>
      <x:c r="C6" s="141" t="str">
        <x:v>HYD의 완성 흐름을 먼저 확인하고, 판단 근거를 표현하는 관계도와 그래프를 직접 다룬다. HYD가 유압 설비와 업무 시스템을 연결한 수업용 시스템임을 이해한다. 설비·센서 데이터 수집→상태 관찰→지식에 근거한 판단→사람 승인→조치→결과 확인의 전체 구조를 살펴본다. 포털에서 확인할 설비 화면·지식 지도·에이전트·작업함의 역할을 구분한다. 이번 과정에서 관계 모델을 만들고, 근거를 조회하는 에이전트와 업무 흐름으로 연결할 학습 목표를 확인한다.</x:v>
      </x:c>
      <x:c r="D6" s="142" t="n">
        <x:v>50</x:v>
      </x:c>
    </x:row>
    <x:row r="7" s="1" customFormat="1" ht="125" customHeight="1">
      <x:c r="A7" s="143" t="str">
        <x:v>실습</x:v>
      </x:c>
      <x:c r="B7" s="143" t="str">
        <x:v>포털 시연으로 완성 흐름을 확인하고 관계도 그리기</x:v>
      </x:c>
      <x:c r="C7" s="143" t="str">
        <x:v>강사가 실제 HYD 포털을 열어 보여 주는 설비 상태·센서 값과 쿨러 열화 시나리오를 따라간다. 경보 발생→에이전트의 원인·조치 추천→운전원 승인→설비 명령→센서 값 재확인과 완료 기록을 보고, 추천·승인·실행의 차이를 구분한다. 지식 지도에서 판단에 사용된 설비·센서·고장·조치 연결을 확인한다. 이어 arrows.app에서 방금 본 대상을 노드와 관계로 그려 각 화살표를 문장으로 읽는다.</x:v>
      </x:c>
      <x:c r="D7" s="144" t="n">
        <x:v>50</x:v>
      </x:c>
    </x:row>
    <x:row r="8" s="1" customFormat="1" ht="92" customHeight="1">
      <x:c r="A8" s="141" t="str">
        <x:v>실습</x:v>
      </x:c>
      <x:c r="B8" s="141" t="str">
        <x:v>Cypher로 그래프 생성·조회·수정·삭제하기</x:v>
      </x:c>
      <x:c r="C8" s="141" t="str">
        <x:v>별도 Neo4j 랩 DB에서 작은 예제를 CREATE·MATCH·WHERE·RETURN·MERGE·SET으로 생성·조회·수정한다. 그래프의 노드와 관계를 눌러 속성을 확인하고 표 결과와 비교한다. DELETE·DETACH DELETE로 연습 데이터만 정리하고 재조회한다.</x:v>
      </x:c>
      <x:c r="D8" s="142" t="n">
        <x:v>50</x:v>
      </x:c>
    </x:row>
    <x:row r="9" s="1" customFormat="1" ht="108" customHeight="1">
      <x:c r="A9" s="143" t="str">
        <x:v>실습</x:v>
      </x:c>
      <x:c r="B9" s="143" t="str">
        <x:v>관계도를 설비 모델로 옮기고 적재·조회 결과 확인하기</x:v>
      </x:c>
      <x:c r="C9" s="143" t="str">
        <x:v>제공 설비·부품 모델을 읽고 공용 부품과 설비별 센서를 구분한다. 별도 랩 DB에서 부품을 사용하는 설비를 조회하고 원자료와 대조한다. 공급 조건 자료를 연결할 질문과 필요한 속성을 정리한다. 관계도·질의·확인 결과를 저장한다. 다음 회차에는 공급 정보 조회와 조치 검토 기능으로 확장한다.</x:v>
      </x:c>
      <x:c r="D9" s="144" t="n">
        <x:v>50</x:v>
      </x:c>
    </x:row>
    <x:row r="10" s="1" customFormat="1" ht="28" customHeight="1">
      <x:c r="A10" s="139" t="str">
        <x:v>수업 합계 (휴식40분 별도)</x:v>
      </x:c>
      <x:c r="B10" s="139"/>
      <x:c r="C10" s="139"/>
      <x:c r="D10" s="139" t="n">
        <x:f>SUM(D6:D9)</x:f>
        <x:v>200</x:v>
      </x:c>
    </x:row>
    <x:row r="11" s="1" customFormat="1" ht="60" customHeight="1">
      <x:c r="A11" s="135"/>
      <x:c r="B11" s="135"/>
      <x:c r="C11" s="135"/>
      <x:c r="D11" s="135"/>
    </x:row>
    <x:row r="12" s="1" customFormat="1" ht="38" customHeight="1">
      <x:c r="A12" s="138" t="str">
        <x:v>02회차 | 설비 지식과 조건을 조치 검토에 활용하기</x:v>
      </x:c>
      <x:c r="B12" s="138"/>
      <x:c r="C12" s="138"/>
      <x:c r="D12" s="138"/>
    </x:row>
    <x:row r="13" s="1" customFormat="1" ht="28" customHeight="1">
      <x:c r="A13" s="140" t="str">
        <x:v>구분</x:v>
      </x:c>
      <x:c r="B13" s="140" t="str">
        <x:v>수업 단위</x:v>
      </x:c>
      <x:c r="C13" s="140" t="str">
        <x:v>세부 활동과 확인할 결과</x:v>
      </x:c>
      <x:c r="D13" s="140" t="str">
        <x:v>시간(분)</x:v>
      </x:c>
    </x:row>
    <x:row r="14" s="1" customFormat="1" ht="108" customHeight="1">
      <x:c r="A14" s="141" t="str">
        <x:v>이론</x:v>
      </x:c>
      <x:c r="B14" s="141" t="str">
        <x:v>설비 모델·조건표·판정과 승인 이해하기</x:v>
      </x:c>
      <x:c r="C14" s="141" t="str">
        <x:v>설비·부품 연결 조회와 작업 조건표를 조합해 선택 근거가 보이는 조치 검토 결과를 만든다. 설비·부품·공급 정보를 연결해 답할 질문을 정한다. SOP의 작업 조건을 결정표로 표현하는 방법을 살펴보고, 조치 후보의 허용·제외 판정과 사람의 실행 승인이 서로 다른 단계임을 이해한다.</x:v>
      </x:c>
      <x:c r="D14" s="142" t="n">
        <x:v>50</x:v>
      </x:c>
    </x:row>
    <x:row r="15" s="1" customFormat="1" ht="108" customHeight="1">
      <x:c r="A15" s="143" t="str">
        <x:v>실습</x:v>
      </x:c>
      <x:c r="B15" s="143" t="str">
        <x:v>설비·부품·공급 정보를 연결하고 조회하기</x:v>
      </x:c>
      <x:c r="C15" s="143" t="str">
        <x:v>앞 단계 완성 모델로 시작해 부품별 사용 설비와 공급 조건을 반환하는 적재·조회문을 작성한다. P-PMP-SEAL의 사용 설비 HYD-01·02·03과 공급 조건 3행을 원자료와 대조한다. 다른 품번과 없는 품번도 확인하고, 비승인 공급사를 승인 상태와 함께 구별한다. 반복 적재의 중복 여부를 검사하고 질의·결과·남은 확인 사항을 저장한다.</x:v>
      </x:c>
      <x:c r="D15" s="144" t="n">
        <x:v>50</x:v>
      </x:c>
    </x:row>
    <x:row r="16" s="1" customFormat="1" ht="108" customHeight="1">
      <x:c r="A16" s="141" t="str">
        <x:v>실습</x:v>
      </x:c>
      <x:c r="B16" s="141" t="str">
        <x:v>조치 조건표와 판정·성과 비교 기능 만들기</x:v>
      </x:c>
      <x:c r="C16" s="141" t="str">
        <x:v>제공된 이전 단계 완성 조건표와 교육용 성과 자료에서 시작한다. 적용 대상과 복합 조건을 읽어 경고·감점·제외·정보 부족을 구분하는 기능을 작성한다. 허용 후보만 비용·생산·품질·에너지 산식으로 비교하고 원문 근거를 남긴다.</x:v>
      </x:c>
      <x:c r="D16" s="142" t="n">
        <x:v>50</x:v>
      </x:c>
    </x:row>
    <x:row r="17" s="1" customFormat="1" ht="108" customHeight="1">
      <x:c r="A17" s="143" t="str">
        <x:v>실습</x:v>
      </x:c>
      <x:c r="B17" s="143" t="str">
        <x:v>선택 근거와 확인 사항을 검증해 결과 완성하기</x:v>
      </x:c>
      <x:c r="C17" s="143" t="str">
        <x:v>조치 검토 결과에 후보별 이유·출처·추가 확인할 값을 표시한다. 경계값, 제외 사유와 누락이 겹친 입력, 모두 제외된 입력으로 검증한다. 점수의 높고 낮음과 실행 승인을 구분해 설명하고 결과를 저장한다. 다음 회차에는 작업 조건의 문서 근거를 확인 카드에 연결한다.</x:v>
      </x:c>
      <x:c r="D17" s="144" t="n">
        <x:v>50</x:v>
      </x:c>
    </x:row>
    <x:row r="18" s="1" customFormat="1" ht="28" customHeight="1">
      <x:c r="A18" s="139" t="str">
        <x:v>수업 합계 (휴식40분 별도)</x:v>
      </x:c>
      <x:c r="B18" s="139"/>
      <x:c r="C18" s="139"/>
      <x:c r="D18" s="139" t="n">
        <x:f>SUM(D14:D17)</x:f>
        <x:v>200</x:v>
      </x:c>
    </x:row>
    <x:row r="19" s="1" customFormat="1" ht="60" customHeight="1">
      <x:c r="A19" s="135"/>
      <x:c r="B19" s="135"/>
      <x:c r="C19" s="135"/>
      <x:c r="D19" s="135"/>
    </x:row>
    <x:row r="20" s="1" customFormat="1" ht="38" customHeight="1">
      <x:c r="A20" s="138" t="str">
        <x:v>03회차 | 문서 지식을 작업 확인 자료로 활용하기</x:v>
      </x:c>
      <x:c r="B20" s="138"/>
      <x:c r="C20" s="138"/>
      <x:c r="D20" s="138"/>
    </x:row>
    <x:row r="21" s="1" customFormat="1" ht="28" customHeight="1">
      <x:c r="A21" s="140" t="str">
        <x:v>구분</x:v>
      </x:c>
      <x:c r="B21" s="140" t="str">
        <x:v>수업 단위</x:v>
      </x:c>
      <x:c r="C21" s="140" t="str">
        <x:v>세부 활동과 확인할 결과</x:v>
      </x:c>
      <x:c r="D21" s="140" t="str">
        <x:v>시간(분)</x:v>
      </x:c>
    </x:row>
    <x:row r="22" s="1" customFormat="1" ht="108" customHeight="1">
      <x:c r="A22" s="141" t="str">
        <x:v>이론</x:v>
      </x:c>
      <x:c r="B22" s="141" t="str">
        <x:v>문서 추출·검토·출처 재사용 이해하기</x:v>
      </x:c>
      <x:c r="C22" s="141" t="str">
        <x:v>문서의 추출 후보가 검토·승인 지식·작업 확인 카드로 이어지는 과정을 이해한다. 원문 ID·절·인용·판본을 보존하는 이유를 살펴보고, 준비된 추출 결과를 재사용해도 사람이 조건의 뜻과 누락을 확인해야 함을 구분한다.</x:v>
      </x:c>
      <x:c r="D22" s="142" t="n">
        <x:v>50</x:v>
      </x:c>
    </x:row>
    <x:row r="23" s="1" customFormat="1" ht="108" customHeight="1">
      <x:c r="A23" s="143" t="str">
        <x:v>실습</x:v>
      </x:c>
      <x:c r="B23" s="143" t="str">
        <x:v>작업 조건을 추출하고 원문과 대조하기</x:v>
      </x:c>
      <x:c r="C23" s="143" t="str">
        <x:v>포털의 제공 매뉴얼과 등록 지식을 비교한 뒤 독립 랩에서 선택한 작업의 준비·금지·완료 조건과 근거 절을 추출하는 기능을 작성한다. 원문과 대조해 채택·수정·제외·보류를 기록한다. 다른 작업에도 적용하며 실제 추출 결과와 제공 비교 결과를 구분한다.</x:v>
      </x:c>
      <x:c r="D23" s="144" t="n">
        <x:v>50</x:v>
      </x:c>
    </x:row>
    <x:row r="24" s="1" customFormat="1" ht="108" customHeight="1">
      <x:c r="A24" s="141" t="str">
        <x:v>실습</x:v>
      </x:c>
      <x:c r="B24" s="141" t="str">
        <x:v>검토한 지식을 적재하고 출처 확인하기</x:v>
      </x:c>
      <x:c r="C24" s="141" t="str">
        <x:v>제공된 검토 결과와 랩 모델에서 시작해 승인한 후보만 별도 랩 DB에 연결한다. 작업 조건·단계·근거 문서의 경로를 조회하고 원문과 대조한다. 미승인 후보 제외와 반복 적재의 중복 방지를 확인한다.</x:v>
      </x:c>
      <x:c r="D24" s="142" t="n">
        <x:v>50</x:v>
      </x:c>
    </x:row>
    <x:row r="25" s="1" customFormat="1" ht="128" customHeight="1">
      <x:c r="A25" s="143" t="str">
        <x:v>실습</x:v>
      </x:c>
      <x:c r="B25" s="143" t="str">
        <x:v>작업 확인 카드를 만들고 검증하기</x:v>
      </x:c>
      <x:c r="C25" s="143" t="str">
        <x:v>승인 지식에서 선택한 작업의 준비·금지·완료 조건과 근거 절을 모아 작업 확인 카드를 구현한다. 다른 작업에도 적용해 누락·미제공 절·잘못된 연결을 확인한다. 질문·설계·문서 추출·검토·적재·조회까지 이어지는 구축 결과를 저장하고, 공급 정보와 작업 조건을 어디까지 확인할 수 있는지 설명한다. 카드가 실제 승인이나 현재 상태 확인을 대신하지 않음을 구분한다. 다음 회차 에이전트가 이 근거를 점검 요청에 사용한다.</x:v>
      </x:c>
      <x:c r="D25" s="144" t="n">
        <x:v>50</x:v>
      </x:c>
    </x:row>
    <x:row r="26" s="1" customFormat="1" ht="28" customHeight="1">
      <x:c r="A26" s="139" t="str">
        <x:v>수업 합계 (휴식40분 별도)</x:v>
      </x:c>
      <x:c r="B26" s="139"/>
      <x:c r="C26" s="139"/>
      <x:c r="D26" s="139" t="n">
        <x:f>SUM(D22:D25)</x:f>
        <x:v>200</x:v>
      </x:c>
    </x:row>
    <x:row r="27" s="1" customFormat="1" ht="36" customHeight="1">
      <x:c r="A27" s="135"/>
      <x:c r="B27" s="135"/>
      <x:c r="C27" s="135"/>
      <x:c r="D27" s="135"/>
    </x:row>
    <x:row r="28" s="1" customFormat="1" ht="38" customHeight="1">
      <x:c r="A28" s="138" t="str">
        <x:v>04회차 | 분석 결과를 점검 요청으로 연결하기</x:v>
      </x:c>
      <x:c r="B28" s="138"/>
      <x:c r="C28" s="138"/>
      <x:c r="D28" s="138"/>
    </x:row>
    <x:row r="29" s="1" customFormat="1" ht="28" customHeight="1">
      <x:c r="A29" s="140" t="str">
        <x:v>구분</x:v>
      </x:c>
      <x:c r="B29" s="140" t="str">
        <x:v>수업 단위</x:v>
      </x:c>
      <x:c r="C29" s="140" t="str">
        <x:v>세부 활동과 확인할 결과</x:v>
      </x:c>
      <x:c r="D29" s="140" t="str">
        <x:v>시간(분)</x:v>
      </x:c>
    </x:row>
    <x:row r="30" s="1" customFormat="1" ht="128" customHeight="1">
      <x:c r="A30" s="141" t="str">
        <x:v>이론</x:v>
      </x:c>
      <x:c r="B30" s="141" t="str">
        <x:v>원인 근거와 점검 요청 구조 이해하기</x:v>
      </x:c>
      <x:c r="C30" s="141" t="str">
        <x:v>구축한 온톨로지의 설비·문서 근거를 점검 요청에 활용한다. 같은 에이전트 구조가 분석·회의 후속 업무·자기 자료 학습에도 쓰이되 입력·도구·결과 판정이 달라짐을 비교한다. 이번 실습에서는 원인 후보를 대상·관측 시각·근거·확인할 항목이 있는 요청으로 바꾼다. 실제 도구가 확인한 사실과 가설, 요청 초안과 실제 실행을 구분하고 다른 사례에도 적용할 검증 기준을 정한다.</x:v>
      </x:c>
      <x:c r="D30" s="142" t="n">
        <x:v>50</x:v>
      </x:c>
    </x:row>
    <x:row r="31" ht="108" customHeight="1">
      <x:c r="A31" s="143" t="str">
        <x:v>실습</x:v>
      </x:c>
      <x:c r="B31" s="143" t="str">
        <x:v>설비 원인과 점검 순서 기능 만들기</x:v>
      </x:c>
      <x:c r="C31" s="143" t="str">
        <x:v>포털의 준비된 에이전트에서 실제 조회 도구와 근거를 확인한다. 로컬 제공 그래프·사례로 원인 후보와 근거를 읽는 기능을 만들고, 오래된 값·표본 부족을 미확인으로 남기는지 대조한다.</x:v>
      </x:c>
      <x:c r="D31" s="144" t="n">
        <x:v>50</x:v>
      </x:c>
    </x:row>
    <x:row r="32" s="1" customFormat="1" ht="108" customHeight="1">
      <x:c r="A32" s="141" t="str">
        <x:v>실습</x:v>
      </x:c>
      <x:c r="B32" s="141" t="str">
        <x:v>설비·문서·부품 근거 연결하기</x:v>
      </x:c>
      <x:c r="C32" s="141" t="str">
        <x:v>제공 그래프의 설비·부품·증거와 매뉴얼 절을 점검 대상에 연결한다. 그래프와 문서의 집계 구간이 다르거나 원문 절이 제공되지 않은 경우를 확인하고, 해결된 사실과 추가로 확인할 조건을 분리한다.</x:v>
      </x:c>
      <x:c r="D32" s="142" t="n">
        <x:v>50</x:v>
      </x:c>
    </x:row>
    <x:row r="33" s="1" customFormat="1" ht="108" customHeight="1">
      <x:c r="A33" s="143" t="str">
        <x:v>실습</x:v>
      </x:c>
      <x:c r="B33" s="143" t="str">
        <x:v>점검 요청 초안을 만들고 검증하기</x:v>
      </x:c>
      <x:c r="C33" s="143" t="str">
        <x:v>대상 설비·부품, 관측 시각, 근거, 확인할 항목과 이유를 담은 점검 요청 초안을 만드는 기능을 완성한다. 누락과 복수 원인 사례를 넣어 가설을 확정으로 쓰지 않는지 대조한다. 초안과 실제 작업지시를 구분해 저장한다. 다음 회차에는 같은 근거 정리 방법으로 협의 안건을 만든다.</x:v>
      </x:c>
      <x:c r="D33" s="144" t="n">
        <x:v>50</x:v>
      </x:c>
    </x:row>
    <x:row r="34" s="1" customFormat="1" ht="28" customHeight="1">
      <x:c r="A34" s="139" t="str">
        <x:v>수업 합계 (휴식40분 별도)</x:v>
      </x:c>
      <x:c r="B34" s="139"/>
      <x:c r="C34" s="139"/>
      <x:c r="D34" s="139" t="n">
        <x:f>SUM(D30:D33)</x:f>
        <x:v>200</x:v>
      </x:c>
    </x:row>
    <x:row r="35" s="1" customFormat="1" ht="28" customHeight="1">
      <x:c r="A35" s="135"/>
      <x:c r="B35" s="135"/>
      <x:c r="C35" s="135"/>
      <x:c r="D35" s="135"/>
    </x:row>
    <x:row r="36" s="1" customFormat="1" ht="38" customHeight="1">
      <x:c r="A36" s="138" t="str">
        <x:v>05회차 | 스킬과 도구로 다음 협의 준비하기</x:v>
      </x:c>
      <x:c r="B36" s="138"/>
      <x:c r="C36" s="138"/>
      <x:c r="D36" s="138"/>
    </x:row>
    <x:row r="37" s="1" customFormat="1" ht="28" customHeight="1">
      <x:c r="A37" s="140" t="str">
        <x:v>구분</x:v>
      </x:c>
      <x:c r="B37" s="140" t="str">
        <x:v>수업 단위</x:v>
      </x:c>
      <x:c r="C37" s="140" t="str">
        <x:v>세부 활동과 확인할 결과</x:v>
      </x:c>
      <x:c r="D37" s="140" t="str">
        <x:v>시간(분)</x:v>
      </x:c>
    </x:row>
    <x:row r="38" s="1" customFormat="1" ht="108" customHeight="1">
      <x:c r="A38" s="141" t="str">
        <x:v>이론</x:v>
      </x:c>
      <x:c r="B38" s="141" t="str">
        <x:v>스킬·도구 조합·변경 근거 이해하기</x:v>
      </x:c>
      <x:c r="C38" s="141" t="str">
        <x:v>회의에서 정한 업무와 변경 기록을 비교하여 다음에 확인할 안건을 근거와 함께 만든다. 재사용할 업무 지침과 실행 도구의 역할을 구분한다. 회의록의 결정·담당·기한과 Git 변경 기록·시각 정보를 연결해 완료·미결·변경 내용을 판단하는 기준을 이해한다.</x:v>
      </x:c>
      <x:c r="D38" s="142" t="n">
        <x:v>50</x:v>
      </x:c>
    </x:row>
    <x:row r="39" s="1" customFormat="1" ht="92" customHeight="1">
      <x:c r="A39" s="143" t="str">
        <x:v>실습</x:v>
      </x:c>
      <x:c r="B39" s="143" t="str">
        <x:v>도구를 연결하고 회의 후속 업무 스킬 만들기</x:v>
      </x:c>
      <x:c r="C39" s="143" t="str">
        <x:v>공통 읽기 도구와 파일·Git·시간 MCP를 연결해 호출 결과를 확인한다. 제공 회의록 두 건과 점검 메모에서 결정·담당·기한·근거를 추출하는 스킬을 만들고, 없는 정보는 미정으로 남기는지 확인한다.</x:v>
      </x:c>
      <x:c r="D39" s="144" t="n">
        <x:v>50</x:v>
      </x:c>
    </x:row>
    <x:row r="40" ht="108" customHeight="1">
      <x:c r="A40" s="141" t="str">
        <x:v>실습</x:v>
      </x:c>
      <x:c r="B40" s="141" t="str">
        <x:v>Notion·외부 MCP와 내 조회 도구 연결하기</x:v>
      </x:c>
      <x:c r="C40" s="141" t="str">
        <x:v>자기 Notion 기록과 파일·Git·시간 MCP의 접근 범위를 설정한다. 제공 서버 골격에 점검 메모 조회 함수를 구현하고 기존 에이전트에서 호출한다. 이전 회의와 후속 자료에서 바뀐 내용·근거 페이지 또는 파일·시각을 연결한다. Notion 미연결 시 같은 자료의 내보내기로 진행하되 실제 연결 성공과 구분한다.</x:v>
      </x:c>
      <x:c r="D40" s="142" t="n">
        <x:v>50</x:v>
      </x:c>
    </x:row>
    <x:row r="41" s="1" customFormat="1" ht="128" customHeight="1">
      <x:c r="A41" s="143" t="str">
        <x:v>실습</x:v>
      </x:c>
      <x:c r="B41" s="143" t="str">
        <x:v>다음 협의 안건을 만들고 검증하기</x:v>
      </x:c>
      <x:c r="C41" s="143" t="str">
        <x:v>앞서 연결한 Notion 기록·회의록·점검 메모와 회의 스킬을 조합해 다음 협의 안건을 만든다. 안건마다 결정할 질문·확인된 사실·남은 확인·페이지 또는 파일 근거를 표시한다. 후속 자료를 반영한 결과를 이전 결과와 대조하여 결정이 사라지거나 중복되지 않는지 확인한다. 직접 쓴 기록이 부족하면 제공 회의 자료를 사용한다. 다음 회차에는 점검 요청의 변경 요구를 명세하고 검증한다.</x:v>
      </x:c>
      <x:c r="D41" s="144" t="n">
        <x:v>50</x:v>
      </x:c>
    </x:row>
    <x:row r="42" s="1" customFormat="1" ht="28" customHeight="1">
      <x:c r="A42" s="139" t="str">
        <x:v>수업 합계 (휴식40분 별도)</x:v>
      </x:c>
      <x:c r="B42" s="139"/>
      <x:c r="C42" s="139"/>
      <x:c r="D42" s="139" t="n">
        <x:f>SUM(D38:D41)</x:f>
        <x:v>200</x:v>
      </x:c>
    </x:row>
    <x:row r="43" s="1" customFormat="1" ht="60" customHeight="1">
      <x:c r="A43" s="135"/>
      <x:c r="B43" s="135"/>
      <x:c r="C43" s="135"/>
      <x:c r="D43" s="135"/>
    </x:row>
    <x:row r="44" s="1" customFormat="1" ht="38" customHeight="1">
      <x:c r="A44" s="138" t="str">
        <x:v>06회차 | 활용 기능의 요구를 명세하고 검증하기</x:v>
      </x:c>
      <x:c r="B44" s="138"/>
      <x:c r="C44" s="138"/>
      <x:c r="D44" s="138"/>
    </x:row>
    <x:row r="45" s="1" customFormat="1" ht="28" customHeight="1">
      <x:c r="A45" s="140" t="str">
        <x:v>구분</x:v>
      </x:c>
      <x:c r="B45" s="140" t="str">
        <x:v>수업 단위</x:v>
      </x:c>
      <x:c r="C45" s="140" t="str">
        <x:v>세부 활동과 확인할 결과</x:v>
      </x:c>
      <x:c r="D45" s="140" t="str">
        <x:v>시간(분)</x:v>
      </x:c>
    </x:row>
    <x:row r="46" s="1" customFormat="1" ht="108" customHeight="1">
      <x:c r="A46" s="141" t="str">
        <x:v>이론</x:v>
      </x:c>
      <x:c r="B46" s="141" t="str">
        <x:v>질문·승인·명세와 기대 결과 이해하기</x:v>
      </x:c>
      <x:c r="C46" s="141" t="str">
        <x:v>점검 요청의 정보 누락·추가 답변·기능 변경을 처리하면서 기존 승인 조건을 보존한다. 필수 입력이 없을 때의 질문·보류와 사람 승인을 구분한다. 기능의 입력·출력·제약·완료 기준을 명세하고, 정상·누락·변경·기존 기능을 검증할 기대 결과로 바꾸는 방법을 익힌다.</x:v>
      </x:c>
      <x:c r="D46" s="142" t="n">
        <x:v>50</x:v>
      </x:c>
    </x:row>
    <x:row r="47" s="1" customFormat="1" ht="92" customHeight="1">
      <x:c r="A47" s="143" t="str">
        <x:v>실습</x:v>
      </x:c>
      <x:c r="B47" s="143" t="str">
        <x:v>점검 요청의 질문·답변·재개 구현하기</x:v>
      </x:c>
      <x:c r="C47" s="143" t="str">
        <x:v>포털의 승인·보류 상태를 확인한다. 점검 요청 초안의 필수 정보가 빠졌을 때 질문하고, 추가 답변을 반영해 다시 판단하는 흐름을 구현한다. 사람이 승인할 결과가 자동 확정되지 않는지 확인한다.</x:v>
      </x:c>
      <x:c r="D47" s="144" t="n">
        <x:v>50</x:v>
      </x:c>
    </x:row>
    <x:row r="48" s="1" customFormat="1" ht="108" customHeight="1">
      <x:c r="A48" s="141" t="str">
        <x:v>실습</x:v>
      </x:c>
      <x:c r="B48" s="141" t="str">
        <x:v>변경을 명세하고 기존 기능을 보존해 구현하기</x:v>
      </x:c>
      <x:c r="C48" s="141" t="str">
        <x:v>점검 요청에 긴급 확인 표시를 추가하는 요구를 명세한다. 제공 교육용 조건인 쿨러 경보·유효한 TS1 120초 평균 60도 이상을 적용하고, 값 누락·신선도 실패·표본 부족은 미판정으로 남긴다. 기존 요청의 출력과 질문·승인 조건을 보존하면서 구현한다. 요청 초안에서 긴급 표시의 이유와 확인할 항목을 읽을 수 있는지 대조한다. 실제 설비 기준이나 승인 권한은 바꾸지 않는다.</x:v>
      </x:c>
      <x:c r="D48" s="142" t="n">
        <x:v>50</x:v>
      </x:c>
    </x:row>
    <x:row r="49" ht="128" customHeight="1">
      <x:c r="A49" s="143" t="str">
        <x:v>실습</x:v>
      </x:c>
      <x:c r="B49" s="143" t="str">
        <x:v>정상·누락·회귀 시나리오 검증하기</x:v>
      </x:c>
      <x:c r="C49" s="143" t="str">
        <x:v>일반·긴급·경계값·정보 누락·거절·도구 오류의 기대 결과를 명세와 원자료에서 먼저 작성한다. 테스트 골격에 판정 코드를 구현하여 점검 요청의 긴급 표시·근거·미확인·기존 출력 계약을 검사한다. 실제 오류의 원인을 고친 뒤 기존 사례도 재실행한다. 모델 표현 차이와 계약 위반을 구분하고, 새 대상에 적용한 결과와 재사용할 명세·검증 기록을 저장한다. 다음 회차에는 사람의 판단과 실행 경계를 BPMN으로 표현한다.</x:v>
      </x:c>
      <x:c r="D49" s="144" t="n">
        <x:v>50</x:v>
      </x:c>
    </x:row>
    <x:row r="50" s="1" customFormat="1" ht="28" customHeight="1">
      <x:c r="A50" s="139" t="str">
        <x:v>수업 합계 (휴식40분 별도)</x:v>
      </x:c>
      <x:c r="B50" s="139"/>
      <x:c r="C50" s="139"/>
      <x:c r="D50" s="139" t="n">
        <x:f>SUM(D46:D49)</x:f>
        <x:v>200</x:v>
      </x:c>
    </x:row>
    <x:row r="51" s="1" customFormat="1" ht="65" customHeight="1">
      <x:c r="A51" s="135"/>
      <x:c r="B51" s="135"/>
      <x:c r="C51" s="135"/>
      <x:c r="D51" s="135"/>
    </x:row>
    <x:row r="52" s="1" customFormat="1" ht="38" customHeight="1">
      <x:c r="A52" s="138" t="str">
        <x:v>07회차 | 설비 대응 프로세스를 설계하고 연결하기</x:v>
      </x:c>
      <x:c r="B52" s="138"/>
      <x:c r="C52" s="138"/>
      <x:c r="D52" s="138"/>
    </x:row>
    <x:row r="53" s="1" customFormat="1" ht="28" customHeight="1">
      <x:c r="A53" s="140" t="str">
        <x:v>구분</x:v>
      </x:c>
      <x:c r="B53" s="140" t="str">
        <x:v>수업 단위</x:v>
      </x:c>
      <x:c r="C53" s="140" t="str">
        <x:v>세부 활동과 확인할 결과</x:v>
      </x:c>
      <x:c r="D53" s="140" t="str">
        <x:v>시간(분)</x:v>
      </x:c>
    </x:row>
    <x:row r="54" s="1" customFormat="1" ht="108" customHeight="1">
      <x:c r="A54" s="141" t="str">
        <x:v>이론</x:v>
      </x:c>
      <x:c r="B54" s="141" t="str">
        <x:v>BPMN 역할·분기·지연·실행 연결 이해하기</x:v>
      </x:c>
      <x:c r="C54" s="141" t="str">
        <x:v>작업 순서·승인 역할·실행 연결을 구분하여 같은 BPMN을 그림과 실행 관점에서 읽는다. 시작·종료 이벤트, 작업, 역할별 Lane, 승인 분기와 지연 알림의 의미를 설비 대응 사례로 구분한다. BPMN 그림의 각 작업이 에이전트·사람·시스템 중 누구에게 연결되는지 살펴보고, 승인 거절과 승인 대기 상태의 차이를 확인한다.</x:v>
      </x:c>
      <x:c r="D54" s="142" t="n">
        <x:v>50</x:v>
      </x:c>
    </x:row>
    <x:row r="55" s="1" customFormat="1" ht="92" customHeight="1">
      <x:c r="A55" s="143" t="str">
        <x:v>실습</x:v>
      </x:c>
      <x:c r="B55" s="143" t="str">
        <x:v>기본 승인 흐름에서 설비 대응 흐름 만들기</x:v>
      </x:c>
      <x:c r="C55" s="143" t="str">
        <x:v>bpmn.io에서 시작→요청 확인→승인 또는 반려→종료를 그린다. 이어 쿨러 경보→원인 분석·조치 제안→운전원 승인→설비 명령→효과 확인→보고로 흐름을 확장하고, 담당 역할에 맞게 작업을 Lane에 배치한다.</x:v>
      </x:c>
      <x:c r="D55" s="144" t="n">
        <x:v>50</x:v>
      </x:c>
    </x:row>
    <x:row r="56" s="1" customFormat="1" ht="92" customHeight="1">
      <x:c r="A56" s="141" t="str">
        <x:v>실습</x:v>
      </x:c>
      <x:c r="B56" s="141" t="str">
        <x:v>승인·거절·지연 경로 완성하기</x:v>
      </x:c>
      <x:c r="C56" s="141" t="str">
        <x:v>승인·거절 분기와 각각의 종료 경로를 연결한다. 거절 경로에서 설비 명령으로 진행되지 않는지 확인하고, 승인 작업을 취소하지 않는 지연 알림 Timer를 추가한다. 각 경로를 따라가며 분기 조건과 연결 누락을 점검한다.</x:v>
      </x:c>
      <x:c r="D56" s="142" t="n">
        <x:v>50</x:v>
      </x:c>
    </x:row>
    <x:row r="57" s="1" customFormat="1" ht="108" customHeight="1">
      <x:c r="A57" s="143" t="str">
        <x:v>실습</x:v>
      </x:c>
      <x:c r="B57" s="143" t="str">
        <x:v>BPMN과 등록된 실행 연결 비교하기</x:v>
      </x:c>
      <x:c r="C57" s="143" t="str">
        <x:v>bpmn.io에서 작성한 설비 대응 흐름과 포털에 등록된 기준 흐름을 비교한다. 제공 매핑 자료에서 시작 이벤트·에이전트·운전원 승인·설비 명령·재관측 작업의 연결을 찾는다. 자신이 그린 각 작업이 어떤 실행 기능에 대응하는지 표시하고, 그림 파일과 실행 정의를 구분한다. 다음 회차에는 등록된 흐름의 실행 이력을 대조하고 교대 인수인계 흐름을 구성한다.</x:v>
      </x:c>
      <x:c r="D57" s="144" t="n">
        <x:v>50</x:v>
      </x:c>
    </x:row>
    <x:row r="58" s="1" customFormat="1" ht="28" customHeight="1">
      <x:c r="A58" s="139" t="str">
        <x:v>수업 합계 (휴식40분 별도)</x:v>
      </x:c>
      <x:c r="B58" s="139"/>
      <x:c r="C58" s="139"/>
      <x:c r="D58" s="139" t="n">
        <x:f>SUM(D54:D57)</x:f>
        <x:v>200</x:v>
      </x:c>
    </x:row>
    <x:row r="59" ht="12" customHeight="1">
      <x:c r="A59" s="135"/>
      <x:c r="B59" s="135"/>
      <x:c r="C59" s="135"/>
      <x:c r="D59" s="135"/>
    </x:row>
    <x:row r="60" s="1" customFormat="1" ht="38" customHeight="1">
      <x:c r="A60" s="138" t="str">
        <x:v>08회차 | 프로세스를 실행·검증하고 교대 인수인계 제작 시작하기</x:v>
      </x:c>
      <x:c r="B60" s="138"/>
      <x:c r="C60" s="138"/>
      <x:c r="D60" s="138"/>
    </x:row>
    <x:row r="61" s="1" customFormat="1" ht="28" customHeight="1">
      <x:c r="A61" s="140" t="str">
        <x:v>구분</x:v>
      </x:c>
      <x:c r="B61" s="140" t="str">
        <x:v>수업 단위</x:v>
      </x:c>
      <x:c r="C61" s="140" t="str">
        <x:v>세부 활동과 확인할 결과</x:v>
      </x:c>
      <x:c r="D61" s="140" t="str">
        <x:v>시간(분)</x:v>
      </x:c>
    </x:row>
    <x:row r="62" s="1" customFormat="1" ht="108" customHeight="1">
      <x:c r="A62" s="141" t="str">
        <x:v>실습</x:v>
      </x:c>
      <x:c r="B62" s="141" t="str">
        <x:v>실행 상태를 이해하고 정상·예외 경로 확인하기</x:v>
      </x:c>
      <x:c r="C62" s="141" t="str">
        <x:v>포털의 준비된 냉각 대응 시나리오 A를 실행하고 같은 처리 건의 판단→운전원 승인→명령→재관측→보고를 따라간다. 승인 대기·거절·보류는 실제 기록이나 제공 사례와 구분해 비교한다. 명령 처리와 온도 회복, 작업지시 등록과 정비 완료를 따로 확인한다. 다음 담당자가 계속 확인할 일이 무엇인지 근거와 함께 설명한다. 작성한 BPMN에서 해당 작업을 찾고 실제 정의·판본·처리 건과 결과를 기록한다.</x:v>
      </x:c>
      <x:c r="D62" s="142" t="n">
        <x:v>50</x:v>
      </x:c>
    </x:row>
    <x:row r="63" s="1" customFormat="1" ht="92" customHeight="1">
      <x:c r="A63" s="143" t="str">
        <x:v>실습</x:v>
      </x:c>
      <x:c r="B63" s="143" t="str">
        <x:v>BPMN을 보완하고 교대 인수인계 요구 정하기</x:v>
      </x:c>
      <x:c r="C63" s="143" t="str">
        <x:v>자신의 BPMN 그림과 실행 이력의 작업·역할·분기 차이를 찾아 그림을 수정한다. 교대 인수인계에 필요한 설비·교대·기준 시각·작업 메모를 정하고, 인계자 검토와 인수자 확인을 완료 조건으로 작성한다.</x:v>
      </x:c>
      <x:c r="D63" s="144" t="n">
        <x:v>50</x:v>
      </x:c>
    </x:row>
    <x:row r="64" s="1" customFormat="1" ht="108" customHeight="1">
      <x:c r="A64" s="141" t="str">
        <x:v>실습</x:v>
      </x:c>
      <x:c r="B64" s="141" t="str">
        <x:v>보충 지식과 인수인계 에이전트 구성하기</x:v>
      </x:c>
      <x:c r="C64" s="141" t="str">
        <x:v>강사 코드로 열린 교대 실습에서 제공 HI-01 원문과 준비된 추출 후보를 대조해 검토한 지식을 추가한다. 문서·판본·절 연결을 확인하고, 허용된 설비·정비·ERP 읽기 도구로 인계안을 작성할 에이전트와 스킬을 구성한다. 관측 시각·작업지시·재고·메모의 불일치와 확인할 일을 남기는지 원천 기록과 대조한다.</x:v>
      </x:c>
      <x:c r="D64" s="142" t="n">
        <x:v>50</x:v>
      </x:c>
    </x:row>
    <x:row r="65" s="1" customFormat="1" ht="108" customHeight="1">
      <x:c r="A65" s="143" t="str">
        <x:v>실습</x:v>
      </x:c>
      <x:c r="B65" s="143" t="str">
        <x:v>제공 인수인계 BPMN의 에이전트 배정·등록하기</x:v>
      </x:c>
      <x:c r="C65" s="143" t="str">
        <x:v>제공 교대 BPMN을 bpmn.io에서 열어 이름과 배치를 정리한다. 시작 입력·검토·보완 분기를 유지하고 세 초안 단계에 교대 에이전트를 배정하여 별도 판본을 등록한다. 시작 폼의 설비·교대 입력과 각 단계 배정을 확인한다. 다음 회차에는 정비·구매 기록을 확인하고 교대 흐름의 인수 확인까지 완료한다.</x:v>
      </x:c>
      <x:c r="D65" s="144" t="n">
        <x:v>50</x:v>
      </x:c>
    </x:row>
    <x:row r="66" s="1" customFormat="1" ht="28" customHeight="1">
      <x:c r="A66" s="139" t="str">
        <x:v>수업 합계 (휴식40분 별도)</x:v>
      </x:c>
      <x:c r="B66" s="139"/>
      <x:c r="C66" s="139"/>
      <x:c r="D66" s="139" t="n">
        <x:f>SUM(D62:D65)</x:f>
        <x:v>200</x:v>
      </x:c>
    </x:row>
    <x:row r="67" s="1" customFormat="1" ht="60" customHeight="1">
      <x:c r="A67" s="135"/>
      <x:c r="B67" s="135"/>
      <x:c r="C67" s="135"/>
      <x:c r="D67" s="135"/>
    </x:row>
    <x:row r="68" ht="38" customHeight="1">
      <x:c r="A68" s="138" t="str">
        <x:v>09회차 | 정비·구매에 적용하고 교대 인수인계 완성하기</x:v>
      </x:c>
      <x:c r="B68" s="138"/>
      <x:c r="C68" s="138"/>
      <x:c r="D68" s="138"/>
    </x:row>
    <x:row r="69" s="1" customFormat="1" ht="28" customHeight="1">
      <x:c r="A69" s="140" t="str">
        <x:v>구분</x:v>
      </x:c>
      <x:c r="B69" s="140" t="str">
        <x:v>수업 단위</x:v>
      </x:c>
      <x:c r="C69" s="140" t="str">
        <x:v>세부 활동과 확인할 결과</x:v>
      </x:c>
      <x:c r="D69" s="140" t="str">
        <x:v>시간(분)</x:v>
      </x:c>
    </x:row>
    <x:row r="70" s="1" customFormat="1" ht="108" customHeight="1">
      <x:c r="A70" s="141" t="str">
        <x:v>실습</x:v>
      </x:c>
      <x:c r="B70" s="141" t="str">
        <x:v>업무별 시작 조건을 비교하고 정비 흐름 설계하기</x:v>
      </x:c>
      <x:c r="C70" s="141" t="str">
        <x:v>정비·구매의 완료 의미를 비교하고 교대 인계 내용과 검토·확인 기록을 연결한다. 냉각 경보·정기 점검 도래·재고 부족의 시작 조건과 완료 결과를 비교한다. 정기 점검→정비 계획→설비보전팀장 승인 또는 거절→정비 오더→생산팀 공지 흐름을 bpmn.io에서 작성하고 담당 역할과 분기 조건을 연결한다.</x:v>
      </x:c>
      <x:c r="D70" s="142" t="n">
        <x:v>50</x:v>
      </x:c>
    </x:row>
    <x:row r="71" s="1" customFormat="1" ht="108" customHeight="1">
      <x:c r="A71" s="143" t="str">
        <x:v>실습</x:v>
      </x:c>
      <x:c r="B71" s="143" t="str">
        <x:v>등록된 정비 흐름을 실행하고 결과 검증하기</x:v>
      </x:c>
      <x:c r="C71" s="143" t="str">
        <x:v>포털의 준비된 정기 점검 시나리오 B에서 점검 시점 제안과 근거를 읽고 담당자의 결정을 거친다. 같은 처리 건의 작업지시·부품 예약·생산 공지·보고를 대조한다. 오더 등록은 실제 정비 완료와 구분한다. 예약 뒤 실제 정비와 다음 교대에 남는 확인을 정리한다. 거절·보류 사례는 확인한 기록 범위에서 비교하고, 실행 결과를 자신의 BPMN 작업과 연결해 저장한다.</x:v>
      </x:c>
      <x:c r="D71" s="144" t="n">
        <x:v>50</x:v>
      </x:c>
    </x:row>
    <x:row r="72" s="1" customFormat="1" ht="123" customHeight="1">
      <x:c r="A72" s="141" t="str">
        <x:v>실습</x:v>
      </x:c>
      <x:c r="B72" s="141" t="str">
        <x:v>구매 흐름을 설계하고 실행 검증하기</x:v>
      </x:c>
      <x:c r="C72" s="141" t="str">
        <x:v>제공 구매 업무를 bpmn.io에서 시작·제안·승인·발주·입고·보고로 표현한다. 포털의 준비된 재고 보충 시나리오 C에서 공급사·수량의 제안 근거와 승인 조건을 확인한다. 발주·통지·입고·재고 반영을 각각 찾아 시작 재고·예약·발주 중 수량과 비교한다. 수업 시스템의 즉시 입고를 실제 배송으로 설명하지 않는다. 발주 중과 입고 완료를 구분하여 다음 교대에 전달할 수량·남은 확인을 정리한다. 반려 사례는 제공 기록과 구분해 비교하고 BPMN의 해당 작업과 실제 결과를 연결한다.</x:v>
      </x:c>
      <x:c r="D72" s="142" t="n">
        <x:v>50</x:v>
      </x:c>
    </x:row>
    <x:row r="73" s="1" customFormat="1" ht="108" customHeight="1">
      <x:c r="A73" s="143" t="str">
        <x:v>실습</x:v>
      </x:c>
      <x:c r="B73" s="143" t="str">
        <x:v>교대 인수인계를 완성하고 ProcessGPT 연결 보기</x:v>
      </x:c>
      <x:c r="C73" s="143" t="str">
        <x:v>교대 인계안을 원천 기록과 대조하고 근거와 남은 일을 상대에게 설명한다. 인계자 검토→인수자의 확인 또는 실제 보완 요청→같은 처리 건의 재검토·인수 확인을 수행한다. 최종 인계안과 확인 기록을 저장하며 인수 확인과 정비·발주 완료를 구분한다. 이어 ProcessGPT 시연에서 지식·에이전트·사람 작업·실행 기록의 연결을 자신이 수행한 과정과 비교한다.</x:v>
      </x:c>
      <x:c r="D73" s="144" t="n">
        <x:v>50</x:v>
      </x:c>
    </x:row>
    <x:row r="74" s="1" customFormat="1" ht="28" customHeight="1">
      <x:c r="A74" s="139" t="str">
        <x:v>수업 합계 (휴식40분 별도)</x:v>
      </x:c>
      <x:c r="B74" s="139"/>
      <x:c r="C74" s="139"/>
      <x:c r="D74" s="139" t="n">
        <x:f>SUM(D70:D73)</x:f>
        <x:v>200</x:v>
      </x:c>
    </x:row>
    <x:row r="75" s="1" customFormat="1" ht="60" customHeight="1">
      <x:c r="A75" s="135"/>
      <x:c r="B75" s="135"/>
      <x:c r="C75" s="135"/>
      <x:c r="D75" s="135"/>
    </x:row>
    <x:row r="76" s="1" customFormat="1" ht="60" customHeight="1">
      <x:c r="A76" s="135" t="str">
        <x:v>전체 수업 시간(분)</x:v>
      </x:c>
      <x:c r="B76" s="135"/>
      <x:c r="C76" s="135"/>
      <x:c r="D76" s="135" t="n">
        <x:f>SUM(D10,D18,D26,D34,D42,D50,D58,D66,D74)</x:f>
        <x:v>1800</x:v>
      </x:c>
    </x:row>
    <x:row r="77" ht="60" customHeight="1">
      <x:c r="A77" s="135" t="str">
        <x:v>전체 휴식 시간(분)</x:v>
      </x:c>
      <x:c r="B77" s="135"/>
      <x:c r="C77" s="135"/>
      <x:c r="D77" s="135" t="n">
        <x:f>40*9</x:f>
        <x:v>360</x:v>
      </x:c>
    </x:row>
    <x:row r="78" s="1" customFormat="1" ht="28" customHeight="1">
      <x:c r="A78" s="135" t="str">
        <x:v>전체 편성 시간(분)</x:v>
      </x:c>
      <x:c r="B78" s="135"/>
      <x:c r="C78" s="135"/>
      <x:c r="D78" s="135" t="n">
        <x:f>SUM(D76:D77)</x:f>
        <x:v>2160</x:v>
      </x:c>
    </x:row>
    <x:row r="79" s="1" customFormat="1" ht="58" customHeight="1">
      <x:c r="A79" s="135"/>
      <x:c r="B79" s="135"/>
      <x:c r="C79" s="135"/>
      <x:c r="D79" s="135"/>
    </x:row>
    <x:row r="80" s="1" customFormat="1" ht="12" customHeight="1">
      <x:c r="A80" s="135"/>
      <x:c r="B80" s="135"/>
      <x:c r="C80" s="135"/>
      <x:c r="D80" s="135"/>
    </x:row>
    <x:row r="81" s="1" customFormat="1" ht="36" customHeight="1">
      <x:c r="A81" s="135"/>
      <x:c r="B81" s="135"/>
      <x:c r="C81" s="135"/>
      <x:c r="D81" s="135"/>
    </x:row>
    <x:row r="82" s="1" customFormat="1" ht="26" customHeight="1">
      <x:c r="A82" s="135"/>
      <x:c r="B82" s="135"/>
      <x:c r="C82" s="135"/>
      <x:c r="D82" s="135"/>
    </x:row>
    <x:row r="83" s="1" customFormat="1" ht="65" customHeight="1">
      <x:c r="A83" s="135"/>
      <x:c r="B83" s="135"/>
      <x:c r="C83" s="135"/>
      <x:c r="D83" s="135"/>
    </x:row>
    <x:row r="84" s="1" customFormat="1" ht="60" customHeight="1">
      <x:c r="A84" s="135"/>
      <x:c r="B84" s="135"/>
      <x:c r="C84" s="135"/>
      <x:c r="D84" s="135"/>
    </x:row>
    <x:row r="85" s="1" customFormat="1" ht="60" customHeight="1">
      <x:c r="A85" s="135"/>
      <x:c r="B85" s="135"/>
      <x:c r="C85" s="135"/>
      <x:c r="D85" s="135"/>
    </x:row>
    <x:row r="86" s="1" customFormat="1" ht="60" customHeight="1">
      <x:c r="A86" s="135"/>
      <x:c r="B86" s="135"/>
      <x:c r="C86" s="135"/>
      <x:c r="D86" s="135"/>
    </x:row>
    <x:row r="87" ht="68" customHeight="1">
      <x:c r="A87" s="135"/>
      <x:c r="B87" s="135"/>
      <x:c r="C87" s="135"/>
      <x:c r="D87" s="135"/>
    </x:row>
    <x:row r="88" s="1" customFormat="1" ht="60" customHeight="1">
      <x:c r="A88" s="135"/>
      <x:c r="B88" s="135"/>
      <x:c r="C88" s="135"/>
      <x:c r="D88" s="135"/>
    </x:row>
    <x:row r="89" s="1" customFormat="1" ht="60" customHeight="1">
      <x:c r="A89" s="135"/>
      <x:c r="B89" s="135"/>
      <x:c r="C89" s="135"/>
      <x:c r="D89" s="135"/>
    </x:row>
    <x:row r="90" s="1" customFormat="1" ht="28" customHeight="1">
      <x:c r="A90" s="135"/>
      <x:c r="B90" s="135"/>
      <x:c r="C90" s="135"/>
      <x:c r="D90" s="135"/>
    </x:row>
    <x:row r="91" ht="58" customHeight="1">
      <x:c r="A91" s="135"/>
      <x:c r="B91" s="135"/>
      <x:c r="C91" s="135"/>
      <x:c r="D91" s="135"/>
    </x:row>
    <x:row r="92" s="1" customFormat="1" ht="12" customHeight="1">
      <x:c r="A92" s="135"/>
      <x:c r="B92" s="135"/>
      <x:c r="C92" s="135"/>
      <x:c r="D92" s="135"/>
    </x:row>
    <x:row r="93" ht="36" customHeight="1">
      <x:c r="A93" s="135"/>
      <x:c r="B93" s="135"/>
      <x:c r="C93" s="135"/>
      <x:c r="D93" s="135"/>
    </x:row>
    <x:row r="94" s="1" customFormat="1" ht="26" customHeight="1">
      <x:c r="A94" s="135"/>
      <x:c r="B94" s="135"/>
      <x:c r="C94" s="135"/>
      <x:c r="D94" s="135"/>
    </x:row>
    <x:row r="95" ht="65" customHeight="1">
      <x:c r="A95" s="135"/>
      <x:c r="B95" s="135"/>
      <x:c r="C95" s="135"/>
      <x:c r="D95" s="135"/>
    </x:row>
    <x:row r="96" s="1" customFormat="1" ht="60" customHeight="1">
      <x:c r="A96" s="135"/>
      <x:c r="B96" s="135"/>
      <x:c r="C96" s="135"/>
      <x:c r="D96" s="135"/>
    </x:row>
    <x:row r="97" ht="60" customHeight="1">
      <x:c r="A97" s="135"/>
      <x:c r="B97" s="135"/>
      <x:c r="C97" s="135"/>
      <x:c r="D97" s="135"/>
    </x:row>
    <x:row r="98" ht="60" customHeight="1">
      <x:c r="A98" s="135"/>
      <x:c r="B98" s="135"/>
      <x:c r="C98" s="135"/>
      <x:c r="D98" s="135"/>
    </x:row>
    <x:row r="99" ht="60" customHeight="1">
      <x:c r="A99" s="135"/>
      <x:c r="B99" s="135"/>
      <x:c r="C99" s="135"/>
      <x:c r="D99" s="135"/>
    </x:row>
    <x:row r="100" ht="60" customHeight="1">
      <x:c r="A100" s="135"/>
      <x:c r="B100" s="135"/>
      <x:c r="C100" s="135"/>
      <x:c r="D100" s="135"/>
    </x:row>
    <x:row r="101" ht="68" customHeight="1">
      <x:c r="A101" s="135"/>
      <x:c r="B101" s="135"/>
      <x:c r="C101" s="135"/>
      <x:c r="D101" s="135"/>
    </x:row>
    <x:row r="102" ht="28" customHeight="1">
      <x:c r="A102" s="135"/>
      <x:c r="B102" s="135"/>
      <x:c r="C102" s="135"/>
      <x:c r="D102" s="135"/>
    </x:row>
    <x:row r="103" ht="58" customHeight="1">
      <x:c r="A103" s="135"/>
      <x:c r="B103" s="135"/>
      <x:c r="C103" s="135"/>
      <x:c r="D103" s="135"/>
    </x:row>
    <x:row r="104" ht="12" customHeight="1">
      <x:c r="A104" s="135"/>
      <x:c r="B104" s="135"/>
      <x:c r="C104" s="135"/>
      <x:c r="D104" s="135"/>
    </x:row>
    <x:row r="105" ht="28" customHeight="1">
      <x:c r="A105" s="135"/>
      <x:c r="B105" s="135"/>
      <x:c r="C105" s="135"/>
      <x:c r="D105" s="135"/>
    </x:row>
    <x:row r="106" ht="28" customHeight="1">
      <x:c r="A106" s="135"/>
      <x:c r="B106" s="135"/>
      <x:c r="C106" s="135"/>
      <x:c r="D106" s="135"/>
    </x:row>
    <x:row r="107" ht="28" customHeight="1">
      <x:c r="A107" s="135"/>
      <x:c r="B107" s="135"/>
      <x:c r="C107" s="135"/>
      <x:c r="D107" s="135"/>
    </x:row>
    <x:row r="108" ht="48" customHeight="1">
      <x:c r="A108" s="135"/>
      <x:c r="B108" s="135"/>
      <x:c r="C108" s="135"/>
      <x:c r="D108" s="135"/>
    </x:row>
    <x:row r="109">
      <x:c r="A109" s="135"/>
      <x:c r="B109" s="135"/>
      <x:c r="C109" s="135"/>
      <x:c r="D109" s="135"/>
    </x:row>
    <x:row r="110">
      <x:c r="A110" s="135"/>
      <x:c r="B110" s="135"/>
      <x:c r="C110" s="135"/>
      <x:c r="D110" s="135"/>
    </x:row>
    <x:row r="111">
      <x:c r="A111" s="135"/>
      <x:c r="B111" s="135"/>
      <x:c r="C111" s="135"/>
      <x:c r="D111" s="135"/>
    </x:row>
    <x:row r="112">
      <x:c r="A112" s="135"/>
      <x:c r="B112" s="135"/>
      <x:c r="C112" s="135"/>
      <x:c r="D112" s="135"/>
    </x:row>
    <x:row r="113">
      <x:c r="A113" s="135"/>
      <x:c r="B113" s="135"/>
      <x:c r="C113" s="135"/>
      <x:c r="D113" s="135"/>
    </x:row>
    <x:row r="114">
      <x:c r="A114" s="135"/>
      <x:c r="B114" s="135"/>
      <x:c r="C114" s="135"/>
      <x:c r="D114" s="135"/>
    </x:row>
    <x:row r="115">
      <x:c r="A115" s="135"/>
      <x:c r="B115" s="135"/>
      <x:c r="C115" s="135"/>
      <x:c r="D115" s="135"/>
    </x:row>
    <x:row r="116">
      <x:c r="A116" s="135"/>
      <x:c r="B116" s="135"/>
      <x:c r="C116" s="135"/>
      <x:c r="D116" s="135"/>
    </x:row>
    <x:row r="117">
      <x:c r="A117" s="135"/>
      <x:c r="B117" s="135"/>
      <x:c r="C117" s="135"/>
      <x:c r="D117" s="135"/>
    </x:row>
    <x:row r="118">
      <x:c r="A118" s="135"/>
      <x:c r="B118" s="135"/>
      <x:c r="C118" s="135"/>
      <x:c r="D118" s="135"/>
    </x:row>
    <x:row r="119">
      <x:c r="A119" s="135"/>
      <x:c r="B119" s="135"/>
      <x:c r="C119" s="135"/>
      <x:c r="D119" s="135"/>
    </x:row>
    <x:row r="120">
      <x:c r="A120" s="135"/>
      <x:c r="B120" s="135"/>
      <x:c r="C120" s="135"/>
      <x:c r="D120" s="135"/>
    </x:row>
    <x:row r="121">
      <x:c r="A121" s="135"/>
      <x:c r="B121" s="135"/>
      <x:c r="C121" s="135"/>
      <x:c r="D121" s="135"/>
    </x:row>
    <x:row r="122">
      <x:c r="A122" s="135"/>
      <x:c r="B122" s="135"/>
      <x:c r="C122" s="135"/>
      <x:c r="D122" s="135"/>
    </x:row>
    <x:row r="123">
      <x:c r="A123" s="135"/>
      <x:c r="B123" s="135"/>
      <x:c r="C123" s="135"/>
      <x:c r="D123" s="135"/>
    </x:row>
    <x:row r="124">
      <x:c r="A124" s="135"/>
      <x:c r="B124" s="135"/>
      <x:c r="C124" s="135"/>
      <x:c r="D124" s="135"/>
    </x:row>
    <x:row r="125">
      <x:c r="A125" s="135"/>
      <x:c r="B125" s="135"/>
      <x:c r="C125" s="135"/>
      <x:c r="D125" s="135"/>
    </x:row>
    <x:row r="126">
      <x:c r="A126" s="135"/>
      <x:c r="B126" s="135"/>
      <x:c r="C126" s="135"/>
      <x:c r="D126" s="135"/>
    </x:row>
    <x:row r="127">
      <x:c r="A127" s="135"/>
      <x:c r="B127" s="135"/>
      <x:c r="C127" s="135"/>
      <x:c r="D127" s="135"/>
    </x:row>
    <x:row r="128">
      <x:c r="A128" s="135"/>
      <x:c r="B128" s="135"/>
      <x:c r="C128" s="135"/>
      <x:c r="D128" s="135"/>
    </x:row>
    <x:row r="129">
      <x:c r="A129" s="135"/>
      <x:c r="B129" s="135"/>
      <x:c r="C129" s="135"/>
      <x:c r="D129" s="135"/>
    </x:row>
    <x:row r="130">
      <x:c r="A130" s="135"/>
      <x:c r="B130" s="135"/>
      <x:c r="C130" s="135"/>
      <x:c r="D130" s="135"/>
    </x:row>
    <x:row r="131">
      <x:c r="A131" s="135"/>
      <x:c r="B131" s="135"/>
      <x:c r="C131" s="135"/>
      <x:c r="D131" s="135"/>
    </x:row>
    <x:row r="132">
      <x:c r="A132" s="135"/>
      <x:c r="B132" s="135"/>
      <x:c r="C132" s="135"/>
      <x:c r="D132" s="135"/>
    </x:row>
    <x:row r="133">
      <x:c r="A133" s="135"/>
      <x:c r="B133" s="135"/>
      <x:c r="C133" s="135"/>
      <x:c r="D133" s="135"/>
    </x:row>
    <x:row r="134">
      <x:c r="A134" s="135"/>
      <x:c r="B134" s="135"/>
      <x:c r="C134" s="135"/>
      <x:c r="D134" s="135"/>
    </x:row>
    <x:row r="135">
      <x:c r="A135" s="135"/>
      <x:c r="B135" s="135"/>
      <x:c r="C135" s="135"/>
      <x:c r="D135" s="135"/>
    </x:row>
    <x:row r="136">
      <x:c r="A136" s="135"/>
      <x:c r="B136" s="135"/>
      <x:c r="C136" s="135"/>
      <x:c r="D136" s="135"/>
    </x:row>
    <x:row r="137">
      <x:c r="A137" s="135"/>
      <x:c r="B137" s="135"/>
      <x:c r="C137" s="135"/>
      <x:c r="D137" s="135"/>
    </x:row>
    <x:row r="138">
      <x:c r="A138" s="135"/>
      <x:c r="B138" s="135"/>
      <x:c r="C138" s="135"/>
      <x:c r="D138" s="135"/>
    </x:row>
    <x:row r="139">
      <x:c r="A139" s="135"/>
      <x:c r="B139" s="135"/>
      <x:c r="C139" s="135"/>
      <x:c r="D139" s="135"/>
    </x:row>
    <x:row r="140">
      <x:c r="A140" s="135"/>
      <x:c r="B140" s="135"/>
      <x:c r="C140" s="135"/>
      <x:c r="D140" s="135"/>
    </x:row>
    <x:row r="141">
      <x:c r="A141" s="135"/>
      <x:c r="B141" s="135"/>
      <x:c r="C141" s="135"/>
      <x:c r="D141" s="135"/>
    </x:row>
    <x:row r="142">
      <x:c r="A142" s="135"/>
      <x:c r="B142" s="135"/>
      <x:c r="C142" s="135"/>
      <x:c r="D142" s="135"/>
    </x:row>
    <x:row r="143">
      <x:c r="A143" s="135"/>
      <x:c r="B143" s="135"/>
      <x:c r="C143" s="135"/>
      <x:c r="D143" s="135"/>
    </x:row>
    <x:row r="144">
      <x:c r="A144" s="135"/>
      <x:c r="B144" s="135"/>
      <x:c r="C144" s="135"/>
      <x:c r="D144" s="135"/>
    </x:row>
    <x:row r="145">
      <x:c r="A145" s="135"/>
      <x:c r="B145" s="135"/>
      <x:c r="C145" s="135"/>
      <x:c r="D145" s="135"/>
    </x:row>
    <x:row r="146">
      <x:c r="A146" s="135"/>
      <x:c r="B146" s="135"/>
      <x:c r="C146" s="135"/>
      <x:c r="D146" s="135"/>
    </x:row>
    <x:row r="147">
      <x:c r="A147" s="135"/>
      <x:c r="B147" s="135"/>
      <x:c r="C147" s="135"/>
      <x:c r="D147" s="135"/>
    </x:row>
    <x:row r="148">
      <x:c r="A148" s="135"/>
      <x:c r="B148" s="135"/>
      <x:c r="C148" s="135"/>
      <x:c r="D148" s="135"/>
    </x:row>
    <x:row r="149">
      <x:c r="A149" s="135"/>
      <x:c r="B149" s="135"/>
      <x:c r="C149" s="135"/>
      <x:c r="D149" s="135"/>
    </x:row>
    <x:row r="150">
      <x:c r="A150" s="135"/>
      <x:c r="B150" s="135"/>
      <x:c r="C150" s="135"/>
      <x:c r="D150" s="135"/>
    </x:row>
    <x:row r="151">
      <x:c r="A151"/>
      <x:c r="B151"/>
      <x:c r="C151"/>
      <x:c r="D151"/>
    </x:row>
    <x:row r="152">
      <x:c r="A152"/>
      <x:c r="B152"/>
      <x:c r="C152"/>
      <x:c r="D152"/>
    </x:row>
    <x:row r="153">
      <x:c r="A153"/>
      <x:c r="B153"/>
      <x:c r="C153"/>
      <x:c r="D153"/>
    </x:row>
    <x:row r="154">
      <x:c r="A154"/>
      <x:c r="B154"/>
      <x:c r="C154"/>
      <x:c r="D154"/>
    </x:row>
    <x:row r="155">
      <x:c r="A155"/>
      <x:c r="B155"/>
      <x:c r="C155"/>
      <x:c r="D155"/>
    </x:row>
    <x:row r="156">
      <x:c r="A156"/>
      <x:c r="B156"/>
      <x:c r="C156"/>
      <x:c r="D156"/>
    </x:row>
    <x:row r="157">
      <x:c r="A157"/>
      <x:c r="B157"/>
      <x:c r="C157"/>
      <x:c r="D157"/>
    </x:row>
    <x:row r="158">
      <x:c r="A158"/>
      <x:c r="B158"/>
      <x:c r="C158"/>
      <x:c r="D158"/>
    </x:row>
    <x:row r="159">
      <x:c r="A159"/>
      <x:c r="B159"/>
      <x:c r="C159"/>
      <x:c r="D159"/>
    </x:row>
    <x:row r="160">
      <x:c r="A160"/>
      <x:c r="B160"/>
      <x:c r="C160"/>
      <x:c r="D160"/>
    </x:row>
    <x:row r="161">
      <x:c r="A161"/>
      <x:c r="B161"/>
      <x:c r="C161"/>
      <x:c r="D161"/>
    </x:row>
    <x:row r="162">
      <x:c r="A162"/>
      <x:c r="B162"/>
      <x:c r="C162"/>
      <x:c r="D162"/>
    </x:row>
    <x:row r="163">
      <x:c r="A163"/>
      <x:c r="B163"/>
      <x:c r="C163"/>
      <x:c r="D163"/>
    </x:row>
    <x:row r="164">
      <x:c r="A164"/>
      <x:c r="B164"/>
      <x:c r="C164"/>
      <x:c r="D164"/>
    </x:row>
    <x:row r="165">
      <x:c r="A165"/>
      <x:c r="B165"/>
      <x:c r="C165"/>
      <x:c r="D165"/>
    </x:row>
    <x:row r="166">
      <x:c r="A166"/>
      <x:c r="B166"/>
      <x:c r="C166"/>
      <x:c r="D166"/>
    </x:row>
    <x:row r="167">
      <x:c r="A167"/>
      <x:c r="B167"/>
      <x:c r="C167"/>
      <x:c r="D167"/>
    </x:row>
    <x:row r="168">
      <x:c r="A168"/>
      <x:c r="B168"/>
      <x:c r="C168"/>
      <x:c r="D168"/>
    </x:row>
    <x:row r="169">
      <x:c r="A169"/>
      <x:c r="B169"/>
      <x:c r="C169"/>
      <x:c r="D169"/>
    </x:row>
    <x:row r="170">
      <x:c r="A170"/>
      <x:c r="B170"/>
      <x:c r="C170"/>
      <x:c r="D170"/>
    </x:row>
    <x:row r="201">
      <x:c r="A201"/>
      <x:c r="B201"/>
      <x:c r="C201"/>
      <x:c r="D201"/>
    </x:row>
    <x:row r="202">
      <x:c r="A202"/>
      <x:c r="B202"/>
      <x:c r="C202"/>
      <x:c r="D202"/>
    </x:row>
    <x:row r="203">
      <x:c r="A203"/>
      <x:c r="B203"/>
      <x:c r="C203"/>
      <x:c r="D203"/>
    </x:row>
    <x:row r="204">
      <x:c r="A204"/>
      <x:c r="B204"/>
      <x:c r="C204"/>
      <x:c r="D204"/>
    </x:row>
    <x:row r="205">
      <x:c r="A205"/>
      <x:c r="B205"/>
      <x:c r="C205"/>
      <x:c r="D205"/>
    </x:row>
    <x:row r="206">
      <x:c r="A206"/>
      <x:c r="B206"/>
      <x:c r="C206"/>
      <x:c r="D206"/>
    </x:row>
    <x:row r="207">
      <x:c r="A207"/>
      <x:c r="B207"/>
      <x:c r="C207"/>
      <x:c r="D207"/>
    </x:row>
  </x:sheetData>
  <x:mergeCells>
    <x:mergeCell ref="A1:D1"/>
    <x:mergeCell ref="A2:D2"/>
    <x:mergeCell ref="A4:D4"/>
    <x:mergeCell ref="A10:C10"/>
    <x:mergeCell ref="A12:D12"/>
    <x:mergeCell ref="A18:C18"/>
    <x:mergeCell ref="A20:D20"/>
    <x:mergeCell ref="A26:C26"/>
    <x:mergeCell ref="A28:D28"/>
    <x:mergeCell ref="A34:C34"/>
    <x:mergeCell ref="A36:D36"/>
    <x:mergeCell ref="A42:C42"/>
    <x:mergeCell ref="A44:D44"/>
    <x:mergeCell ref="A50:C50"/>
    <x:mergeCell ref="A52:D52"/>
    <x:mergeCell ref="A58:C58"/>
    <x:mergeCell ref="A60:D60"/>
    <x:mergeCell ref="A66:C66"/>
    <x:mergeCell ref="A68:D68"/>
    <x:mergeCell ref="A74:C74"/>
    <x:mergeCell ref="A76:C76"/>
    <x:mergeCell ref="A77:C77"/>
    <x:mergeCell ref="A78:C78"/>
  </x:mergeCells>
  <x:pageMargins left="0.7" right="0.7" top="0.75" bottom="0.75" header="0.3" footer="0.3"/>
</x:worksheet>
</file>