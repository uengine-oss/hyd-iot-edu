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3583c6f89c4f92" /></Relationships>
</file>

<file path=xl/workbook.xml><?xml version="1.0" encoding="utf-8"?>
<x:workbook xmlns:x="http://schemas.openxmlformats.org/spreadsheetml/2006/main">
  <x:sheets>
    <x:sheet xmlns:r="http://schemas.openxmlformats.org/officeDocument/2006/relationships" name="통합반 온라인 44H" sheetId="1" r:id="R0aca771b9b7e4936"/>
    <x:sheet xmlns:r="http://schemas.openxmlformats.org/officeDocument/2006/relationships" name="실전반 온라인 32H" sheetId="2" r:id="Rb2ce782d014c4cc0"/>
    <x:sheet xmlns:r="http://schemas.openxmlformats.org/officeDocument/2006/relationships" name="통합반 오프라인 정규 10회" sheetId="3" r:id="Rb5aac374f1d04105"/>
    <x:sheet xmlns:r="http://schemas.openxmlformats.org/officeDocument/2006/relationships" name="실전반 오프라인 정규 9회" sheetId="4" r:id="Rb9a564940b9b4b2c"/>
  </x:sheets>
</x:workbook>
</file>

<file path=xl/sharedStrings.xml><?xml version="1.0" encoding="utf-8"?>
<x:sst xmlns:x="http://schemas.openxmlformats.org/spreadsheetml/2006/main"/>
</file>

<file path=xl/styles.xml><?xml version="1.0" encoding="utf-8"?>
<x:styleSheet xmlns:x="http://schemas.openxmlformats.org/spreadsheetml/2006/main">
  <x:fonts count="18">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s>
  <x:fills count="15">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s>
  <x:borders count="1">
    <x:border/>
  </x:borders>
  <x:cellStyleXfs count="1">
    <x:xf numFmtId="0" fontId="0" fillId="0" borderId="0"/>
  </x:cellStyleXfs>
  <x:cellXfs count="133">
    <x:xf numFmtId="0" fontId="0" fillId="0" borderId="0" xfId="0"/>
    <x:xf numFmtId="0" fontId="0" fillId="0" borderId="0" xfId="0"/>
    <x:xf numFmtId="0" fontId="1" fillId="0" borderId="0" xfId="0"/>
    <x:xf numFmtId="0" fontId="1" fillId="0" borderId="0" xfId="0" applyAlignment="1">
      <x:alignment vertical="center"/>
    </x:xf>
    <x:xf numFmtId="0" fontId="1" fillId="2" borderId="0" xfId="0" applyAlignment="1">
      <x:alignment vertical="center"/>
    </x:xf>
    <x:xf numFmtId="0" fontId="2" fillId="2" borderId="0" xfId="0" applyAlignment="1">
      <x:alignment vertical="center"/>
    </x:xf>
    <x:xf numFmtId="0" fontId="2" fillId="2" borderId="0" xfId="0" applyAlignment="1">
      <x:alignment horizontal="left" vertical="center"/>
    </x:xf>
    <x:xf numFmtId="0" fontId="1" fillId="3" borderId="0" xfId="0" applyAlignment="1">
      <x:alignment vertical="center"/>
    </x:xf>
    <x:xf numFmtId="0" fontId="3" fillId="3" borderId="0" xfId="0" applyAlignment="1">
      <x:alignment vertical="center"/>
    </x:xf>
    <x:xf numFmtId="0" fontId="4" fillId="3" borderId="0" xfId="0" applyAlignment="1">
      <x:alignment vertical="center"/>
    </x:xf>
    <x:xf numFmtId="0" fontId="4" fillId="3" borderId="0" xfId="0" applyAlignment="1">
      <x:alignment horizontal="center" vertical="center"/>
    </x:xf>
    <x:xf numFmtId="0" fontId="1" fillId="4" borderId="0" xfId="0" applyAlignment="1">
      <x:alignment vertical="center"/>
    </x:xf>
    <x:xf numFmtId="0" fontId="5" fillId="4" borderId="0" xfId="0" applyAlignment="1">
      <x:alignment vertical="center"/>
    </x:xf>
    <x:xf numFmtId="0" fontId="4" fillId="4" borderId="0" xfId="0" applyAlignment="1">
      <x:alignment vertical="center"/>
    </x:xf>
    <x:xf numFmtId="0" fontId="4" fillId="4" borderId="0" xfId="0" applyAlignment="1">
      <x:alignment horizontal="center" vertical="center"/>
    </x:xf>
    <x:xf numFmtId="0" fontId="1" fillId="5" borderId="0" xfId="0" applyAlignment="1">
      <x:alignment vertical="center"/>
    </x:xf>
    <x:xf numFmtId="0" fontId="6" fillId="5" borderId="0" xfId="0" applyAlignment="1">
      <x:alignment vertical="center"/>
    </x:xf>
    <x:xf numFmtId="0" fontId="6" fillId="5" borderId="0" xfId="0" applyAlignment="1">
      <x:alignment horizontal="center" vertical="center"/>
    </x:xf>
    <x:xf numFmtId="0" fontId="1" fillId="6" borderId="0" xfId="0" applyAlignment="1">
      <x:alignment vertical="center"/>
    </x:xf>
    <x:xf numFmtId="0" fontId="1" fillId="6" borderId="0" xfId="0" applyAlignment="1">
      <x:alignment vertical="center" wrapText="1"/>
    </x:xf>
    <x:xf numFmtId="0" fontId="1" fillId="7" borderId="0" xfId="0" applyAlignment="1">
      <x:alignment vertical="center" wrapText="1"/>
    </x:xf>
    <x:xf numFmtId="0" fontId="7" fillId="7" borderId="0" xfId="0" applyAlignment="1">
      <x:alignment vertical="center" wrapText="1"/>
    </x:xf>
    <x:xf numFmtId="0" fontId="7" fillId="7" borderId="0" xfId="0" applyAlignment="1">
      <x:alignment horizontal="center" vertical="center" wrapText="1"/>
    </x:xf>
    <x:xf numFmtId="0" fontId="8" fillId="6" borderId="0" xfId="0" applyAlignment="1">
      <x:alignment vertical="center" wrapText="1"/>
    </x:xf>
    <x:xf numFmtId="0" fontId="4" fillId="6" borderId="0" xfId="0" applyAlignment="1">
      <x:alignment vertical="center" wrapText="1"/>
    </x:xf>
    <x:xf numFmtId="0" fontId="4" fillId="6" borderId="0" xfId="0" applyAlignment="1">
      <x:alignment horizontal="center" vertical="center" wrapText="1"/>
    </x:xf>
    <x:xf numFmtId="0" fontId="1" fillId="8" borderId="0" xfId="0" applyAlignment="1">
      <x:alignment vertical="center"/>
    </x:xf>
    <x:xf numFmtId="0" fontId="1" fillId="8" borderId="0" xfId="0" applyAlignment="1">
      <x:alignment vertical="center" wrapText="1"/>
    </x:xf>
    <x:xf numFmtId="0" fontId="1" fillId="9" borderId="0" xfId="0" applyAlignment="1">
      <x:alignment vertical="center" wrapText="1"/>
    </x:xf>
    <x:xf numFmtId="0" fontId="9" fillId="9" borderId="0" xfId="0" applyAlignment="1">
      <x:alignment vertical="center" wrapText="1"/>
    </x:xf>
    <x:xf numFmtId="0" fontId="9" fillId="9" borderId="0" xfId="0" applyAlignment="1">
      <x:alignment horizontal="center" vertical="center" wrapText="1"/>
    </x:xf>
    <x:xf numFmtId="0" fontId="8" fillId="8" borderId="0" xfId="0" applyAlignment="1">
      <x:alignment vertical="center" wrapText="1"/>
    </x:xf>
    <x:xf numFmtId="0" fontId="4" fillId="8" borderId="0" xfId="0" applyAlignment="1">
      <x:alignment vertical="center" wrapText="1"/>
    </x:xf>
    <x:xf numFmtId="0" fontId="4" fillId="8" borderId="0" xfId="0" applyAlignment="1">
      <x:alignment horizontal="center" vertical="center" wrapText="1"/>
    </x:xf>
    <x:xf numFmtId="0" fontId="1" fillId="10" borderId="0" xfId="0" applyAlignment="1">
      <x:alignment vertical="center"/>
    </x:xf>
    <x:xf numFmtId="0" fontId="10" fillId="10" borderId="0" xfId="0" applyAlignment="1">
      <x:alignment vertical="center"/>
    </x:xf>
    <x:xf numFmtId="0" fontId="4" fillId="10" borderId="0" xfId="0" applyAlignment="1">
      <x:alignment vertical="center"/>
    </x:xf>
    <x:xf numFmtId="0" fontId="4" fillId="10" borderId="0" xfId="0" applyAlignment="1">
      <x:alignment horizontal="center" vertical="center"/>
    </x:xf>
    <x:xf numFmtId="0" fontId="10" fillId="10" borderId="0" xfId="0" applyAlignment="1">
      <x:alignment horizontal="center" vertical="center"/>
    </x:xf>
    <x:xf numFmtId="0" fontId="5" fillId="10" borderId="0" xfId="0" applyAlignment="1">
      <x:alignment vertical="center"/>
    </x:xf>
    <x:xf numFmtId="0" fontId="0" fillId="11" borderId="0" xfId="0"/>
    <x:xf numFmtId="0" fontId="11" fillId="11" borderId="0" xfId="0"/>
    <x:xf numFmtId="0" fontId="11" fillId="11" borderId="0" xfId="0" applyAlignment="1">
      <x:alignment wrapText="1"/>
    </x:xf>
    <x:xf numFmtId="0" fontId="11" fillId="11" borderId="0" xfId="0" applyAlignment="1">
      <x:alignment vertical="center" wrapText="1"/>
    </x:xf>
    <x:xf numFmtId="0" fontId="11" fillId="11" borderId="0" xfId="0" applyAlignment="1">
      <x:alignment horizontal="center" vertical="center" wrapText="1"/>
    </x:xf>
    <x:xf numFmtId="0" fontId="0" fillId="12" borderId="0" xfId="0"/>
    <x:xf numFmtId="0" fontId="12" fillId="12" borderId="0" xfId="0"/>
    <x:xf numFmtId="0" fontId="12" fillId="12" borderId="0" xfId="0" applyAlignment="1">
      <x:alignment wrapText="1"/>
    </x:xf>
    <x:xf numFmtId="0" fontId="12" fillId="12" borderId="0" xfId="0" applyAlignment="1">
      <x:alignment horizontal="center" wrapText="1"/>
    </x:xf>
    <x:xf numFmtId="0" fontId="12" fillId="12" borderId="0" xfId="0" applyAlignment="1">
      <x:alignment horizontal="center" vertical="center" wrapText="1"/>
    </x:xf>
    <x:xf numFmtId="0" fontId="0" fillId="13" borderId="0" xfId="0"/>
    <x:xf numFmtId="0" fontId="13" fillId="13" borderId="0" xfId="0"/>
    <x:xf numFmtId="0" fontId="13" fillId="13" borderId="0" xfId="0" applyAlignment="1">
      <x:alignment wrapText="1"/>
    </x:xf>
    <x:xf numFmtId="0" fontId="13" fillId="13" borderId="0" xfId="0" applyAlignment="1">
      <x:alignment vertical="center" wrapText="1"/>
    </x:xf>
    <x:xf numFmtId="0" fontId="13" fillId="13" borderId="0" xfId="0" applyAlignment="1">
      <x:alignment horizontal="center" vertical="center" wrapText="1"/>
    </x:xf>
    <x:xf numFmtId="0" fontId="14" fillId="13" borderId="0" xfId="0" applyAlignment="1">
      <x:alignment vertical="center" wrapText="1"/>
    </x:xf>
    <x:xf numFmtId="0" fontId="15" fillId="13" borderId="0" xfId="0" applyAlignment="1">
      <x:alignment horizontal="center" vertical="center" wrapText="1"/>
    </x:xf>
    <x:xf numFmtId="0" fontId="0" fillId="14" borderId="0" xfId="0"/>
    <x:xf numFmtId="0" fontId="13" fillId="14" borderId="0" xfId="0"/>
    <x:xf numFmtId="0" fontId="13" fillId="14" borderId="0" xfId="0" applyAlignment="1">
      <x:alignment wrapText="1"/>
    </x:xf>
    <x:xf numFmtId="0" fontId="13" fillId="14" borderId="0" xfId="0" applyAlignment="1">
      <x:alignment vertical="center" wrapText="1"/>
    </x:xf>
    <x:xf numFmtId="0" fontId="13" fillId="14" borderId="0" xfId="0" applyAlignment="1">
      <x:alignment horizontal="center" vertical="center" wrapText="1"/>
    </x:xf>
    <x:xf numFmtId="0" fontId="14" fillId="14" borderId="0" xfId="0" applyAlignment="1">
      <x:alignment vertical="center" wrapText="1"/>
    </x:xf>
    <x:xf numFmtId="0" fontId="15" fillId="14" borderId="0" xfId="0" applyAlignment="1">
      <x:alignment horizontal="center" vertical="center" wrapText="1"/>
    </x:xf>
    <x:xf numFmtId="0" fontId="16" fillId="13" borderId="0" xfId="0" applyAlignment="1">
      <x:alignment horizontal="center" vertical="center" wrapText="1"/>
    </x:xf>
    <x:xf numFmtId="0" fontId="16" fillId="14" borderId="0" xfId="0" applyAlignment="1">
      <x:alignment horizontal="center" vertical="center" wrapText="1"/>
    </x:xf>
    <x:xf numFmtId="0" fontId="12" fillId="12" borderId="0" xfId="0" applyAlignment="1">
      <x:alignment vertical="center" wrapText="1"/>
    </x:xf>
    <x:xf numFmtId="0" fontId="17" fillId="14" borderId="0" xfId="0"/>
    <x:xf numFmtId="0" fontId="17" fillId="14" borderId="0" xfId="0" applyAlignment="1">
      <x:alignment wrapText="1"/>
    </x:xf>
    <x:xf numFmtId="0" fontId="17" fillId="14" borderId="0" xfId="0" applyAlignment="1">
      <x:alignment vertical="center" wrapText="1"/>
    </x:xf>
    <x:xf numFmtId="0" fontId="2" fillId="13" borderId="0" xfId="0" applyAlignment="1">
      <x:alignment horizontal="left" vertical="center"/>
    </x:xf>
    <x:xf numFmtId="0" fontId="3" fillId="13" borderId="0" xfId="0" applyAlignment="1">
      <x:alignment vertical="center"/>
    </x:xf>
    <x:xf numFmtId="0" fontId="4" fillId="13" borderId="0" xfId="0" applyAlignment="1">
      <x:alignment horizontal="center" vertical="center"/>
    </x:xf>
    <x:xf numFmtId="0" fontId="1" fillId="13" borderId="0" xfId="0" applyAlignment="1">
      <x:alignment vertical="center"/>
    </x:xf>
    <x:xf numFmtId="0" fontId="5" fillId="13" borderId="0" xfId="0" applyAlignment="1">
      <x:alignment vertical="center"/>
    </x:xf>
    <x:xf numFmtId="0" fontId="6" fillId="13" borderId="0" xfId="0" applyAlignment="1">
      <x:alignment horizontal="center" vertical="center"/>
    </x:xf>
    <x:xf numFmtId="0" fontId="7" fillId="13" borderId="0" xfId="0" applyAlignment="1">
      <x:alignment horizontal="center" vertical="center" wrapText="1"/>
    </x:xf>
    <x:xf numFmtId="0" fontId="8" fillId="13" borderId="0" xfId="0" applyAlignment="1">
      <x:alignment vertical="center" wrapText="1"/>
    </x:xf>
    <x:xf numFmtId="0" fontId="1" fillId="13" borderId="0" xfId="0" applyAlignment="1">
      <x:alignment vertical="center" wrapText="1"/>
    </x:xf>
    <x:xf numFmtId="0" fontId="4" fillId="13" borderId="0" xfId="0" applyAlignment="1">
      <x:alignment horizontal="center" vertical="center" wrapText="1"/>
    </x:xf>
    <x:xf numFmtId="0" fontId="9" fillId="13" borderId="0" xfId="0" applyAlignment="1">
      <x:alignment horizontal="center" vertical="center" wrapText="1"/>
    </x:xf>
    <x:xf numFmtId="0" fontId="10" fillId="13" borderId="0" xfId="0" applyAlignment="1">
      <x:alignment vertical="center"/>
    </x:xf>
    <x:xf numFmtId="0" fontId="2" fillId="11" borderId="0" xfId="0" applyAlignment="1">
      <x:alignment horizontal="left" vertical="center"/>
    </x:xf>
    <x:xf numFmtId="0" fontId="11" fillId="11" borderId="0" xfId="0" applyAlignment="1">
      <x:alignment horizontal="left" vertical="center"/>
    </x:xf>
    <x:xf numFmtId="0" fontId="11" fillId="11" borderId="0" xfId="0" applyAlignment="1">
      <x:alignment horizontal="left" vertical="center" wrapText="1"/>
    </x:xf>
    <x:xf numFmtId="0" fontId="3" fillId="12" borderId="0" xfId="0" applyAlignment="1">
      <x:alignment vertical="center"/>
    </x:xf>
    <x:xf numFmtId="0" fontId="4" fillId="12" borderId="0" xfId="0" applyAlignment="1">
      <x:alignment horizontal="center" vertical="center"/>
    </x:xf>
    <x:xf numFmtId="0" fontId="12" fillId="12" borderId="0" xfId="0" applyAlignment="1">
      <x:alignment vertical="center"/>
    </x:xf>
    <x:xf numFmtId="0" fontId="12" fillId="12" borderId="0" xfId="0" applyAlignment="1">
      <x:alignment horizontal="center" vertical="center"/>
    </x:xf>
    <x:xf numFmtId="0" fontId="5" fillId="11" borderId="0" xfId="0" applyAlignment="1">
      <x:alignment vertical="center"/>
    </x:xf>
    <x:xf numFmtId="0" fontId="4" fillId="11" borderId="0" xfId="0" applyAlignment="1">
      <x:alignment horizontal="center" vertical="center"/>
    </x:xf>
    <x:xf numFmtId="0" fontId="11" fillId="11" borderId="0" xfId="0" applyAlignment="1">
      <x:alignment vertical="center"/>
    </x:xf>
    <x:xf numFmtId="0" fontId="11" fillId="11" borderId="0" xfId="0" applyAlignment="1">
      <x:alignment horizontal="center" vertical="center"/>
    </x:xf>
    <x:xf numFmtId="0" fontId="6" fillId="12" borderId="0" xfId="0" applyAlignment="1">
      <x:alignment horizontal="center" vertical="center"/>
    </x:xf>
    <x:xf numFmtId="0" fontId="9" fillId="14" borderId="0" xfId="0" applyAlignment="1">
      <x:alignment horizontal="center" vertical="center" wrapText="1"/>
    </x:xf>
    <x:xf numFmtId="0" fontId="8" fillId="14" borderId="0" xfId="0" applyAlignment="1">
      <x:alignment vertical="center" wrapText="1"/>
    </x:xf>
    <x:xf numFmtId="0" fontId="1" fillId="14" borderId="0" xfId="0" applyAlignment="1">
      <x:alignment vertical="center" wrapText="1"/>
    </x:xf>
    <x:xf numFmtId="0" fontId="4" fillId="14" borderId="0" xfId="0" applyAlignment="1">
      <x:alignment horizontal="center" vertical="center" wrapText="1"/>
    </x:xf>
    <x:xf numFmtId="0" fontId="7" fillId="14" borderId="0" xfId="0" applyAlignment="1">
      <x:alignment horizontal="center" vertical="center" wrapText="1"/>
    </x:xf>
    <x:xf numFmtId="0" fontId="10" fillId="12" borderId="0" xfId="0" applyAlignment="1">
      <x:alignment vertical="center"/>
    </x:xf>
    <x:xf numFmtId="0" fontId="13" fillId="13" borderId="0" xfId="0" applyAlignment="1">
      <x:alignment vertical="center"/>
    </x:xf>
    <x:xf numFmtId="0" fontId="13" fillId="13" borderId="0" xfId="0" applyAlignment="1">
      <x:alignment horizontal="center" vertical="center"/>
    </x:xf>
    <x:xf numFmtId="0" fontId="1" fillId="12" borderId="0" xfId="0" applyAlignment="1">
      <x:alignment vertical="center"/>
    </x:xf>
    <x:xf numFmtId="0" fontId="6" fillId="11" borderId="0" xfId="0" applyAlignment="1">
      <x:alignment horizontal="center" vertical="center"/>
    </x:xf>
    <x:xf numFmtId="0" fontId="9" fillId="12" borderId="0" xfId="0" applyAlignment="1">
      <x:alignment horizontal="center" vertical="center" wrapText="1"/>
    </x:xf>
    <x:xf numFmtId="0" fontId="8" fillId="12" borderId="0" xfId="0" applyAlignment="1">
      <x:alignment vertical="center" wrapText="1"/>
    </x:xf>
    <x:xf numFmtId="0" fontId="1" fillId="12" borderId="0" xfId="0" applyAlignment="1">
      <x:alignment vertical="center" wrapText="1"/>
    </x:xf>
    <x:xf numFmtId="0" fontId="4" fillId="12" borderId="0" xfId="0" applyAlignment="1">
      <x:alignment horizontal="center" vertical="center" wrapText="1"/>
    </x:xf>
    <x:xf numFmtId="0" fontId="10" fillId="14" borderId="0" xfId="0" applyAlignment="1">
      <x:alignment vertical="center"/>
    </x:xf>
    <x:xf numFmtId="0" fontId="4" fillId="14" borderId="0" xfId="0" applyAlignment="1">
      <x:alignment horizontal="center" vertical="center"/>
    </x:xf>
    <x:xf numFmtId="0" fontId="13" fillId="14" borderId="0" xfId="0" applyAlignment="1">
      <x:alignment vertical="center"/>
    </x:xf>
    <x:xf numFmtId="0" fontId="13" fillId="14" borderId="0" xfId="0" applyAlignment="1">
      <x:alignment horizontal="center" vertical="center"/>
    </x:xf>
    <x:xf numFmtId="0" fontId="5" fillId="12" borderId="0" xfId="0" applyAlignment="1">
      <x:alignment vertical="center"/>
    </x:xf>
    <x:xf numFmtId="0" fontId="9" fillId="11" borderId="0" xfId="0" applyAlignment="1">
      <x:alignment horizontal="center" vertical="center" wrapText="1"/>
    </x:xf>
    <x:xf numFmtId="0" fontId="8" fillId="11" borderId="0" xfId="0" applyAlignment="1">
      <x:alignment vertical="center" wrapText="1"/>
    </x:xf>
    <x:xf numFmtId="0" fontId="1" fillId="11" borderId="0" xfId="0" applyAlignment="1">
      <x:alignment vertical="center" wrapText="1"/>
    </x:xf>
    <x:xf numFmtId="0" fontId="4" fillId="11" borderId="0" xfId="0" applyAlignment="1">
      <x:alignment horizontal="center" vertical="center" wrapText="1"/>
    </x:xf>
    <x:xf numFmtId="0" fontId="1" fillId="14" borderId="0" xfId="0" applyAlignment="1">
      <x:alignment vertical="center"/>
    </x:xf>
    <x:xf numFmtId="0" fontId="14" fillId="12" borderId="0" xfId="0"/>
    <x:xf numFmtId="0" fontId="14" fillId="12" borderId="0" xfId="0" applyAlignment="1">
      <x:alignment wrapText="1"/>
    </x:xf>
    <x:xf numFmtId="0" fontId="14" fillId="12" borderId="0" xfId="0" applyAlignment="1">
      <x:alignment vertical="center" wrapText="1"/>
    </x:xf>
    <x:xf numFmtId="0" fontId="15" fillId="6" borderId="0" xfId="0" applyAlignment="1">
      <x:alignment horizontal="center" vertical="center" wrapText="1"/>
    </x:xf>
    <x:xf numFmtId="0" fontId="14" fillId="6" borderId="0" xfId="0" applyAlignment="1">
      <x:alignment vertical="center" wrapText="1"/>
    </x:xf>
    <x:xf numFmtId="0" fontId="13" fillId="6" borderId="0" xfId="0" applyAlignment="1">
      <x:alignment vertical="center" wrapText="1"/>
    </x:xf>
    <x:xf numFmtId="0" fontId="13" fillId="6" borderId="0" xfId="0" applyAlignment="1">
      <x:alignment horizontal="center" vertical="center" wrapText="1"/>
    </x:xf>
    <x:xf numFmtId="0" fontId="15" fillId="6" borderId="0" xfId="0" applyNumberFormat="1" applyFont="1" applyFill="1" applyBorder="1" applyAlignment="1">
      <x:alignment horizontal="center" vertical="center" wrapText="1"/>
    </x:xf>
    <x:xf numFmtId="0" fontId="14" fillId="6" borderId="0"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63f369c4db448b2" /><Relationship Type="http://schemas.openxmlformats.org/officeDocument/2006/relationships/theme" Target="/xl/theme/theme1.xml" Id="R6df3a3c2eeec44f0" /><Relationship Type="http://schemas.openxmlformats.org/officeDocument/2006/relationships/sharedStrings" Target="/xl/sharedStrings.xml" Id="R5cb7acd7c4e7425a" /><Relationship Type="http://schemas.openxmlformats.org/officeDocument/2006/relationships/worksheet" Target="/xl/worksheets/sheet1.xml" Id="R0aca771b9b7e4936" /><Relationship Type="http://schemas.openxmlformats.org/officeDocument/2006/relationships/worksheet" Target="/xl/worksheets/sheet2.xml" Id="Rb2ce782d014c4cc0" /><Relationship Type="http://schemas.openxmlformats.org/officeDocument/2006/relationships/worksheet" Target="/xl/worksheets/sheet3.xml" Id="Rb5aac374f1d04105" /><Relationship Type="http://schemas.openxmlformats.org/officeDocument/2006/relationships/worksheet" Target="/xl/worksheets/sheet4.xml" Id="Rb9a564940b9b4b2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3" customHeight="1">
      <x:c r="A1" s="6" t="inlineStr">
        <x:is>
          <x:t xml:space="preserve">HYD 제조 AI  |  통합반 온라인 44H 상세 실라버스</x:t>
        </x:is>
      </x:c>
    </x:row>
    <x:row r="2" s="1" customFormat="1" ht="36" customHeight="1">
      <x:c r="A2" s="8" t="str">
        <x:v>2026-10-26 개편 | 11회×240분 | 온라인 설명·시연 및 Wrap-up 유지 | 시간은 편성값이며 녹화 실측과 구별</x:v>
      </x:c>
      <x:c r="D2" s="10" t="n">
        <x:f>SUM(D13,D24,D34,D43,D53,D64,D75,D85,D96,D106,D118)</x:f>
        <x:v>2640</x:v>
      </x:c>
    </x:row>
    <x:row r="3" s="1" customFormat="1" ht="12" customHeight="1">
      <x:c r="A3" s="3" t="n"/>
      <x:c r="B3" s="3" t="n"/>
      <x:c r="C3" s="3" t="n"/>
      <x:c r="D3" s="3" t="n"/>
    </x:row>
    <x:row r="4" s="1" customFormat="1" ht="36" customHeight="1">
      <x:c r="A4" s="12" t="inlineStr">
        <x:is>
          <x:t xml:space="preserve">01일차  |  설비 데이터가 판단과 조치로 이어지는 전체 흐름 이해하기</x:t>
        </x:is>
      </x:c>
      <x:c r="D4" s="14" t="inlineStr">
        <x:is>
          <x:t xml:space="preserve">4H</x:t>
        </x:is>
      </x:c>
    </x:row>
    <x:row r="5" s="1" customFormat="1" ht="29" customHeight="1">
      <x:c r="A5" s="17" t="inlineStr">
        <x:is>
          <x:t xml:space="preserve">구분</x:t>
        </x:is>
      </x:c>
      <x:c r="B5" s="17" t="inlineStr">
        <x:is>
          <x:t xml:space="preserve">제목</x:t>
        </x:is>
      </x:c>
      <x:c r="C5" s="17" t="inlineStr">
        <x:is>
          <x:t xml:space="preserve">상세 교육 내용</x:t>
        </x:is>
      </x:c>
      <x:c r="D5" s="17" t="inlineStr">
        <x:is>
          <x:t xml:space="preserve">시간</x:t>
        </x:is>
      </x:c>
    </x:row>
    <x:row r="6" s="1" customFormat="1" ht="65" customHeight="1">
      <x:c r="A6" s="22" t="inlineStr">
        <x:is>
          <x:t xml:space="preserve">이론</x:t>
        </x:is>
      </x:c>
      <x:c r="B6" s="23" t="inlineStr">
        <x:is>
          <x:t xml:space="preserve">학습 내용을 지식 자산으로 전환하는 방법 이해하기</x:t>
        </x:is>
      </x:c>
      <x:c r="C6" s="19" t="inlineStr">
        <x:is>
          <x:t xml:space="preserve">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설명한다.</x:t>
        </x:is>
      </x:c>
      <x:c r="D6" s="25" t="n">
        <x:v>10</x:v>
      </x:c>
    </x:row>
    <x:row r="7" s="1" customFormat="1" ht="77.80000305175781" customHeight="1">
      <x:c r="A7" s="30" t="inlineStr">
        <x:is>
          <x:t xml:space="preserve">실습</x:t>
        </x:is>
      </x:c>
      <x:c r="B7" s="31" t="inlineStr">
        <x:is>
          <x:t xml:space="preserve">Notion으로 지식 자산화를 위한 학습노트 만들기</x:t>
        </x:is>
      </x:c>
      <x:c r="C7" s="27" t="str">
        <x:v>Notion에서 학습노트 홈과 주제별 카드·페이지를 구성한다. 샘플 개념·출처·실습 결과를 연결하고 검색·보완·재사용할 수 있도록 저장·재열기를 확인한다. 정해진 별도 자료 DB나 실수노트 분류를 강제하지 않는다.</x:v>
      </x:c>
      <x:c r="D7" s="33" t="n">
        <x:v>50</x:v>
      </x:c>
    </x:row>
    <x:row r="8" s="1" customFormat="1" ht="93.5" customHeight="1">
      <x:c r="A8" s="22" t="inlineStr">
        <x:is>
          <x:t xml:space="preserve">이론</x:t>
        </x:is>
      </x:c>
      <x:c r="B8" s="23" t="inlineStr">
        <x:is>
          <x:t xml:space="preserve">설비 데이터가 판단으로 이어지는 시스템 구조와 데이터 흐름 이해하기</x:t>
        </x:is>
      </x:c>
      <x:c r="C8" s="19" t="inlineStr">
        <x:is>
          <x:t xml:space="preserve">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설명한다.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t>
        </x:is>
      </x:c>
      <x:c r="D8" s="25" t="n">
        <x:v>50</x:v>
      </x:c>
    </x:row>
    <x:row r="9" s="1" customFormat="1" ht="77.80000305175781" customHeight="1">
      <x:c r="A9" s="30" t="inlineStr">
        <x:is>
          <x:t xml:space="preserve">실습</x:t>
        </x:is>
      </x:c>
      <x:c r="B9" s="31" t="inlineStr">
        <x:is>
          <x:t xml:space="preserve">시스템 실행 환경을 구성하고 주요 서비스 동작 확인하기</x:t>
        </x:is>
      </x:c>
      <x:c r="C9" s="27" t="str">
        <x:v>VS Code·GitHub Copilot·Codex·Python·Docker Desktop·Docker Compose 등 교육에서 사용할 주요 도구의 역할과 필요한 버전·설정·접속 조건을 안내한다. 각 도구가 개발·AI 코딩·서비스 실행에서 어떤 역할을 하는지 설명한다. 별도 설치를 진행하지 않고 준비된 환경에서 Docker Compose로 HYD 서비스를 실행한다. 컨테이너 상태와 주요 서비스 접속 여부를 확인한 뒤 HYD 포털에 접속해 시스템이 정상적으로 실행되는 상태를 확인한다.</x:v>
      </x:c>
      <x:c r="D9" s="33" t="n">
        <x:v>30</x:v>
      </x:c>
    </x:row>
    <x:row r="10" s="1" customFormat="1" ht="77.80000305175781" customHeight="1">
      <x:c r="A10" s="30" t="inlineStr">
        <x:is>
          <x:t xml:space="preserve">실습</x:t>
        </x:is>
      </x:c>
      <x:c r="B10" s="23" t="inlineStr">
        <x:is>
          <x:t xml:space="preserve">설비 이상 발생부터 판단·승인·조치까지 전체 과정 경험하기</x:t>
        </x:is>
      </x:c>
      <x:c r="C10" s="19" t="inlineStr">
        <x:is>
          <x:t xml:space="preserve">HYD 포털에서 쿨러 열화 시나리오를 강사가 처음부터 끝까지 시연한다. 설비 이상 발생, 센서 변화와 경보 감지, 원인 분석, 근거에 기반한 조치 추천, 담당자 승인, 시스템 조치, 재관측 및 최종 결과를 순서대로 보여준다. 각 단계에서 어떤 정보가 사용되고 어떤 결과가 다음 단계로 전달되는지 설명한다. 세부 기술과 내부 실행 구조는 이후 학습에서 다루며, 이 시간에는 전체 과정이 실제로 어떤 문제를 해결하는지 이해하는 데 집중한다.</x:t>
        </x:is>
      </x:c>
      <x:c r="D10" s="25" t="n">
        <x:v>20</x:v>
      </x:c>
    </x:row>
    <x:row r="11" s="1" customFormat="1" ht="109.19999694824219" customHeight="1">
      <x:c r="A11" s="22" t="inlineStr">
        <x:is>
          <x:t xml:space="preserve">이론</x:t>
        </x:is>
      </x:c>
      <x:c r="B11" s="31" t="inlineStr">
        <x:is>
          <x:t xml:space="preserve">설비 데이터에 의미와 관계를 부여하는 온톨로지 이해하기</x:t>
        </x:is>
      </x:c>
      <x:c r="C11" s="27" t="inlineStr">
        <x:is>
          <x:t xml:space="preserve">센서에서 온도가 상승했다는 사실만으로는 어느 부품에 문제가 있는지, 가능한 원인이 무엇인지, 어떤 조치를 취해야 하는지 알기 어려운 이유를 설명한다.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설명하고, 단순한 관계 그림이나 그래프 DB 자체가 온톨로지와 동일한 것은 아니라는 점을 구분한다. 이를 통해 이후 원인 탐색과 근거 기반 판단에 온톨로지가 필요한 이유를 이해한다.</x:t>
        </x:is>
      </x:c>
      <x:c r="D11" s="33" t="n">
        <x:v>50</x:v>
      </x:c>
    </x:row>
    <x:row r="12" s="1" customFormat="1" ht="77.80000305175781" customHeight="1">
      <x:c r="A12" s="30" t="inlineStr">
        <x:is>
          <x:t xml:space="preserve">실습</x:t>
        </x:is>
      </x:c>
      <x:c r="B12" s="23" t="inlineStr">
        <x:is>
          <x:t xml:space="preserve">설비 이상과 원인·조치의 관계를 시각화하기</x:t>
        </x:is>
      </x:c>
      <x:c r="C12" s="19" t="inlineStr">
        <x:is>
          <x:t xml:space="preserve">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x:t>
        </x:is>
      </x:c>
      <x:c r="D12" s="25" t="n">
        <x:v>30</x:v>
      </x:c>
    </x:row>
    <x:row r="13" s="1" customFormat="1" ht="32" customHeight="1">
      <x:c r="A13" s="35" t="inlineStr">
        <x:is>
          <x:t xml:space="preserve">일차 합계</x:t>
        </x:is>
      </x:c>
      <x:c r="D13" s="37" t="n">
        <x:f>SUM(D6:D12)</x:f>
        <x:v>240</x:v>
      </x:c>
    </x:row>
    <x:row r="14" s="1" customFormat="1" ht="13.5" customHeight="1">
      <x:c r="A14" s="3" t="n"/>
      <x:c r="B14" s="3" t="n"/>
      <x:c r="C14" s="3" t="n"/>
      <x:c r="D14" s="3" t="n"/>
    </x:row>
    <x:row r="15" s="1" customFormat="1" ht="36" customHeight="1">
      <x:c r="A15" s="12" t="inlineStr">
        <x:is>
          <x:t xml:space="preserve">02일차  |  설비와 데이터의 관계를 체계화해 필요한 정보 찾기</x:t>
        </x:is>
      </x:c>
      <x:c r="D15" s="14" t="inlineStr">
        <x:is>
          <x:t xml:space="preserve">4H</x:t>
        </x:is>
      </x:c>
    </x:row>
    <x:row r="16" s="1" customFormat="1" ht="29" customHeight="1">
      <x:c r="A16" s="17" t="inlineStr">
        <x:is>
          <x:t xml:space="preserve">구분</x:t>
        </x:is>
      </x:c>
      <x:c r="B16" s="17" t="inlineStr">
        <x:is>
          <x:t xml:space="preserve">제목</x:t>
        </x:is>
      </x:c>
      <x:c r="C16" s="17" t="inlineStr">
        <x:is>
          <x:t xml:space="preserve">상세 교육 내용</x:t>
        </x:is>
      </x:c>
      <x:c r="D16" s="17" t="inlineStr">
        <x:is>
          <x:t xml:space="preserve">시간</x:t>
        </x:is>
      </x:c>
    </x:row>
    <x:row r="17" s="1" customFormat="1" ht="93.5" customHeight="1">
      <x:c r="A17" s="22" t="inlineStr">
        <x:is>
          <x:t xml:space="preserve">이론</x:t>
        </x:is>
      </x:c>
      <x:c r="B17" s="31" t="inlineStr">
        <x:is>
          <x:t xml:space="preserve">클래스와 인스턴스를 통해 현장 정보의 구조 이해하기</x:t>
        </x:is>
      </x:c>
      <x:c r="C17" s="27" t="inlineStr">
        <x:is>
          <x:t xml:space="preserve">온톨로지에서 클래스·인스턴스·속성·관계의 정확한 정의와 역할을 학습한다. 클래스가 공통 특성을 가진 대상의 유형을 표현하고, 인스턴스는 그 유형에 속하는 실제 개별 대상을 나타낸다는 점을 설명한다.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t>
        </x:is>
      </x:c>
      <x:c r="D17" s="33" t="n">
        <x:v>50</x:v>
      </x:c>
    </x:row>
    <x:row r="18" s="1" customFormat="1" ht="93.5" customHeight="1">
      <x:c r="A18" s="22" t="inlineStr">
        <x:is>
          <x:t xml:space="preserve">이론</x:t>
        </x:is>
      </x:c>
      <x:c r="B18" s="23" t="inlineStr">
        <x:is>
          <x:t xml:space="preserve">일관된 지식 구조를 만들기 위한 온톨로지 스키마 설계 원리 이해하기</x:t>
        </x:is>
      </x:c>
      <x:c r="C18" s="19" t="inlineStr">
        <x:is>
          <x:t xml:space="preserve">온톨로지 스키마가 클래스·속성·관계·제약을 일관되게 정의하는 구조임을 배운다. 클래스 이름과 의미, 속성명·자료형·필수 여부, 식별자, 관계의 시작·종료 클래스, 카디널리티와 유효한 연결 조건을 설명한다.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설명하고, HYD의 온톨로지 v2에 설비·진단·판단·성과 등의 클래스가 이미 정의되어 있다는 점도 소개한다.</x:t>
        </x:is>
      </x:c>
      <x:c r="D18" s="25" t="n">
        <x:v>40</x:v>
      </x:c>
    </x:row>
    <x:row r="19" s="1" customFormat="1" ht="77.80000305175781" customHeight="1">
      <x:c r="A19" s="22" t="inlineStr">
        <x:is>
          <x:t xml:space="preserve">이론</x:t>
        </x:is>
      </x:c>
      <x:c r="B19" s="31" t="inlineStr">
        <x:is>
          <x:t xml:space="preserve">그래프 DB를 활용해 연결된 지식을 저장하고 조회하는 방법 이해하기</x:t>
        </x:is>
      </x:c>
      <x:c r="C19" s="27" t="inlineStr">
        <x:is>
          <x:t xml:space="preserve">그래프 DB의 기본 개념과 노드·관계·속성 구조를 학습하고 관계형 DB의 테이블·행·조인과 비교한다. 온톨로지 스키마와 Neo4j의 레이블·관계 유형·DB 제약 조건을 구분한다. Neo4j Browser의 역할을 소개하고 Cypher에서 노드와 관계를 표현하는 문법을 설명한다. MATCH·WHERE·RETURN을 통한 조회, CREATE를 통한 생성, MERGE를 통한 기존 대상 조회 또는 생성을 예제로 학습한다.</x:t>
        </x:is>
      </x:c>
      <x:c r="D19" s="33" t="n">
        <x:v>25</x:v>
      </x:c>
    </x:row>
    <x:row r="20" s="1" customFormat="1" ht="65" customHeight="1">
      <x:c r="A20" s="30" t="inlineStr">
        <x:is>
          <x:t xml:space="preserve">실습</x:t>
        </x:is>
      </x:c>
      <x:c r="B20" s="23" t="inlineStr">
        <x:is>
          <x:t xml:space="preserve">그래프 DB에서 관계를 따라 필요한 정보 조회하기</x:t>
        </x:is>
      </x:c>
      <x:c r="C20" s="19" t="str">
        <x:v>Neo4j Browser의 제공 예제에서 레이블·속성·관계 방향을 확인한다. 설비의 구성 요소·센서·물리량·교체 부품을 MATCH·WHERE·RETURN으로 조회하고 한 단계·여러 단계 결과 및 집계의 원래 행을 대조한다. 예제 DB와 포털 기준 DB를 구별한다.</x:v>
      </x:c>
      <x:c r="D20" s="25" t="n">
        <x:v>25</x:v>
      </x:c>
    </x:row>
    <x:row r="21" s="1" customFormat="1" ht="65" customHeight="1">
      <x:c r="A21" s="30" t="inlineStr">
        <x:is>
          <x:t xml:space="preserve">실습</x:t>
        </x:is>
      </x:c>
      <x:c r="B21" s="31" t="inlineStr">
        <x:is>
          <x:t xml:space="preserve">설비 지식의 구조와 연결 관계 탐색하기</x:t>
        </x:is>
      </x:c>
      <x:c r="C21" s="27" t="inlineStr">
        <x:is>
          <x:t xml:space="preserve">HYD 포털의 지식 지도에서 설비를 선택해 구성요소·센서 등의 연결 관계를 탐색한다. 노드의 종류와 속성, 관계 방향을 확인하고 앞서 배운 클래스·인스턴스·스키마가 실제 시스템에서 어떻게 활용되는지 살펴본다. 랩 전용 그래프와 HYD의 기준 지식 지도가 서로 다른 환경이라는 점도 이해한다.</x:t>
        </x:is>
      </x:c>
      <x:c r="D21" s="33" t="n">
        <x:v>20</x:v>
      </x:c>
    </x:row>
    <x:row r="22" s="1" customFormat="1" ht="77.80000305175781" customHeight="1">
      <x:c r="A22" s="30" t="inlineStr">
        <x:is>
          <x:t xml:space="preserve">실습</x:t>
        </x:is>
      </x:c>
      <x:c r="B22" s="23" t="inlineStr">
        <x:is>
          <x:t xml:space="preserve">현장 정보를 체계화하는 온톨로지 직접 설계하기</x:t>
        </x:is>
      </x:c>
      <x:c r="C22" s="19" t="str">
        <x:v>VS Code에서 GitHub Copilot·Codex를 활용해 제공된 랩 전용 설비·센서·부품 자료를 분석한다. 어떤 질문에 답할 수 있는 지식 구조가 필요한지 정한 뒤, 대상별 클래스와 예시 인스턴스를 구분한다. 클래스별 속성·자료형·식별자·필수값, 클래스 사이의 관계 유형·방향·연결 제약을 정의한다. 이를 바탕으로 온톨로지 스키마 파일과 예시 인스턴스 데이터를 작성하고 생성 결과가 원래 자료의 의미와 일치하는지 확인한다.</x:v>
      </x:c>
      <x:c r="D22" s="25" t="n">
        <x:v>40</x:v>
      </x:c>
    </x:row>
    <x:row r="23" s="1" customFormat="1" ht="65" customHeight="1">
      <x:c r="A23" s="30" t="inlineStr">
        <x:is>
          <x:t xml:space="preserve">실습</x:t>
        </x:is>
      </x:c>
      <x:c r="B23" s="31" t="str">
        <x:v>설계한 온톨로지를 그래프 DB에 구현하고 검증하기</x:v>
      </x:c>
      <x:c r="C23" s="27" t="str">
        <x:v>앞 실습의 스키마·인스턴스·요구사항·원자료 검토 기록을 이어 쓴다. VS Code의 GitHub Copilot·Codex로 Cypher를 작성하고 별도 랩 DB에 적재한다. 식별자·관계 끝점·방향과 원자료 질문의 답, 반복 적재 시 중복 여부를 확인한다. 오류가 있으면 근거에 따라 수정하고 질의·결과를 저장한다.</x:v>
      </x:c>
      <x:c r="D23" s="33" t="n">
        <x:v>40</x:v>
      </x:c>
    </x:row>
    <x:row r="24" s="1" customFormat="1" ht="32" customHeight="1">
      <x:c r="A24" s="35" t="inlineStr">
        <x:is>
          <x:t xml:space="preserve">일차 합계</x:t>
        </x:is>
      </x:c>
      <x:c r="D24" s="37" t="n">
        <x:f>SUM(D17:D23)</x:f>
        <x:v>240</x:v>
      </x:c>
    </x:row>
    <x:row r="25" s="1" customFormat="1" ht="13.5" customHeight="1">
      <x:c r="A25" s="3" t="n"/>
      <x:c r="B25" s="3" t="n"/>
      <x:c r="C25" s="3" t="n"/>
      <x:c r="D25" s="3" t="n"/>
    </x:row>
    <x:row r="26" s="1" customFormat="1" ht="36" customHeight="1">
      <x:c r="A26" s="12" t="inlineStr">
        <x:is>
          <x:t xml:space="preserve">03일차  |  설비 상황에 맞는 안전하고 효과적인 조치 선택하기</x:t>
        </x:is>
      </x:c>
      <x:c r="D26" s="14" t="inlineStr">
        <x:is>
          <x:t xml:space="preserve">4H</x:t>
        </x:is>
      </x:c>
    </x:row>
    <x:row r="27" s="1" customFormat="1" ht="29" customHeight="1">
      <x:c r="A27" s="17" t="inlineStr">
        <x:is>
          <x:t xml:space="preserve">구분</x:t>
        </x:is>
      </x:c>
      <x:c r="B27" s="17" t="inlineStr">
        <x:is>
          <x:t xml:space="preserve">제목</x:t>
        </x:is>
      </x:c>
      <x:c r="C27" s="17" t="inlineStr">
        <x:is>
          <x:t xml:space="preserve">상세 교육 내용</x:t>
        </x:is>
      </x:c>
      <x:c r="D27" s="17" t="inlineStr">
        <x:is>
          <x:t xml:space="preserve">시간</x:t>
        </x:is>
      </x:c>
    </x:row>
    <x:row r="28" s="1" customFormat="1" ht="93.5" customHeight="1">
      <x:c r="A28" s="22" t="inlineStr">
        <x:is>
          <x:t xml:space="preserve">이론</x:t>
        </x:is>
      </x:c>
      <x:c r="B28" s="23" t="inlineStr">
        <x:is>
          <x:t xml:space="preserve">설비 상태에 맞는 안전한 조치 절차와 수행 기준 이해하기</x:t>
        </x:is>
      </x:c>
      <x:c r="C28" s="19" t="inlineStr">
        <x:is>
          <x:t xml:space="preserve">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설명한다.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t>
        </x:is>
      </x:c>
      <x:c r="D28" s="25" t="n">
        <x:v>35</x:v>
      </x:c>
    </x:row>
    <x:row r="29" s="1" customFormat="1" ht="109.19999694824219" customHeight="1">
      <x:c r="A29" s="22" t="inlineStr">
        <x:is>
          <x:t xml:space="preserve">이론</x:t>
        </x:is>
      </x:c>
      <x:c r="B29" s="31" t="inlineStr">
        <x:is>
          <x:t xml:space="preserve">업무 조건에 따라 적절한 조치를 선택하는 판단 규칙 이해하기</x:t>
        </x:is>
      </x:c>
      <x:c r="C29" s="27" t="inlineStr">
        <x:is>
          <x:t xml:space="preserve">DMN(Decision Model and Notation)이 업무 의사결정을 명확하게 정의하기 위한 표준이라는 점을 배우고, SOP와 DMN의 차이를 설명한다. 판단에 필요한 입력 데이터(InputData), 결정(Decision), 결정표(DecisionTable), 규칙(Rule), 조건과 출력의 관계를 학습한다. 비교 연산자·임계값·범위·복수 조건을 이용해 결정표를 구성하는 원리를 설명한다.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t>
        </x:is>
      </x:c>
      <x:c r="D29" s="33" t="n">
        <x:v>40</x:v>
      </x:c>
    </x:row>
    <x:row r="30" s="1" customFormat="1" ht="93.5" customHeight="1">
      <x:c r="A30" s="22" t="inlineStr">
        <x:is>
          <x:t xml:space="preserve">이론</x:t>
        </x:is>
      </x:c>
      <x:c r="B30" s="23" t="inlineStr">
        <x:is>
          <x:t xml:space="preserve">조치의 효과를 여러 성과 관점에서 평가하는 방법 이해하기</x:t>
        </x:is>
      </x:c>
      <x:c r="C30" s="19" t="inlineStr">
        <x:is>
          <x:t xml:space="preserve">BSC(Balanced Scorecard)의 목적과 재무·고객·내부 프로세스·학습과 성장이라는 네 관점을 배운다. 전략 목표와 KPI(Key Performance Indicator)의 차이, 지표의 정의·단위·목표값·측정 주기·실제값·목표 대비 차이를 설명한다.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설명한다.</x:t>
        </x:is>
      </x:c>
      <x:c r="D30" s="25" t="n">
        <x:v>35</x:v>
      </x:c>
    </x:row>
    <x:row r="31" s="1" customFormat="1" ht="93.5" customHeight="1">
      <x:c r="A31" s="30" t="inlineStr">
        <x:is>
          <x:t xml:space="preserve">실습</x:t>
        </x:is>
      </x:c>
      <x:c r="B31" s="31" t="inlineStr">
        <x:is>
          <x:t xml:space="preserve">운전 조건과 성과 기준에 따른 조치 결과 비교하기</x:t>
        </x:is>
      </x:c>
      <x:c r="C31" s="27" t="inlineStr">
        <x:is>
          <x:t xml:space="preserve">HYD 포털의 조치 판단 규칙·손익/What-if·성과 지표 기능을 활용한다. 특정 설비와 이상 상황을 선택하고 판단에 사용되는 입력값·규칙·조치 후보를 확인한다. 운전 조건과 시험값을 변경해 어떤 규칙이 적용되며 어떤 조치가 허용·제외되는지 비교한다. 허용된 조치의 예상 손익과 판단 순위를 살펴보고, 성과 관점의 중요도나 KPI 목표를 변경했을 때 결과가 어떻게 달라지는지 확인한다. 해당 판단의 근거와 계산에 사용된 출처를 확인하며 시험값 변경이 원본 업무 데이터나 지식을 수정하는 것이 아니라는 점을 이해한다.</x:t>
        </x:is>
      </x:c>
      <x:c r="D31" s="33" t="n">
        <x:v>35</x:v>
      </x:c>
    </x:row>
    <x:row r="32" s="1" customFormat="1" ht="77.80000305175781" customHeight="1">
      <x:c r="A32" s="30" t="inlineStr">
        <x:is>
          <x:t xml:space="preserve">실습</x:t>
        </x:is>
      </x:c>
      <x:c r="B32" s="23" t="inlineStr">
        <x:is>
          <x:t xml:space="preserve">작업 절차와 판단 조건을 연결해 조치 기준 만들기</x:t>
        </x:is>
      </x:c>
      <x:c r="C32" s="19" t="str">
        <x:v>VS Code에서 GitHub Copilot·Codex를 활용해 이미 작업 조건이 정리된 랩 전용 SOP 자료를 사용한다. 2일차에 만든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s="1" customFormat="1" ht="77.80000305175781" customHeight="1">
      <x:c r="A33" s="30" t="inlineStr">
        <x:is>
          <x:t xml:space="preserve">실습</x:t>
        </x:is>
      </x:c>
      <x:c r="B33" s="31" t="inlineStr">
        <x:is>
          <x:t xml:space="preserve">설비 조건별 최적의 조치를 비교하는 판단 기능 만들기</x:t>
        </x:is>
      </x:c>
      <x:c r="C33" s="27" t="str">
        <x:v>VS Code에서 앞서 작성한 결정표를 활용해 GitHub Copilot·Codex로 간단한 조치 판정 기능을 제작한다. 설비 상태·운전 조건·금지 조건 등 입력값에 따라 가능한 조치와 제외해야 하는 조치를 구분하도록 구현한다. 제공된 효과·비용·성과 지표 값을 이용해 허용된 조치 후보를 비교하고 선택 이유를 표시한다. 정상 조건·경계값·복수 규칙 일치·조치 불가 상황을 실행해 결과를 확인하고, 조건을 변경했을 때 판단이 어떻게 달라지는지 살펴본다.</x:v>
      </x:c>
      <x:c r="D33" s="33" t="n">
        <x:v>50</x:v>
      </x:c>
    </x:row>
    <x:row r="34" s="1" customFormat="1" ht="32" customHeight="1">
      <x:c r="A34" s="35" t="inlineStr">
        <x:is>
          <x:t xml:space="preserve">일차 합계</x:t>
        </x:is>
      </x:c>
      <x:c r="D34" s="37" t="n">
        <x:f>SUM(D28:D33)</x:f>
        <x:v>240</x:v>
      </x:c>
    </x:row>
    <x:row r="35" s="1" customFormat="1" ht="13.5" customHeight="1">
      <x:c r="A35" s="3" t="n"/>
      <x:c r="B35" s="3" t="n"/>
      <x:c r="C35" s="3" t="n"/>
      <x:c r="D35" s="3" t="n"/>
    </x:row>
    <x:row r="36" s="1" customFormat="1" ht="36" customHeight="1">
      <x:c r="A36" s="12" t="inlineStr">
        <x:is>
          <x:t xml:space="preserve">04일차  |  현장 자료를 검증해 신뢰할 수 있는 판단 근거 만들기</x:t>
        </x:is>
      </x:c>
      <x:c r="D36" s="14" t="inlineStr">
        <x:is>
          <x:t xml:space="preserve">4H</x:t>
        </x:is>
      </x:c>
    </x:row>
    <x:row r="37" s="1" customFormat="1" ht="29" customHeight="1">
      <x:c r="A37" s="17" t="inlineStr">
        <x:is>
          <x:t xml:space="preserve">구분</x:t>
        </x:is>
      </x:c>
      <x:c r="B37" s="17" t="inlineStr">
        <x:is>
          <x:t xml:space="preserve">제목</x:t>
        </x:is>
      </x:c>
      <x:c r="C37" s="17" t="inlineStr">
        <x:is>
          <x:t xml:space="preserve">상세 교육 내용</x:t>
        </x:is>
      </x:c>
      <x:c r="D37" s="17" t="inlineStr">
        <x:is>
          <x:t xml:space="preserve">시간</x:t>
        </x:is>
      </x:c>
    </x:row>
    <x:row r="38" s="1" customFormat="1" ht="145" customHeight="1">
      <x:c r="A38" s="22" t="inlineStr">
        <x:is>
          <x:t xml:space="preserve">이론</x:t>
        </x:is>
      </x:c>
      <x:c r="B38" s="23" t="inlineStr">
        <x:is>
          <x:t xml:space="preserve">현장 자료를 온톨로지 지식으로 전환하는 과정 이해하기</x:t>
        </x:is>
      </x:c>
      <x:c r="C38" s="19" t="inlineStr">
        <x:is>
          <x:t xml:space="preserve">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설명한다. LLM의 문서 이해 및 구조화 출력 원리를 소개하고,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설명한다.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설명한다.</x:t>
        </x:is>
      </x:c>
      <x:c r="D38" s="25" t="n">
        <x:v>40</x:v>
      </x:c>
    </x:row>
    <x:row r="39" s="1" customFormat="1" ht="109.19999694824219" customHeight="1">
      <x:c r="A39" s="30" t="inlineStr">
        <x:is>
          <x:t xml:space="preserve">실습</x:t>
        </x:is>
      </x:c>
      <x:c r="B39" s="31" t="inlineStr">
        <x:is>
          <x:t xml:space="preserve">현장 매뉴얼에서 판단 근거를 추출하고 검증된 지식으로 등록하기</x:t>
        </x:is>
      </x:c>
      <x:c r="C39" s="27" t="inlineStr">
        <x:is>
          <x:t xml:space="preserve">HYD 포털의 지식 관리에서 제공된 설비 정비 매뉴얼을 등록하고, 원문 보관과 추출 작업 요청부터 진행한다. 추출된 작업 절차·고장 유형·원인·조치 방법·수행 조건·규칙과 원문 구간을 검토한다. 특히 부정 조건·단위·작업 단계 순서·대상 설비를 원문과 비교하여 누락되거나 잘못 해석된 항목을 수정·제외한다. 검토를 통과한 후보가 기존 온톨로지의 어떤 클래스·인스턴스·관계에 연결되는지 확인한 뒤 승인하여 그래프 DB에 등록한다. 지식 지도에서 등록된 조치·원인·근거 문서의 관계를 확인하고, 데이터 연결 화면에서는 정적인 판단 기준과 실제 업무 DB·시계열 DB에서 조회되는 현재값의 차이를 살펴본다.</x:t>
        </x:is>
      </x:c>
      <x:c r="D39" s="33" t="n">
        <x:v>70</x:v>
      </x:c>
    </x:row>
    <x:row r="40" s="1" customFormat="1" ht="93.5" customHeight="1">
      <x:c r="A40" s="30" t="inlineStr">
        <x:is>
          <x:t xml:space="preserve">실습</x:t>
        </x:is>
      </x:c>
      <x:c r="B40" s="23" t="inlineStr">
        <x:is>
          <x:t xml:space="preserve">다양한 현장 문서에서 필요한 지식 자동 추출하기</x:t>
        </x:is>
      </x:c>
      <x:c r="C40" s="19" t="str">
        <x:v>VS Code에서 GitHub Copilot·Codex를 활용해 랩 전용 기술 매뉴얼과 작업 절차 자료를 분석한다. 문서에 포함된 표·절차 번호·예외 조건·수치·부품 정보·개정 사항을 확인하고, 기존 온톨로지 스키마에 필요한 증상·원인·조치·수행 조건·원문 출처를 구조화하도록 지시한다. 추출 결과에 문서 ID·페이지 또는 구간·원문 인용·지식 후보별 속성값이 포함되도록 구현한다. 원문과 결과를 대조하면서 빠진 조건이나 부정확한 추출을 수정하고, 이후 적재에 활용할 검토용 구조화 데이터를 완성한다.</x:v>
      </x:c>
      <x:c r="D40" s="25" t="n">
        <x:v>50</x:v>
      </x:c>
    </x:row>
    <x:row r="41" s="1" customFormat="1" ht="77.80000305175781" customHeight="1">
      <x:c r="A41" s="30" t="inlineStr">
        <x:is>
          <x:t xml:space="preserve">실습</x:t>
        </x:is>
      </x:c>
      <x:c r="B41" s="31" t="inlineStr">
        <x:is>
          <x:t xml:space="preserve">검토한 문서 지식을 그래프 DB에 반영하고 관계 확인하기</x:t>
        </x:is>
      </x:c>
      <x:c r="C41" s="27" t="str">
        <x:v>VS Code에서 앞서 추출한 지식 후보를 원문과 대조해 채택·수정·제외한다. 2일차에 만든 모델과 3일차에 학습한 조치·규칙의 구조를 재사용하여 후보를 해당 클래스·인스턴스·관계에 매핑한다. GitHub Copilot·Codex로 기존 식별자를 활용한 그래프 DB 적재 코드를 구현하고, 검토한 항목만 랩 전용 그래프 DB에 반영한다. 이후 고장 유형에서 원인·조치·판단 규칙·원문 출처로 이어지는 관계를 조회하고, 문서에서 추출한 지식이 앞서 만든 그래프에 보강된 결과를 확인한다.</x:v>
      </x:c>
      <x:c r="D41" s="33" t="n">
        <x:v>50</x:v>
      </x:c>
    </x:row>
    <x:row r="42" s="1" customFormat="1" ht="77.80000305175781" customHeight="1">
      <x:c r="A42" s="22" t="inlineStr">
        <x:is>
          <x:t xml:space="preserve">이론</x:t>
        </x:is>
      </x:c>
      <x:c r="B42" s="23" t="inlineStr">
        <x:is>
          <x:t xml:space="preserve">온톨로지 설계부터 지식 활용까지의 전체 과정 정리하기</x:t>
        </x:is>
      </x:c>
      <x:c r="C42" s="19" t="inlineStr">
        <x:is>
          <x:t xml:space="preserve">1일차 온톨로지의 필요성에서 시작해 2일차 클래스·인스턴스·속성·관계·스키마와 그래프 DB, 3일차 SOP·DMN·BSC/KPI의 조치·판단·성과 체계, 4일차 원천 자료 추출·검토·인제스천·출처 관리를 하나의 흐름으로 복습한다. 각 단계의 입력과 결과물, 지식 구조와 실제 데이터의 차이, 판단 규칙과 근거 문서의 관계를 되짚는다. 이렇게 구축된 지식과 규칙이 이후 에이전트의 업무 판단과 도구 활용에 어떤 역할을 하는지 연결해 설명한다. 새로운 실습은 진행하지 않는다.</x:t>
        </x:is>
      </x:c>
      <x:c r="D42" s="25" t="n">
        <x:v>30</x:v>
      </x:c>
    </x:row>
    <x:row r="43" s="1" customFormat="1" ht="32" customHeight="1">
      <x:c r="A43" s="35" t="inlineStr">
        <x:is>
          <x:t xml:space="preserve">일차 합계</x:t>
        </x:is>
      </x:c>
      <x:c r="D43" s="37" t="n">
        <x:f>SUM(D38:D42)</x:f>
        <x:v>240</x:v>
      </x:c>
    </x:row>
    <x:row r="44"/>
    <x:row r="45" s="1" customFormat="1" ht="39" customHeight="1">
      <x:c r="A45" s="43" t="inlineStr">
        <x:is>
          <x:t xml:space="preserve">05일차  |  현장 지식을 활용해 실제 문제를 해결하는 AI 에이전트 만들기</x:t>
        </x:is>
      </x:c>
      <x:c r="D45" s="44" t="inlineStr">
        <x:is>
          <x:t xml:space="preserve">4H</x:t>
        </x:is>
      </x:c>
    </x:row>
    <x:row r="46" s="1" customFormat="1" ht="29" customHeight="1">
      <x:c r="A46" s="49" t="inlineStr">
        <x:is>
          <x:t xml:space="preserve">구분</x:t>
        </x:is>
      </x:c>
      <x:c r="B46" s="49" t="inlineStr">
        <x:is>
          <x:t xml:space="preserve">제목</x:t>
        </x:is>
      </x:c>
      <x:c r="C46" s="49" t="inlineStr">
        <x:is>
          <x:t xml:space="preserve">상세 교육 내용</x:t>
        </x:is>
      </x:c>
      <x:c r="D46" s="49" t="inlineStr">
        <x:is>
          <x:t xml:space="preserve">시간(분)</x:t>
        </x:is>
      </x:c>
    </x:row>
    <x:row r="47" s="1" customFormat="1" ht="69" customHeight="1">
      <x:c r="A47" s="56" t="inlineStr">
        <x:is>
          <x:t xml:space="preserve">이론</x:t>
        </x:is>
      </x:c>
      <x:c r="B47" s="55" t="inlineStr">
        <x:is>
          <x:t xml:space="preserve">질문하는 AI와 일하는 AI의 차이 이해하기</x:t>
        </x:is>
      </x:c>
      <x:c r="C47" s="53" t="inlineStr">
        <x:is>
          <x:t xml:space="preserve">LLM의 응답 생성, RAG의 근거 검색, Agent의 목표 지향 작업 수행을 구분한다. 요청 해석→계획→도구 선택·호출→결과 관찰→필요 시 재시도→종료의 실행 고리를 설명하고, 단순 답변과 점검·요청 등 업무 산출물 생성의 차이를 쿨러 사례로 연결한다.</x:t>
        </x:is>
      </x:c>
      <x:c r="D47" s="54" t="n">
        <x:v>40</x:v>
      </x:c>
    </x:row>
    <x:row r="48" s="1" customFormat="1" ht="69" customHeight="1">
      <x:c r="A48" s="63" t="inlineStr">
        <x:is>
          <x:t xml:space="preserve">이론</x:t>
        </x:is>
      </x:c>
      <x:c r="B48" s="62" t="inlineStr">
        <x:is>
          <x:t xml:space="preserve">에이전트가 다양한 정보와 도구를 사용하는 원리 이해하기</x:t>
        </x:is>
      </x:c>
      <x:c r="C48" s="60" t="inlineStr">
        <x:is>
          <x:t xml:space="preserve">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설명한다.</x:t>
        </x:is>
      </x:c>
      <x:c r="D48" s="61" t="n">
        <x:v>40</x:v>
      </x:c>
    </x:row>
    <x:row r="49" s="1" customFormat="1" ht="69" customHeight="1">
      <x:c r="A49" s="64" t="inlineStr">
        <x:is>
          <x:t xml:space="preserve">실습</x:t>
        </x:is>
      </x:c>
      <x:c r="B49" s="55" t="inlineStr">
        <x:is>
          <x:t xml:space="preserve">나의 첫 업무 에이전트 직접 구성하기</x:t>
        </x:is>
      </x:c>
      <x:c r="C49" s="53" t="inlineStr">
        <x:is>
          <x:t xml:space="preserve">HYD 포털의 에이전트 화면에서 학생용 에이전트 이름·목표·역할·사용 도구를 설정하고 직접 질문한다. 답변의 근거와 호출 기록을 확인하고, 기준 에이전트와 자신이 설정한 역할이 다른 부분을 확인한다. 준비된 학생 계정과 사용 가능한 읽기 도구를 전제로 한다.</x:t>
        </x:is>
      </x:c>
      <x:c r="D49" s="54" t="n">
        <x:v>30</x:v>
      </x:c>
    </x:row>
    <x:row r="50" s="1" customFormat="1" ht="69" customHeight="1">
      <x:c r="A50" s="65" t="inlineStr">
        <x:is>
          <x:t xml:space="preserve">실습</x:t>
        </x:is>
      </x:c>
      <x:c r="B50" s="62" t="inlineStr">
        <x:is>
          <x:t xml:space="preserve">설비 이상 원인을 추론하고 다음 점검 작업 결정하기</x:t>
        </x:is>
      </x:c>
      <x:c r="C50" s="60" t="str">
        <x:v>VS Code·GitHub Copilot·Codex에서 공용 HYD 온톨로지의 설비→센서→고장 유형→SOP 관계와 제공 센서 입력을 읽어 후보 원인·증거·다음 점검 순서를 산출하는 에이전트를 구성한다. 확인되지 않은 원인은 가설로 표시하고, 생성한 점검 계획과 사용 근거를 저장한다. 단순 Cypher 질의 실습을 반복하지 않는다.</x:v>
      </x:c>
      <x:c r="D50" s="61" t="n">
        <x:v>45</x:v>
      </x:c>
    </x:row>
    <x:row r="51" s="1" customFormat="1" ht="69" customHeight="1">
      <x:c r="A51" s="64" t="inlineStr">
        <x:is>
          <x:t xml:space="preserve">실습</x:t>
        </x:is>
      </x:c>
      <x:c r="B51" s="55" t="inlineStr">
        <x:is>
          <x:t xml:space="preserve">품질 불량 접수를 후속 업무로 연결하기</x:t>
        </x:is>
      </x:c>
      <x:c r="C51" s="53" t="inlineStr">
        <x:is>
          <x:t xml:space="preserve">별도 제공된 불량 접수 메시지와 분류 기준을 사용해 품질 유형·추가 확인 항목·담당 부서·대응 초안을 출력하는 작은 에이전트를 구현한다. 불량 원인 미확정 시 단정하지 않고 조사 요청으로 넘기는 분기를 두고, 결과를 구조화된 품질 대응 카드로 저장한다.</x:t>
        </x:is>
      </x:c>
      <x:c r="D51" s="54" t="n">
        <x:v>45</x:v>
      </x:c>
    </x:row>
    <x:row r="52" s="1" customFormat="1" ht="60" customHeight="1">
      <x:c r="A52" s="65" t="inlineStr">
        <x:is>
          <x:t xml:space="preserve">실습</x:t>
        </x:is>
      </x:c>
      <x:c r="B52" s="62" t="inlineStr">
        <x:is>
          <x:t xml:space="preserve">여러 센서에서 이상 징후를 찾아 시각화하기</x:t>
        </x:is>
      </x:c>
      <x:c r="C52" s="60" t="inlineStr">
        <x:is>
          <x:t xml:space="preserve">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x:t>
        </x:is>
      </x:c>
      <x:c r="D52" s="61" t="n">
        <x:v>40</x:v>
      </x:c>
    </x:row>
    <x:row r="53" s="1" customFormat="1" ht="29" customHeight="1">
      <x:c r="A53" s="66" t="inlineStr">
        <x:is>
          <x:t xml:space="preserve">일차 합계</x:t>
        </x:is>
      </x:c>
      <x:c r="D53" s="49" t="n">
        <x:f>SUM(D47:D52)</x:f>
        <x:v>240</x:v>
      </x:c>
    </x:row>
    <x:row r="54"/>
    <x:row r="55" s="1" customFormat="1" ht="39" customHeight="1">
      <x:c r="A55" s="43" t="inlineStr">
        <x:is>
          <x:t xml:space="preserve">06일차  |  업무 능력을 재사용하고 여러 외부 시스템을 연결하기</x:t>
        </x:is>
      </x:c>
      <x:c r="D55" s="44" t="inlineStr">
        <x:is>
          <x:t xml:space="preserve">4H</x:t>
        </x:is>
      </x:c>
    </x:row>
    <x:row r="56" s="1" customFormat="1" ht="29" customHeight="1">
      <x:c r="A56" s="49" t="inlineStr">
        <x:is>
          <x:t xml:space="preserve">구분</x:t>
        </x:is>
      </x:c>
      <x:c r="B56" s="49" t="inlineStr">
        <x:is>
          <x:t xml:space="preserve">제목</x:t>
        </x:is>
      </x:c>
      <x:c r="C56" s="49" t="inlineStr">
        <x:is>
          <x:t xml:space="preserve">상세 교육 내용</x:t>
        </x:is>
      </x:c>
      <x:c r="D56" s="49" t="inlineStr">
        <x:is>
          <x:t xml:space="preserve">시간(분)</x:t>
        </x:is>
      </x:c>
    </x:row>
    <x:row r="57" s="1" customFormat="1" ht="60" customHeight="1">
      <x:c r="A57" s="56" t="inlineStr">
        <x:is>
          <x:t xml:space="preserve">이론</x:t>
        </x:is>
      </x:c>
      <x:c r="B57" s="55" t="inlineStr">
        <x:is>
          <x:t xml:space="preserve">업무 수행 방법을 재사용 가능한 능력으로 만들기</x:t>
        </x:is>
      </x:c>
      <x:c r="C57" s="53" t="inlineStr">
        <x:is>
          <x:t xml:space="preserve">Agent Skill의 목적, SKILL.md의 작업 목적·호출 조건·입력·출력·순서·예외 지침, SOP의 현장 작업 절차와 에이전트 실행 지침의 차이를 설명한다. 재사용 지침과 한번의 프롬프트를 구분한다.</x:t>
        </x:is>
      </x:c>
      <x:c r="D57" s="54" t="n">
        <x:v>35</x:v>
      </x:c>
    </x:row>
    <x:row r="58" s="1" customFormat="1" ht="60" customHeight="1">
      <x:c r="A58" s="63" t="inlineStr">
        <x:is>
          <x:t xml:space="preserve">이론</x:t>
        </x:is>
      </x:c>
      <x:c r="B58" s="62" t="inlineStr">
        <x:is>
          <x:t xml:space="preserve">AI가 여러 시스템의 기능을 사용하는 원리 이해하기</x:t>
        </x:is>
      </x:c>
      <x:c r="C58" s="60" t="inlineStr">
        <x:is>
          <x:t xml:space="preserve">MCP의 Host·Client·Server·Tool 구성, 도구 목록 발견, 입력 스키마와 응답, stdio·HTTP 연결 방식을 설명한다. Skill은 수행 방법, MCP는 연결된 실행 도구라는 역할을 명확히 구분한다.</x:t>
        </x:is>
      </x:c>
      <x:c r="D58" s="61" t="n">
        <x:v>30</x:v>
      </x:c>
    </x:row>
    <x:row r="59" s="1" customFormat="1" ht="60" customHeight="1">
      <x:c r="A59" s="56" t="inlineStr">
        <x:is>
          <x:t xml:space="preserve">이론</x:t>
        </x:is>
      </x:c>
      <x:c r="B59" s="55" t="inlineStr">
        <x:is>
          <x:t xml:space="preserve">여러 도구를 연결할 때 지켜야 할 안전 기준 이해하기</x:t>
        </x:is>
      </x:c>
      <x:c r="C59" s="53" t="inlineStr">
        <x:is>
          <x:t xml:space="preserve">도구별 읽기/쓰기 권한, 파일 접근 범위, 인증 비밀값, 외부 응답의 불완전성, 실패·타임아웃과 근거 표시를 설명한다. HYD 포털의 학생 등록 도구는 연결 검사 후 읽기 전용 선택 제한이 있음을 실제 제약으로 안내한다.</x:t>
        </x:is>
      </x:c>
      <x:c r="D59" s="54" t="n">
        <x:v>20</x:v>
      </x:c>
    </x:row>
    <x:row r="60" s="1" customFormat="1" ht="69" customHeight="1">
      <x:c r="A60" s="65" t="inlineStr">
        <x:is>
          <x:t xml:space="preserve">실습</x:t>
        </x:is>
      </x:c>
      <x:c r="B60" s="62" t="inlineStr">
        <x:is>
          <x:t xml:space="preserve">HYD 업무 도구를 직접 연결하고 호출하기</x:t>
        </x:is>
      </x:c>
      <x:c r="C60" s="60" t="inlineStr">
        <x:is>
          <x:t xml:space="preserve">포털의 도구(MCP) 메뉴에서 사전 준비된 업무 DB/판단 도구 서버의 등록 상태를 확인하고, 수강생 등록 서버는 연결 검사 후 읽기 도구를 시험한다. 도구 이름·입력 값·반환된 행·호출 기록을 확인하고 기존 에이전트에 연결한다.</x:t>
        </x:is>
      </x:c>
      <x:c r="D60" s="61" t="n">
        <x:v>20</x:v>
      </x:c>
    </x:row>
    <x:row r="61" s="1" customFormat="1" ht="69" customHeight="1">
      <x:c r="A61" s="64" t="inlineStr">
        <x:is>
          <x:t xml:space="preserve">실습</x:t>
        </x:is>
      </x:c>
      <x:c r="B61" s="55" t="inlineStr">
        <x:is>
          <x:t xml:space="preserve">서로 다른 MCP를 연결하고 조합해 사용하기</x:t>
        </x:is>
      </x:c>
      <x:c r="C61" s="53" t="str">
        <x:v>VS Code·GitHub Copilot·Codex에서 사전 준비된 파일시스템·Git·시간 MCP 서버 3종 이상의 실행·접근 권한을 각각 설정하고 도구 목록과 호출 결과를 비교한다. 파일 읽기→Git 변경 기록 확인→시간 정보 확인을 하나의 요청에 조합한다. HYD 포털과 로컬 개발 도구의 연결 방식 차이를 설명한다.</x:v>
      </x:c>
      <x:c r="D61" s="54" t="n">
        <x:v>45</x:v>
      </x:c>
    </x:row>
    <x:row r="62" s="1" customFormat="1" ht="69" customHeight="1">
      <x:c r="A62" s="65" t="inlineStr">
        <x:is>
          <x:t xml:space="preserve">실습</x:t>
        </x:is>
      </x:c>
      <x:c r="B62" s="62" t="inlineStr">
        <x:is>
          <x:t xml:space="preserve">회의 내용을 실제 후속 업무로 전환하기</x:t>
        </x:is>
      </x:c>
      <x:c r="C62" s="60" t="inlineStr">
        <x:is>
          <x:t xml:space="preserve">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t>
        </x:is>
      </x:c>
      <x:c r="D62" s="61" t="n">
        <x:v>45</x:v>
      </x:c>
    </x:row>
    <x:row r="63" s="1" customFormat="1" ht="69" customHeight="1">
      <x:c r="A63" s="64" t="inlineStr">
        <x:is>
          <x:t xml:space="preserve">실습</x:t>
        </x:is>
      </x:c>
      <x:c r="B63" s="55" t="inlineStr">
        <x:is>
          <x:t xml:space="preserve">나만의 대화형 AI 학습 코치 만들기</x:t>
        </x:is>
      </x:c>
      <x:c r="C63" s="53" t="inlineStr">
        <x:is>
          <x:t xml:space="preserve">Notion에서 내보낸 Markdown 학습노트나 제공 매뉴얼로 문항 생성→학생 답변 입력→정답·출처 기반 피드백→다음 문항 제공의 대화를 구성한다. 텍스트 파일 기반으로 우선 완주하며 실서비스 Notion API 연동은 필수로 가정하지 않는다.</x:t>
        </x:is>
      </x:c>
      <x:c r="D63" s="54" t="n">
        <x:v>45</x:v>
      </x:c>
    </x:row>
    <x:row r="64" s="1" customFormat="1" ht="29" customHeight="1">
      <x:c r="A64" s="66" t="inlineStr">
        <x:is>
          <x:t xml:space="preserve">일차 합계</x:t>
        </x:is>
      </x:c>
      <x:c r="D64" s="49" t="n">
        <x:f>SUM(D57:D63)</x:f>
        <x:v>240</x:v>
      </x:c>
    </x:row>
    <x:row r="65"/>
    <x:row r="66" s="1" customFormat="1" ht="39" customHeight="1">
      <x:c r="A66" s="43" t="inlineStr">
        <x:is>
          <x:t xml:space="preserve">07일차  |  사람의 판단과 명확한 요구사항으로 AI 업무의 신뢰성 높이기</x:t>
        </x:is>
      </x:c>
      <x:c r="D66" s="44" t="inlineStr">
        <x:is>
          <x:t xml:space="preserve">4H</x:t>
        </x:is>
      </x:c>
    </x:row>
    <x:row r="67" s="1" customFormat="1" ht="29" customHeight="1">
      <x:c r="A67" s="49" t="inlineStr">
        <x:is>
          <x:t xml:space="preserve">구분</x:t>
        </x:is>
      </x:c>
      <x:c r="B67" s="49" t="inlineStr">
        <x:is>
          <x:t xml:space="preserve">제목</x:t>
        </x:is>
      </x:c>
      <x:c r="C67" s="49" t="inlineStr">
        <x:is>
          <x:t xml:space="preserve">상세 교육 내용</x:t>
        </x:is>
      </x:c>
      <x:c r="D67" s="49" t="inlineStr">
        <x:is>
          <x:t xml:space="preserve">시간(분)</x:t>
        </x:is>
      </x:c>
    </x:row>
    <x:row r="68" s="1" customFormat="1" ht="60" customHeight="1">
      <x:c r="A68" s="56" t="inlineStr">
        <x:is>
          <x:t xml:space="preserve">이론</x:t>
        </x:is>
      </x:c>
      <x:c r="B68" s="55" t="inlineStr">
        <x:is>
          <x:t xml:space="preserve">AI가 멈추고 사람에게 물어야 하는 상황 이해하기</x:t>
        </x:is>
      </x:c>
      <x:c r="C68" s="53" t="inlineStr">
        <x:is>
          <x:t xml:space="preserve">HITL의 정의, 자동 처리와 승인·보류·거절의 구분, 승인권자와 권한의 경계, 사람의 책임과 결정 기록을 설명한다. AI의 자기 검토와 실제 사람 승인 절차는 다른 것임을 구분한다.</x:t>
        </x:is>
      </x:c>
      <x:c r="D68" s="54" t="n">
        <x:v>20</x:v>
      </x:c>
    </x:row>
    <x:row r="69" s="1" customFormat="1" ht="69" customHeight="1">
      <x:c r="A69" s="65" t="inlineStr">
        <x:is>
          <x:t xml:space="preserve">실습</x:t>
        </x:is>
      </x:c>
      <x:c r="B69" s="62" t="inlineStr">
        <x:is>
          <x:t xml:space="preserve">사람의 확인이 실제 업무 결과를 바꾸는 과정 확인하기</x:t>
        </x:is>
      </x:c>
      <x:c r="C69" s="60" t="inlineStr">
        <x:is>
          <x:t xml:space="preserve">HYD 포털의 처리 건·내 작업함에서 기존 승인 대기 건과 역할을 확인한다. 권한이 있는 담당자의 승인·거절이 흐름 상태에 미치는 영향을 확인하고, 쓰기 권한이 없는 계정의 제한을 설명한다. 실제 수업용 시나리오와 역할을 사전 준비한다.</x:t>
        </x:is>
      </x:c>
      <x:c r="D69" s="61" t="n">
        <x:v>20</x:v>
      </x:c>
    </x:row>
    <x:row r="70" s="1" customFormat="1" ht="69" customHeight="1">
      <x:c r="A70" s="64" t="inlineStr">
        <x:is>
          <x:t xml:space="preserve">실습</x:t>
        </x:is>
      </x:c>
      <x:c r="B70" s="55" t="inlineStr">
        <x:is>
          <x:t xml:space="preserve">정보가 부족하면 질문하고 다시 처리하는 에이전트 만들기</x:t>
        </x:is>
      </x:c>
      <x:c r="C70" s="53" t="str">
        <x:v>5회차에서 만든 후속 업무 요청 결과와 처리 프로젝트를 재사용한다. 해당 업무의 필수 정보가 빠지면 확정하지 않고 확인 질문을 생성하며, 추가 입력 후 다시 판단해 상태 변화를 기록한다. 다른 도메인으로 전환한다면 제공 시작본과 필드 대응을 명시한다.</x:v>
      </x:c>
      <x:c r="D70" s="54" t="n">
        <x:v>45</x:v>
      </x:c>
    </x:row>
    <x:row r="71" s="1" customFormat="1" ht="60" customHeight="1">
      <x:c r="A71" s="65" t="inlineStr">
        <x:is>
          <x:t xml:space="preserve">실습</x:t>
        </x:is>
      </x:c>
      <x:c r="B71" s="62" t="inlineStr">
        <x:is>
          <x:t xml:space="preserve">서로 다른 에이전트가 제안과 검토를 나눠 수행하기</x:t>
        </x:is>
      </x:c>
      <x:c r="C71" s="60" t="inlineStr">
        <x:is>
          <x:t xml:space="preserve">작성 역할은 업무 요청 초안을 만들고 검토 역할은 근거·수량·승인 정보 누락을 독립적으로 검토한다. 검토 의견에 따라 작성 결과를 수정하고, AI 간 상호 검토와 사람의 최종 승인 여부를 서로 다른 필드로 남긴다.</x:t>
        </x:is>
      </x:c>
      <x:c r="D71" s="61" t="n">
        <x:v>45</x:v>
      </x:c>
    </x:row>
    <x:row r="72" s="1" customFormat="1" ht="69" customHeight="1">
      <x:c r="A72" s="56" t="inlineStr">
        <x:is>
          <x:t xml:space="preserve">이론</x:t>
        </x:is>
      </x:c>
      <x:c r="B72" s="55" t="inlineStr">
        <x:is>
          <x:t xml:space="preserve">요구사항이 바뀌어도 기존 기능을 지키는 방법 이해하기</x:t>
        </x:is>
      </x:c>
      <x:c r="C72" s="53" t="inlineStr">
        <x:is>
          <x:t xml:space="preserve">SDD를 요구사항·입력/출력 계약·금지 조건·수용 기준을 구현 전에 명확하게 하는 방식으로 설명한다. 바이브 코딩의 모호한 기능 추가가 기존 출력이나 승인 규칙을 흔들 수 있음을 예로 들되, 실패가 항상 발생한다고 단정하지 않는다.</x:t>
        </x:is>
      </x:c>
      <x:c r="D72" s="54" t="n">
        <x:v>35</x:v>
      </x:c>
    </x:row>
    <x:row r="73" s="1" customFormat="1" ht="69" customHeight="1">
      <x:c r="A73" s="65" t="inlineStr">
        <x:is>
          <x:t xml:space="preserve">실습</x:t>
        </x:is>
      </x:c>
      <x:c r="B73" s="62" t="str">
        <x:v>모호한 기능 변경이 기존 계약에 미치는 영향 확인하기</x:v>
      </x:c>
      <x:c r="C73" s="60" t="str">
        <x:v>앞 실습과 같은 업무 요청 프로젝트에 긴급 조건을 추가한다. 모호한 요청으로 변경한 결과와 기존 일반 요청의 출력·승인 계약을 비교한다. 사전 검증된 실패 사례를 사용하되 재현되지 않으면 실제 차이만 기록하며 실패를 연출하지 않는다.</x:v>
      </x:c>
      <x:c r="D73" s="61" t="n">
        <x:v>50</x:v>
      </x:c>
    </x:row>
    <x:row r="74" s="1" customFormat="1" ht="69" customHeight="1">
      <x:c r="A74" s="64" t="inlineStr">
        <x:is>
          <x:t xml:space="preserve">실습</x:t>
        </x:is>
      </x:c>
      <x:c r="B74" s="55" t="inlineStr">
        <x:is>
          <x:t xml:space="preserve">새로운 요구사항을 추가해도 기존 기능 유지하기</x:t>
        </x:is>
      </x:c>
      <x:c r="C74" s="53" t="str">
        <x:v>같은 프로젝트의 spec.md에 일반·긴급 요청, 필수 정보 누락 시 보류, 승인 없이 확정 금지, 결과 형식·수용 기준을 명시한다. 구현 후 두 요청을 재실행하고 다음 회차 BDD의 입력·기대 결과를 저장한다.</x:v>
      </x:c>
      <x:c r="D74" s="54" t="n">
        <x:v>25</x:v>
      </x:c>
    </x:row>
    <x:row r="75" s="1" customFormat="1" ht="29" customHeight="1">
      <x:c r="A75" s="66" t="inlineStr">
        <x:is>
          <x:t xml:space="preserve">일차 합계</x:t>
        </x:is>
      </x:c>
      <x:c r="D75" s="49" t="n">
        <x:f>SUM(D68:D74)</x:f>
        <x:v>240</x:v>
      </x:c>
    </x:row>
    <x:row r="76"/>
    <x:row r="77" s="1" customFormat="1" ht="39" customHeight="1">
      <x:c r="A77" s="43" t="inlineStr">
        <x:is>
          <x:t xml:space="preserve">08일차  |  요구가 바뀌어도 믿고 사용할 수 있는 에이전트 완성하기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60" customHeight="1">
      <x:c r="A79" s="56" t="inlineStr">
        <x:is>
          <x:t xml:space="preserve">이론</x:t>
        </x:is>
      </x:c>
      <x:c r="B79" s="55" t="inlineStr">
        <x:is>
          <x:t xml:space="preserve">기대한 행동을 실제로 검증하는 방법 이해하기</x:t>
        </x:is>
      </x:c>
      <x:c r="C79" s="53" t="inlineStr">
        <x:is>
          <x:t xml:space="preserve">BDD의 Given/When/Then 구조, 요구 명세(SDD)와 행동 검증(BDD)의 차이, 정상·경계·예외·회귀 테스트를 설명한다. 자연어 시나리오가 실행 가능한 검증 입력·기대 결과와 연결돼야 하는 이유를 설명한다.</x:t>
        </x:is>
      </x:c>
      <x:c r="D79" s="54" t="n">
        <x:v>40</x:v>
      </x:c>
    </x:row>
    <x:row r="80" s="1" customFormat="1" ht="60" customHeight="1">
      <x:c r="A80" s="65" t="inlineStr">
        <x:is>
          <x:t xml:space="preserve">실습</x:t>
        </x:is>
      </x:c>
      <x:c r="B80" s="62" t="inlineStr">
        <x:is>
          <x:t xml:space="preserve">새로운 기능과 기존 기능의 행동 기준 정하기</x:t>
        </x:is>
      </x:c>
      <x:c r="C80" s="60" t="inlineStr">
        <x:is>
          <x:t xml:space="preserve">7일차 spec.md와 동일 에이전트를 활용한다. 일반 정비, 긴급 정비, 필수 정보 누락, 승인 거절, 도구 오류에 대해 Given·When·Then과 입력값·기대 상태·출력 계약을 작성한다.</x:t>
        </x:is>
      </x:c>
      <x:c r="D80" s="61" t="n">
        <x:v>40</x:v>
      </x:c>
    </x:row>
    <x:row r="81" s="1" customFormat="1" ht="60" customHeight="1">
      <x:c r="A81" s="64" t="inlineStr">
        <x:is>
          <x:t xml:space="preserve">실습</x:t>
        </x:is>
      </x:c>
      <x:c r="B81" s="55" t="inlineStr">
        <x:is>
          <x:t xml:space="preserve">에이전트의 동작을 반복 검증하기</x:t>
        </x:is>
      </x:c>
      <x:c r="C81" s="53" t="inlineStr">
        <x:is>
          <x:t xml:space="preserve">준비한 자동 테스트 또는 반복 실행 스크립트에 BDD 시나리오를 연결한다. 실제 출력과 기대값을 비교하고 어떤 조건에서 규칙을 어겼는지 로그·결과 파일로 확인한다. 모델 출력의 표현 차이와 필수 계약 위반을 구별한다.</x:t>
        </x:is>
      </x:c>
      <x:c r="D81" s="54" t="n">
        <x:v>50</x:v>
      </x:c>
    </x:row>
    <x:row r="82" s="1" customFormat="1" ht="60" customHeight="1">
      <x:c r="A82" s="65" t="inlineStr">
        <x:is>
          <x:t xml:space="preserve">실습</x:t>
        </x:is>
      </x:c>
      <x:c r="B82" s="62" t="inlineStr">
        <x:is>
          <x:t xml:space="preserve">오류를 수정하고 기존 기능이 유지되는지 확인하기</x:t>
        </x:is>
      </x:c>
      <x:c r="C82" s="60" t="inlineStr">
        <x:is>
          <x:t xml:space="preserve">실제로 실패한 시나리오만 원인을 추적해 프롬프트·명세·코드 중 수정 대상 구분 후 재실행한다. 긴급 조건이 동작하는 동시에 기존 일반 요청·보류·거절 조건이 유지되는지 전체 회귀 검증으로 확인한다.</x:t>
        </x:is>
      </x:c>
      <x:c r="D82" s="61" t="n">
        <x:v>35</x:v>
      </x:c>
    </x:row>
    <x:row r="83" s="1" customFormat="1" ht="69" customHeight="1">
      <x:c r="A83" s="64" t="inlineStr">
        <x:is>
          <x:t xml:space="preserve">실습</x:t>
        </x:is>
      </x:c>
      <x:c r="B83" s="55" t="inlineStr">
        <x:is>
          <x:t xml:space="preserve">서로 다른 업무 데이터를 연결해 교대 업무 인수인계 완성하기</x:t>
        </x:is>
      </x:c>
      <x:c r="C83" s="53" t="inlineStr">
        <x:is>
          <x:t xml:space="preserve">기존 설비 이벤트·정비 이력·부품 DB의 실제 연결 가능한 조회 결과 또는 동일 스키마의 수업 준비 자료를 조합한다. 완료 작업·미완료 요청·주의 사항·근거 시각을 포함한 인수인계서를 생성한다. 데이터 패브릭 관점의 다중 출처 통합이지 새 데이터 플랫폼 구축이 아니다.</x:t>
        </x:is>
      </x:c>
      <x:c r="D83" s="54" t="n">
        <x:v>45</x:v>
      </x:c>
    </x:row>
    <x:row r="84" s="1" customFormat="1" ht="60" customHeight="1">
      <x:c r="A84" s="63" t="inlineStr">
        <x:is>
          <x:t xml:space="preserve">이론</x:t>
        </x:is>
      </x:c>
      <x:c r="B84" s="62" t="inlineStr">
        <x:is>
          <x:t xml:space="preserve">에이전트 제작부터 검증까지 전체 과정 정리하기 — Wrap-up</x:t>
        </x:is>
      </x:c>
      <x:c r="C84" s="60" t="inlineStr">
        <x:is>
          <x:t xml:space="preserve">에이전트의 목표와 도구, Skill·MCP의 구분, HITL, SDD·BDD와 회귀 검증, 응용별 산출물의 차이를 복습한다. 신규 실습·과제 없이 배운 내용을 정리한다.</x:t>
        </x:is>
      </x:c>
      <x:c r="D84" s="61" t="n">
        <x:v>30</x:v>
      </x:c>
    </x:row>
    <x:row r="85" s="1" customFormat="1" ht="29" customHeight="1">
      <x:c r="A85" s="66" t="inlineStr">
        <x:is>
          <x:t xml:space="preserve">일차 합계</x:t>
        </x:is>
      </x:c>
      <x:c r="D85" s="49" t="n">
        <x:f>SUM(D79:D84)</x:f>
        <x:v>240</x:v>
      </x:c>
    </x:row>
    <x:row r="86"/>
    <x:row r="87" s="1" customFormat="1" ht="39" customHeight="1">
      <x:c r="A87" s="43" t="inlineStr">
        <x:is>
          <x:t xml:space="preserve">09일차  |  AI와 사람이 함께 일하는 업무 프로세스를 직접 설계하고 실행하기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69" customHeight="1">
      <x:c r="A89" s="56" t="inlineStr">
        <x:is>
          <x:t xml:space="preserve">이론</x:t>
        </x:is>
      </x:c>
      <x:c r="B89" s="55" t="inlineStr">
        <x:is>
          <x:t xml:space="preserve">개별 작업을 하나의 비즈니스 프로세스로 관리하는 이유 이해하기</x:t>
        </x:is>
      </x:c>
      <x:c r="C89" s="53" t="inlineStr">
        <x:is>
          <x:t xml:space="preserve">비즈니스 프로세스의 정의, Task와 End-to-End의 차이, 시작 조건·입력·출력·책임자·완료 조건을 설명한다. BPM의 분석→설계→실행→모니터링→개선과 AS-IS/TO-BE를 다루고 에이전트만으로 전체 업무 순서와 책임이 보장되지 않는 이유를 연결한다.</x:t>
        </x:is>
      </x:c>
      <x:c r="D89" s="54" t="n">
        <x:v>35</x:v>
      </x:c>
    </x:row>
    <x:row r="90" s="1" customFormat="1" ht="82" customHeight="1">
      <x:c r="A90" s="63" t="inlineStr">
        <x:is>
          <x:t xml:space="preserve">이론</x:t>
        </x:is>
      </x:c>
      <x:c r="B90" s="62" t="inlineStr">
        <x:is>
          <x:t xml:space="preserve">복잡한 업무를 공통된 그림으로 표현하는 방법 이해하기</x:t>
        </x:is>
      </x:c>
      <x:c r="C90" s="60" t="inlineStr">
        <x:is>
          <x:t xml:space="preserve">BPMN 2.0의 Start/End Event, Activity/Task, Gateway, Sequence Flow, Pool·Lane, Message Flow, Timer·Boundary Event를 구분한다. 승인·거절과 분기, 사람·에이전트·시스템의 책임 배치를 설비 조치 예제로 설명한다. 병렬·하위 프로세스는 개념만 소개하고 실습 구현을 주장하지 않는다.</x:t>
        </x:is>
      </x:c>
      <x:c r="D90" s="61" t="n">
        <x:v>25</x:v>
      </x:c>
    </x:row>
    <x:row r="91" s="1" customFormat="1" ht="69" customHeight="1">
      <x:c r="A91" s="56" t="inlineStr">
        <x:is>
          <x:t xml:space="preserve">이론</x:t>
        </x:is>
      </x:c>
      <x:c r="B91" s="55" t="inlineStr">
        <x:is>
          <x:t xml:space="preserve">설계한 업무가 실제로 실행되는 프로세스 오케스트레이션 이해하기</x:t>
        </x:is>
      </x:c>
      <x:c r="C91" s="53" t="inlineStr">
        <x:is>
          <x:t xml:space="preserve">프로세스 정의와 인스턴스, Token의 진행 개념, 변수와 결과 전달, User Task·Service Task와 HYD 에이전트 단계, 실행 상태·승인 대기·배포 버전·감사 기록을 설명한다. 온톨로지·DB·SOP를 쓰는 에이전트의 결과를 BPMN이 어떤 순서로 연결하는지 보여준다.</x:t>
        </x:is>
      </x:c>
      <x:c r="D91" s="54" t="n">
        <x:v>25</x:v>
      </x:c>
    </x:row>
    <x:row r="92" s="1" customFormat="1" ht="69" customHeight="1">
      <x:c r="A92" s="65" t="inlineStr">
        <x:is>
          <x:t xml:space="preserve">실습</x:t>
        </x:is>
      </x:c>
      <x:c r="B92" s="62" t="inlineStr">
        <x:is>
          <x:t xml:space="preserve">업무 흐름을 그리는 도구로 간단한 승인 절차 작성하기</x:t>
        </x:is>
      </x:c>
      <x:c r="C92" s="60" t="inlineStr">
        <x:is>
          <x:t xml:space="preserve">bpmn.io의 팔레트·요소 배치·연결·속성·저장·열기 조작을 익힌 뒤 '정비 요청→담당자 확인→승인 여부→승인/반려 종료'를 직접 작도한다. Gateway의 각 분기와 End Event 연결을 확인해 .bpmn 파일을 만든다.</x:t>
        </x:is>
      </x:c>
      <x:c r="D92" s="61" t="n">
        <x:v>35</x:v>
      </x:c>
    </x:row>
    <x:row r="93" s="1" customFormat="1" ht="69" customHeight="1">
      <x:c r="A93" s="64" t="inlineStr">
        <x:is>
          <x:t xml:space="preserve">실습</x:t>
        </x:is>
      </x:c>
      <x:c r="B93" s="55" t="inlineStr">
        <x:is>
          <x:t xml:space="preserve">설비 이상 대응의 역할과 승인 조건을 갖춘 업무 흐름 만들기</x:t>
        </x:is>
      </x:c>
      <x:c r="C93" s="53" t="inlineStr">
        <x:is>
          <x:t xml:space="preserve">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t>
        </x:is>
      </x:c>
      <x:c r="D93" s="54" t="n">
        <x:v>45</x:v>
      </x:c>
    </x:row>
    <x:row r="94" s="1" customFormat="1" ht="69" customHeight="1">
      <x:c r="A94" s="65" t="inlineStr">
        <x:is>
          <x:t xml:space="preserve">실습</x:t>
        </x:is>
      </x:c>
      <x:c r="B94" s="62" t="inlineStr">
        <x:is>
          <x:t xml:space="preserve">작성한 흐름을 기존 에이전트와 실제 시스템에 연결하기</x:t>
        </x:is>
      </x:c>
      <x:c r="C94" s="60" t="inlineStr">
        <x:is>
          <x:t xml:space="preserve">HYD 포털 흐름 가져오기→쿨러 경보 시작 조건→기존 에이전트·운전원 역할·시스템 단계 매핑→사전 검사→등록·배포 순서로 진행한다. 포털에 입력란이 없는 시스템 세부 연결은 제공된 students/flows/cooling-emergency.mapping.json과 검증된 API 절차로 보완한다.</x:t>
        </x:is>
      </x:c>
      <x:c r="D94" s="61" t="n">
        <x:v>40</x:v>
      </x:c>
    </x:row>
    <x:row r="95" s="1" customFormat="1" ht="69" customHeight="1">
      <x:c r="A95" s="64" t="inlineStr">
        <x:is>
          <x:t xml:space="preserve">실습</x:t>
        </x:is>
      </x:c>
      <x:c r="B95" s="55" t="inlineStr">
        <x:is>
          <x:t xml:space="preserve">실제 설비 이벤트로 프로세스를 실행하고 처리 이력 확인하기</x:t>
        </x:is>
      </x:c>
      <x:c r="C95" s="53" t="inlineStr">
        <x:is>
          <x:t xml:space="preserve">쿨러 열화 버튼으로 처리 건 생성, 에이전트 판단·승인→PLC 명령→유온 재확인→완료를 확인한다. 포털 처리 건에서 단계별 담당·대기·결과를 추적하고 배포된 학생 흐름과 기준 흐름의 차이를 살펴본다. 승인 대기·정상 종료를 혼동하지 않는다.</x:t>
        </x:is>
      </x:c>
      <x:c r="D95" s="54" t="n">
        <x:v>35</x:v>
      </x:c>
    </x:row>
    <x:row r="96" s="1" customFormat="1" ht="29" customHeight="1">
      <x:c r="A96" s="66" t="inlineStr">
        <x:is>
          <x:t xml:space="preserve">일차 합계</x:t>
        </x:is>
      </x:c>
      <x:c r="D96" s="49" t="n">
        <x:f>SUM(D89:D95)</x:f>
        <x:v>240</x:v>
      </x:c>
    </x:row>
    <x:row r="97"/>
    <x:row r="98" s="1" customFormat="1" ht="39" customHeight="1">
      <x:c r="A98" s="43" t="inlineStr">
        <x:is>
          <x:t xml:space="preserve">10일차  |  설비 대응을 넘어 정비와 구매 업무까지 자동으로 연결하기</x:t>
        </x:is>
      </x:c>
      <x:c r="D98" s="44" t="inlineStr">
        <x:is>
          <x:t xml:space="preserve">4H</x:t>
        </x:is>
      </x:c>
    </x:row>
    <x:row r="99" s="1" customFormat="1" ht="29" customHeight="1">
      <x:c r="A99" s="49" t="inlineStr">
        <x:is>
          <x:t xml:space="preserve">구분</x:t>
        </x:is>
      </x:c>
      <x:c r="B99" s="49" t="inlineStr">
        <x:is>
          <x:t xml:space="preserve">제목</x:t>
        </x:is>
      </x:c>
      <x:c r="C99" s="49" t="inlineStr">
        <x:is>
          <x:t xml:space="preserve">상세 교육 내용</x:t>
        </x:is>
      </x:c>
      <x:c r="D99" s="49" t="inlineStr">
        <x:is>
          <x:t xml:space="preserve">시간(분)</x:t>
        </x:is>
      </x:c>
    </x:row>
    <x:row r="100" s="1" customFormat="1" ht="69" customHeight="1">
      <x:c r="A100" s="56" t="inlineStr">
        <x:is>
          <x:t xml:space="preserve">이론</x:t>
        </x:is>
      </x:c>
      <x:c r="B100" s="55" t="inlineStr">
        <x:is>
          <x:t xml:space="preserve">다양한 업무를 하나의 프로세스 설계 원리로 관리하기</x:t>
        </x:is>
      </x:c>
      <x:c r="C100" s="53" t="inlineStr">
        <x:is>
          <x:t xml:space="preserve">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t>
        </x:is>
      </x:c>
      <x:c r="D100" s="54" t="n">
        <x:v>35</x:v>
      </x:c>
    </x:row>
    <x:row r="101" s="1" customFormat="1" ht="69" customHeight="1">
      <x:c r="A101" s="65" t="inlineStr">
        <x:is>
          <x:t xml:space="preserve">실습</x:t>
        </x:is>
      </x:c>
      <x:c r="B101" s="62" t="inlineStr">
        <x:is>
          <x:t xml:space="preserve">정기 점검부터 작업지시까지 이어지는 업무 흐름 설계하기</x:t>
        </x:is>
      </x:c>
      <x:c r="C101" s="60" t="inlineStr">
        <x:is>
          <x:t xml:space="preserve">bpmn.io에서 정기 점검 도래→정비 계획 에이전트→설비보전팀장 승인/거절→CMMS 정비 오더→생산팀 공지→결과 보고를 작도한다. 9일차의 Task·Lane·Gateway·Timer 패턴을 재사용하고 승인·반려 경로를 구분한다.</x:t>
        </x:is>
      </x:c>
      <x:c r="D101" s="61" t="n">
        <x:v>45</x:v>
      </x:c>
    </x:row>
    <x:row r="102" s="1" customFormat="1" ht="69" customHeight="1">
      <x:c r="A102" s="64" t="inlineStr">
        <x:is>
          <x:t xml:space="preserve">실습</x:t>
        </x:is>
      </x:c>
      <x:c r="B102" s="55" t="inlineStr">
        <x:is>
          <x:t xml:space="preserve">정기 점검 프로세스를 실제 업무로 실행하기</x:t>
        </x:is>
      </x:c>
      <x:c r="C102" s="53" t="inlineStr">
        <x:is>
          <x:t xml:space="preserve">HYD에 작성한 BPMN을 가져와 정기 점검(PM_DUE) 이벤트·기존 정비 계획 에이전트·담당 역할·CMMS·공지 작업을 연결하고 사전 검사→등록→배포한다. 포털의 정기 점검 버튼으로 실행해 승인 후 오더·생산 공지·종료를 확인한다. 화면 밖 연결 값은 수업 제공 매핑 파일/절차를 사용한다.</x:t>
        </x:is>
      </x:c>
      <x:c r="D102" s="54" t="n">
        <x:v>45</x:v>
      </x:c>
    </x:row>
    <x:row r="103" s="1" customFormat="1" ht="60" customHeight="1">
      <x:c r="A103" s="65" t="inlineStr">
        <x:is>
          <x:t xml:space="preserve">실습</x:t>
        </x:is>
      </x:c>
      <x:c r="B103" s="62" t="inlineStr">
        <x:is>
          <x:t xml:space="preserve">재고 부족부터 구매·입고까지 이어지는 업무 흐름 설계하기</x:t>
        </x:is>
      </x:c>
      <x:c r="C103" s="60" t="inlineStr">
        <x:is>
          <x:t xml:space="preserve">bpmn.io에서 재고 부족→구매 에이전트의 수량·공급사 제안→구매 담당자 승인/거절→ERP 발주→공급사 통지→입고·재고 반영→결과 보고를 작도한다. 공급사 실거래가 아닌 HYD 기업 시스템 시뮬레이션이라는 범위를 명시한다.</x:t>
        </x:is>
      </x:c>
      <x:c r="D103" s="61" t="n">
        <x:v>45</x:v>
      </x:c>
    </x:row>
    <x:row r="104" s="1" customFormat="1" ht="69" customHeight="1">
      <x:c r="A104" s="64" t="inlineStr">
        <x:is>
          <x:t xml:space="preserve">실습</x:t>
        </x:is>
      </x:c>
      <x:c r="B104" s="55" t="inlineStr">
        <x:is>
          <x:t xml:space="preserve">구매 프로세스를 실제 업무로 실행하기</x:t>
        </x:is>
      </x:c>
      <x:c r="C104" s="53" t="inlineStr">
        <x:is>
          <x:t xml:space="preserve">재고 부족(SPARE_BELOW_MIN) 이벤트와 기존 구매 에이전트·승인 역할·ERP·통지·입고 반영 부품을 매핑해 검사·등록·배포한다. 포털 재고 보충 버튼으로 실행하여 발주·통지·시뮬레이션상 즉시 입고·재고 반영 및 종료 기록을 확인한다.</x:t>
        </x:is>
      </x:c>
      <x:c r="D104" s="54" t="n">
        <x:v>40</x:v>
      </x:c>
    </x:row>
    <x:row r="105" s="1" customFormat="1" ht="60" customHeight="1">
      <x:c r="A105" s="63" t="inlineStr">
        <x:is>
          <x:t xml:space="preserve">이론</x:t>
        </x:is>
      </x:c>
      <x:c r="B105" s="62" t="inlineStr">
        <x:is>
          <x:t xml:space="preserve">AI와 사람이 함께 수행하는 전체 업무 흐름 정리하기 — Wrap-up</x:t>
        </x:is>
      </x:c>
      <x:c r="C105" s="60" t="inlineStr">
        <x:is>
          <x:t xml:space="preserve">설비 조치·정기 점검·재고 보충의 시작 이벤트, 에이전트 판단, 사람 승인·반려, 시스템 처리와 종료 기록을 되짚는다. 온톨로지→에이전트→프로세스의 연결을 복습하며 새로운 실습은 하지 않는다.</x:t>
        </x:is>
      </x:c>
      <x:c r="D105" s="61" t="n">
        <x:v>30</x:v>
      </x:c>
    </x:row>
    <x:row r="106" s="1" customFormat="1" ht="29" customHeight="1">
      <x:c r="A106" s="66" t="inlineStr">
        <x:is>
          <x:t xml:space="preserve">일차 합계</x:t>
        </x:is>
      </x:c>
      <x:c r="D106" s="49" t="n">
        <x:f>SUM(D100:D105)</x:f>
        <x:v>240</x:v>
      </x:c>
    </x:row>
    <x:row r="107"/>
    <x:row r="108" s="1" customFormat="1" ht="39" customHeight="1">
      <x:c r="A108" s="43" t="str">
        <x:v>11일차  |  추가 지식과 에이전트로 교대 인수인계 완성하기</x:v>
      </x:c>
      <x:c r="D108" s="44" t="inlineStr">
        <x:is>
          <x:t xml:space="preserve">4H</x:t>
        </x:is>
      </x:c>
    </x:row>
    <x:row r="109" s="1" customFormat="1" ht="29" customHeight="1">
      <x:c r="A109" s="49" t="inlineStr">
        <x:is>
          <x:t xml:space="preserve">구분</x:t>
        </x:is>
      </x:c>
      <x:c r="B109" s="49" t="inlineStr">
        <x:is>
          <x:t xml:space="preserve">제목</x:t>
        </x:is>
      </x:c>
      <x:c r="C109" s="49" t="inlineStr">
        <x:is>
          <x:t xml:space="preserve">상세 교육 내용</x:t>
        </x:is>
      </x:c>
      <x:c r="D109" s="49" t="inlineStr">
        <x:is>
          <x:t xml:space="preserve">시간(분)</x:t>
        </x:is>
      </x:c>
    </x:row>
    <x:row r="110" s="1" customFormat="1" ht="69" customHeight="1">
      <x:c r="A110" s="56" t="inlineStr">
        <x:is>
          <x:t xml:space="preserve">이론</x:t>
        </x:is>
      </x:c>
      <x:c r="B110" s="55" t="inlineStr">
        <x:is>
          <x:t xml:space="preserve">현장 지식이 AI의 판단 근거가 되는 과정 복습하기</x:t>
        </x:is>
      </x:c>
      <x:c r="C110" s="53" t="inlineStr">
        <x:is>
          <x:t xml:space="preserve">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t>
        </x:is>
      </x:c>
      <x:c r="D110" s="54" t="n">
        <x:v>30</x:v>
      </x:c>
    </x:row>
    <x:row r="111" s="1" customFormat="1" ht="60" customHeight="1">
      <x:c r="A111" s="63" t="inlineStr">
        <x:is>
          <x:t xml:space="preserve">이론</x:t>
        </x:is>
      </x:c>
      <x:c r="B111" s="62" t="inlineStr">
        <x:is>
          <x:t xml:space="preserve">에이전트의 결과가 업무 완료로 이어지는 전체 구조 복습하기</x:t>
        </x:is>
      </x:c>
      <x:c r="C111" s="60" t="inlineStr">
        <x:is>
          <x:t xml:space="preserve">에이전트 실행·Skill·MCP·HITL·SDD·BDD와 BPMN 정의·인스턴스·승인·시스템 실행의 역할 차이를 정리한다. 개별 제안이 실제 처리 건에서 누구의 승인과 어떤 업무 시스템 실행을 거쳐 종료되는지 설명한다.</x:t>
        </x:is>
      </x:c>
      <x:c r="D111" s="61" t="n">
        <x:v>30</x:v>
      </x:c>
    </x:row>
    <x:row r="112" s="1" customFormat="1" ht="60" customHeight="1">
      <x:c r="A112" s="64" t="inlineStr">
        <x:is>
          <x:t xml:space="preserve">실습</x:t>
        </x:is>
      </x:c>
      <x:c r="B112" s="55" t="str">
        <x:v>교대 인수인계의 입력과 완료 조건 정의하기</x:v>
      </x:c>
      <x:c r="C112"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112" s="54" t="n">
        <x:v>30</x:v>
      </x:c>
    </x:row>
    <x:row r="113" s="1" customFormat="1" ht="60" customHeight="1">
      <x:c r="A113" s="65" t="inlineStr">
        <x:is>
          <x:t xml:space="preserve">실습</x:t>
        </x:is>
      </x:c>
      <x:c r="B113" s="62" t="str">
        <x:v>보충 매뉴얼을 추출·검토하여 기존 지식에 추가하기</x:v>
      </x:c>
      <x:c r="C113" s="60" t="str">
        <x:v>강사가 제공한 설비 점검·이상 확인 보충 매뉴얼에서 절차·조건·근거를 추출하고 원문 대조 후 적재한다. 기존 제조 스키마와 지식은 유지하며 새 문서로 추가한다. 동일 조건의 추출 결과를 재사용할 때는 이를 표시한다. 임의 문서는 허용하지 않는다.</x:v>
      </x:c>
      <x:c r="D113" s="61" t="n">
        <x:v>30</x:v>
      </x:c>
    </x:row>
    <x:row r="114" s="1" customFormat="1" ht="60" customHeight="1">
      <x:c r="A114" s="64" t="inlineStr">
        <x:is>
          <x:t xml:space="preserve">실습</x:t>
        </x:is>
      </x:c>
      <x:c r="B114" s="55" t="str">
        <x:v>설비·정비·ERP를 대조하는 인수인계 에이전트 만들기</x:v>
      </x:c>
      <x:c r="C114" s="53" t="str">
        <x:v>기존 지식과 허용된 설비·정비·ERP 조회 도구로 인계안을 작성하는 에이전트·스킬을 구성한다. 완료 메모와 열린 작업지시, 부품 도착 예정과 실제 재고의 불일치를 확인 사항으로 남긴다. 최신 값은 원천에서 조회하고 미확인 업무를 완료로 추정하지 않는다.</x:v>
      </x:c>
      <x:c r="D114" s="54" t="n">
        <x:v>30</x:v>
      </x:c>
    </x:row>
    <x:row r="115" s="1" customFormat="1" ht="69" customHeight="1">
      <x:c r="A115" s="65" t="inlineStr">
        <x:is>
          <x:t xml:space="preserve">실습</x:t>
        </x:is>
      </x:c>
      <x:c r="B115" s="62" t="str">
        <x:v>교대 인수인계 BPMN을 등록하고 검토·확인 흐름 실행하기</x:v>
      </x:c>
      <x:c r="C115" s="60" t="str">
        <x:v>bpmn.io에서 자료 조회→인계안 작성→인계자 검토→인수자 확인 또는 보완 요청→완료 기록을 설계한다. 포털에서 별도 정의·시작 폼·에이전트·역할을 연결해 등록한다. 설비·교대를 입력해 시작하고 정상·불일치·보완 경로와 인계 기록을 확인한다.</x:v>
      </x:c>
      <x:c r="D115" s="61" t="n">
        <x:v>30</x:v>
      </x:c>
    </x:row>
    <x:row r="116" s="1" customFormat="1" ht="60" customHeight="1">
      <x:c r="A116" s="65" t="inlineStr">
        <x:is>
          <x:t xml:space="preserve">실습</x:t>
        </x:is>
      </x:c>
      <x:c r="B116" s="62" t="inlineStr">
        <x:is>
          <x:t xml:space="preserve">ProcessGPT 시연으로 지식·에이전트·프로세스의 연결 확인하기</x:t>
        </x:is>
      </x:c>
      <x:c r="C116" s="60" t="inlineStr">
        <x:is>
          <x:t xml:space="preserve">[강사 시연] 지금까지 만든 지식·에이전트·프로세스와 HYD 포털보다 고도화된 제품인 ProcessGPT를 강사가 직접 보여 준다. ProcessGPT의 제품 개념과 HYD가 따라 구현한 프로세스 정의·인스턴스·작업함·에이전트 단계의 관계를 설명한다. 프로토타입과 제품 구현을 구분하고 기업 업무 적용 시 필요한 통제 요소를 소개한다.</x:t>
        </x:is>
      </x:c>
      <x:c r="D116" s="61" t="n">
        <x:v>40</x:v>
      </x:c>
    </x:row>
    <x:row r="117" s="1" customFormat="1" ht="69" customHeight="1">
      <x:c r="A117" s="65" t="inlineStr">
        <x:is>
          <x:t xml:space="preserve">실습</x:t>
        </x:is>
      </x:c>
      <x:c r="B117" s="62" t="inlineStr">
        <x:is>
          <x:t xml:space="preserve">학습 내용과 제작 결과를 개인 지식 자산으로 정리하기</x:t>
        </x:is>
      </x:c>
      <x:c r="C117" s="60" t="inlineStr">
        <x:is>
          <x:t xml:space="preserve">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x:t>
        </x:is>
      </x:c>
      <x:c r="D117" s="61" t="n">
        <x:v>20</x:v>
      </x:c>
    </x:row>
    <x:row r="118" s="1" customFormat="1" ht="29" customHeight="1">
      <x:c r="A118" s="66" t="inlineStr">
        <x:is>
          <x:t xml:space="preserve">일차 합계</x:t>
        </x:is>
      </x:c>
      <x:c r="D118" s="49" t="n">
        <x:f>SUM(D110:D117)</x:f>
        <x:v>240</x:v>
      </x:c>
    </x:row>
    <x:row r="119"/>
    <x:row r="120" s="1" customFormat="1" ht="36" customHeight="1">
      <x:c r="A120" s="43" t="inlineStr">
        <x:is>
          <x:t xml:space="preserve">전체 온라인 강의 합계</x:t>
        </x:is>
      </x:c>
      <x:c r="D120" s="44" t="n">
        <x:f>SUM(D13,D24,D34,D43,D53,D64,D75,D85,D96,D106,D118)</x:f>
        <x:v>2640</x:v>
      </x:c>
    </x:row>
    <x:row r="121"/>
    <x:row r="122" s="1" customFormat="1" ht="50" customHeight="1">
      <x:c r="A122"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23"/>
    <x:row r="124" s="1" customFormat="1" ht="50" customHeight="1">
      <x:c r="A124"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25"/>
    <x:row r="126" s="1" customFormat="1" ht="50" customHeight="1">
      <x:c r="A126" s="69" t="inlineStr">
        <x:is>
          <x:t xml:space="preserve">HYD 근거: https://github.com/uengine-oss/hyd-iot-edu/tree/claude/hyd-handoff-work-xziutz/students/flows · https://github.com/uengine-oss/hyd-iot-edu/blob/claude/hyd-handoff-work-xziutz/docs/handoff/verification/2026-10-10/final-verify.md</x:t>
        </x:is>
      </x:c>
    </x:row>
  </x:sheetData>
  <x:mergeCells>
    <x:mergeCell ref="A126:D126"/>
    <x:mergeCell ref="A108:C108"/>
    <x:mergeCell ref="A66:C66"/>
    <x:mergeCell ref="A122:D122"/>
    <x:mergeCell ref="A118:C118"/>
    <x:mergeCell ref="A75:C75"/>
    <x:mergeCell ref="A120:C120"/>
    <x:mergeCell ref="A55:C55"/>
    <x:mergeCell ref="A26:C26"/>
    <x:mergeCell ref="A2:C2"/>
    <x:mergeCell ref="A85:C85"/>
    <x:mergeCell ref="A106:C106"/>
    <x:mergeCell ref="A53:C53"/>
    <x:mergeCell ref="A4:C4"/>
    <x:mergeCell ref="A43:C43"/>
    <x:mergeCell ref="A96:C96"/>
    <x:mergeCell ref="A1:D1"/>
    <x:mergeCell ref="A13:C13"/>
    <x:mergeCell ref="A124:D124"/>
    <x:mergeCell ref="A77:C77"/>
    <x:mergeCell ref="A34:C34"/>
    <x:mergeCell ref="A15:C15"/>
    <x:mergeCell ref="A24:C24"/>
    <x:mergeCell ref="A64:C64"/>
    <x:mergeCell ref="A98:C98"/>
    <x:mergeCell ref="A36:C36"/>
    <x:mergeCell ref="A45:C45"/>
    <x:mergeCell ref="A87:C87"/>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6" customHeight="1">
      <x:c r="A1" s="84" t="inlineStr">
        <x:is>
          <x:t xml:space="preserve">HYD 제조 AI  |  실전반 온라인 32H 상세 실라버스</x:t>
        </x:is>
      </x:c>
      <x:c r="D1" s="84" t="n"/>
    </x:row>
    <x:row r="2" s="1" customFormat="1" ht="36" customHeight="1">
      <x:c r="A2" s="66" t="str">
        <x:v>2026-10-26 개편 | 8회×240분 | 온라인 설명·시연 및 Wrap-up 유지 | 시간은 편성값이며 녹화 실측과 구별</x:v>
      </x:c>
      <x:c r="D2" s="49" t="n">
        <x:f>SUM(D13,D26,D38,D49,D61,D75,D85,D97)</x:f>
        <x:v>1920</x:v>
      </x:c>
    </x:row>
    <x:row r="3" s="1" customFormat="1" ht="12" customHeight="1">
      <x:c r="A3" s="73" t="n"/>
      <x:c r="B3" s="73" t="n"/>
      <x:c r="C3" s="73" t="n"/>
      <x:c r="D3" s="73" t="n"/>
    </x:row>
    <x:row r="4" s="1" customFormat="1" ht="39" customHeight="1">
      <x:c r="A4" s="43" t="inlineStr">
        <x:is>
          <x:t xml:space="preserve">01일차  |  설비 데이터가 판단과 조치로 이어지는 전체 흐름 이해하기</x:t>
        </x:is>
      </x:c>
      <x:c r="D4" s="44" t="inlineStr">
        <x:is>
          <x:t xml:space="preserve">4H</x:t>
        </x:is>
      </x:c>
    </x:row>
    <x:row r="5" s="1" customFormat="1" ht="29" customHeight="1">
      <x:c r="A5" s="49" t="inlineStr">
        <x:is>
          <x:t xml:space="preserve">구분</x:t>
        </x:is>
      </x:c>
      <x:c r="B5" s="49" t="inlineStr">
        <x:is>
          <x:t xml:space="preserve">제목</x:t>
        </x:is>
      </x:c>
      <x:c r="C5" s="49" t="inlineStr">
        <x:is>
          <x:t xml:space="preserve">상세 교육 내용</x:t>
        </x:is>
      </x:c>
      <x:c r="D5" s="49" t="inlineStr">
        <x:is>
          <x:t xml:space="preserve">시간(분)</x:t>
        </x:is>
      </x:c>
    </x:row>
    <x:row r="6" s="1" customFormat="1" ht="60" customHeight="1">
      <x:c r="A6" s="56" t="str">
        <x:v>이론</x:v>
      </x:c>
      <x:c r="B6" s="55" t="str">
        <x:v>학습 내용을 지식 자산으로 전환하는 방법 이해하기</x:v>
      </x:c>
      <x:c r="C6" s="53" t="str">
        <x:v>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설명한다.</x:v>
      </x:c>
      <x:c r="D6" s="54" t="n">
        <x:v>10</x:v>
      </x:c>
    </x:row>
    <x:row r="7" s="1" customFormat="1" ht="60" customHeight="1">
      <x:c r="A7" s="65" t="str">
        <x:v>실습</x:v>
      </x:c>
      <x:c r="B7" s="62" t="str">
        <x:v>Notion으로 지식 자산화를 위한 학습노트 만들기</x:v>
      </x:c>
      <x:c r="C7" s="60" t="str">
        <x:v>Notion에서 학습노트 홈과 주제별 카드·페이지를 구성한다. 샘플 개념·출처·실습 결과를 연결하고 검색·보완·재사용할 수 있도록 저장·재열기를 확인한다. 정해진 별도 자료 DB나 실수노트 분류를 강제하지 않는다.</x:v>
      </x:c>
      <x:c r="D7" s="61" t="n">
        <x:v>50</x:v>
      </x:c>
    </x:row>
    <x:row r="8" s="1" customFormat="1" ht="60" customHeight="1">
      <x:c r="A8" s="56" t="str">
        <x:v>이론</x:v>
      </x:c>
      <x:c r="B8" s="55" t="str">
        <x:v>설비 데이터가 판단으로 이어지는 시스템 구조와 데이터 흐름 이해하기</x:v>
      </x:c>
      <x:c r="C8" s="53"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설명한다.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54" t="n">
        <x:v>50</x:v>
      </x:c>
    </x:row>
    <x:row r="9" s="1" customFormat="1" ht="69" customHeight="1">
      <x:c r="A9" s="65" t="str">
        <x:v>실습</x:v>
      </x:c>
      <x:c r="B9" s="62" t="str">
        <x:v>시스템 실행 환경을 구성하고 주요 서비스 동작 확인하기</x:v>
      </x:c>
      <x:c r="C9" s="60" t="str">
        <x:v>VS Code·GitHub Copilot·Codex·Python·Docker Desktop·Docker Compose 등 교육에서 사용할 주요 도구의 역할과 필요한 버전·설정·접속 조건을 안내한다. 각 도구가 개발·AI 코딩·서비스 실행에서 어떤 역할을 하는지 설명한다. 별도 설치를 진행하지 않고 준비된 환경에서 Docker Compose로 HYD 서비스를 실행한다. 컨테이너 상태와 주요 서비스 접속 여부를 확인한 뒤 HYD 포털에 접속해 시스템이 정상적으로 실행되는 상태를 확인한다.</x:v>
      </x:c>
      <x:c r="D9" s="61" t="n">
        <x:v>30</x:v>
      </x:c>
    </x:row>
    <x:row r="10" s="1" customFormat="1" ht="60" customHeight="1">
      <x:c r="A10" s="64" t="str">
        <x:v>실습</x:v>
      </x:c>
      <x:c r="B10" s="55" t="str">
        <x:v>설비 이상 발생부터 판단·승인·조치까지 전체 과정 경험하기</x:v>
      </x:c>
      <x:c r="C10" s="53" t="str">
        <x:v>HYD 포털에서 쿨러 열화 시나리오를 강사가 처음부터 끝까지 시연한다. 설비 이상 발생, 센서 변화와 경보 감지, 원인 분석, 근거에 기반한 조치 추천, 담당자 승인, 시스템 조치, 재관측 및 최종 결과를 순서대로 보여준다. 각 단계에서 어떤 정보가 사용되고 어떤 결과가 다음 단계로 전달되는지 설명한다. 세부 기술과 내부 실행 구조는 이후 학습에서 다루며, 이 시간에는 전체 과정이 실제로 어떤 문제를 해결하는지 이해하는 데 집중한다.</x:v>
      </x:c>
      <x:c r="D10" s="54" t="n">
        <x:v>20</x:v>
      </x:c>
    </x:row>
    <x:row r="11" s="1" customFormat="1" ht="60" customHeight="1">
      <x:c r="A11" s="63" t="str">
        <x:v>이론</x:v>
      </x:c>
      <x:c r="B11" s="62" t="str">
        <x:v>설비 데이터에 의미와 관계를 부여하는 온톨로지 이해하기</x:v>
      </x:c>
      <x:c r="C11" s="60" t="str">
        <x:v>센서에서 온도가 상승했다는 사실만으로는 어느 부품에 문제가 있는지, 가능한 원인이 무엇인지, 어떤 조치를 취해야 하는지 알기 어려운 이유를 설명한다.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설명하고, 단순한 관계 그림이나 그래프 DB 자체가 온톨로지와 동일한 것은 아니라는 점을 구분한다. 이를 통해 이후 원인 탐색과 근거 기반 판단에 온톨로지가 필요한 이유를 이해한다.</x:v>
      </x:c>
      <x:c r="D11" s="61" t="n">
        <x:v>50</x:v>
      </x:c>
    </x:row>
    <x:row r="12" s="1" customFormat="1" ht="60" customHeight="1">
      <x:c r="A12" s="64" t="str">
        <x:v>실습</x:v>
      </x:c>
      <x:c r="B12" s="55" t="str">
        <x:v>설비 이상과 원인·조치의 관계를 시각화하기</x:v>
      </x:c>
      <x:c r="C12" s="53"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x:v>
      </x:c>
      <x:c r="D12" s="54" t="n">
        <x:v>30</x:v>
      </x:c>
    </x:row>
    <x:row r="13" s="1" customFormat="1" ht="29" customHeight="1">
      <x:c r="A13" s="66" t="inlineStr">
        <x:is>
          <x:t xml:space="preserve">일차 합계</x:t>
        </x:is>
      </x:c>
      <x:c r="D13" s="49" t="n">
        <x:f>SUM(D6:D12)</x:f>
        <x:v>240</x:v>
      </x:c>
    </x:row>
    <x:row r="14">
      <x:c r="A14" s="73" t="n"/>
      <x:c r="B14" s="73" t="n"/>
      <x:c r="C14" s="73" t="n"/>
      <x:c r="D14" s="73" t="n"/>
    </x:row>
    <x:row r="15" s="1" customFormat="1" ht="39" customHeight="1">
      <x:c r="A15" s="43" t="inlineStr">
        <x:is>
          <x:t xml:space="preserve">02일차  |  설비의 지식 구조를 만들고 안전한 조치 기준 마련하기</x:t>
        </x:is>
      </x:c>
      <x:c r="D15" s="44" t="inlineStr">
        <x:is>
          <x:t xml:space="preserve">4H</x:t>
        </x:is>
      </x:c>
    </x:row>
    <x:row r="16" s="1" customFormat="1" ht="29" customHeight="1">
      <x:c r="A16" s="49" t="inlineStr">
        <x:is>
          <x:t xml:space="preserve">구분</x:t>
        </x:is>
      </x:c>
      <x:c r="B16" s="49" t="inlineStr">
        <x:is>
          <x:t xml:space="preserve">제목</x:t>
        </x:is>
      </x:c>
      <x:c r="C16" s="49" t="inlineStr">
        <x:is>
          <x:t xml:space="preserve">상세 교육 내용</x:t>
        </x:is>
      </x:c>
      <x:c r="D16" s="49" t="inlineStr">
        <x:is>
          <x:t xml:space="preserve">시간(분)</x:t>
        </x:is>
      </x:c>
    </x:row>
    <x:row r="17" s="1" customFormat="1" ht="60" customHeight="1">
      <x:c r="A17" s="56" t="inlineStr">
        <x:is>
          <x:t xml:space="preserve">이론</x:t>
        </x:is>
      </x:c>
      <x:c r="B17" s="55" t="inlineStr">
        <x:is>
          <x:t xml:space="preserve">클래스와 인스턴스를 구분해 현장 정보의 구조 이해하기</x:t>
        </x:is>
      </x:c>
      <x:c r="C17" s="53" t="inlineStr">
        <x:is>
          <x:t xml:space="preserve">클래스·인스턴스·속성·관계, 관계 방향, 카디널리티를 HYD 설비와 센서 실례로 설명한다. 같은 종류의 설비와 실제 설비 1대를 구별한다.</x:t>
        </x:is>
      </x:c>
      <x:c r="D17" s="54" t="n">
        <x:v>25</x:v>
      </x:c>
    </x:row>
    <x:row r="18" s="1" customFormat="1" ht="60" customHeight="1">
      <x:c r="A18" s="63" t="inlineStr">
        <x:is>
          <x:t xml:space="preserve">이론</x:t>
        </x:is>
      </x:c>
      <x:c r="B18" s="62" t="inlineStr">
        <x:is>
          <x:t xml:space="preserve">일관된 지식 구조를 만들기 위한 스키마 설계 원리 이해하기</x:t>
        </x:is>
      </x:c>
      <x:c r="C18" s="60" t="inlineStr">
        <x:is>
          <x:t xml:space="preserve">고유 식별자, 자료형, 필수값, 레이블, 노드 간 관계·제약, 스키마와 인스턴스의 역할 차이를 설명한다. 중복 부품 명칭과 동일 설비 구분 문제를 예로 든다.</x:t>
        </x:is>
      </x:c>
      <x:c r="D18" s="61" t="n">
        <x:v>20</x:v>
      </x:c>
    </x:row>
    <x:row r="19" s="1" customFormat="1" ht="60" customHeight="1">
      <x:c r="A19" s="56" t="inlineStr">
        <x:is>
          <x:t xml:space="preserve">이론</x:t>
        </x:is>
      </x:c>
      <x:c r="B19" s="55" t="inlineStr">
        <x:is>
          <x:t xml:space="preserve">그래프 DB에서 연결 관계를 조회하는 방법 이해하기</x:t>
        </x:is>
      </x:c>
      <x:c r="C19" s="53" t="inlineStr">
        <x:is>
          <x:t xml:space="preserve">Neo4j의 노드·관계·속성과 Cypher의 MATCH·WHERE·RETURN·CREATE·MERGE의 목적을 설명한다. 구조 조회와 실제 데이터 적재를 구분한다.</x:t>
        </x:is>
      </x:c>
      <x:c r="D19" s="54" t="n">
        <x:v>15</x:v>
      </x:c>
    </x:row>
    <x:row r="20" s="1" customFormat="1" ht="60" customHeight="1">
      <x:c r="A20" s="65" t="inlineStr">
        <x:is>
          <x:t xml:space="preserve">실습</x:t>
        </x:is>
      </x:c>
      <x:c r="B20" s="62" t="inlineStr">
        <x:is>
          <x:t xml:space="preserve">그래프 DB에서 설비의 연결 관계 조회하기</x:t>
        </x:is>
      </x:c>
      <x:c r="C20" s="60" t="str">
        <x:v>Neo4j Browser의 제공 예제에서 레이블·속성·관계 방향을 확인한다. 설비의 구성 요소·센서·물리량·교체 부품을 MATCH·WHERE·RETURN으로 조회하고 한 단계·여러 단계 결과 및 집계의 원래 행을 대조한다. 예제 DB와 포털 기준 DB를 구별한다.</x:v>
      </x:c>
      <x:c r="D20" s="61" t="n">
        <x:v>15</x:v>
      </x:c>
    </x:row>
    <x:row r="21" s="1" customFormat="1" ht="60" customHeight="1">
      <x:c r="A21" s="64" t="inlineStr">
        <x:is>
          <x:t xml:space="preserve">실습</x:t>
        </x:is>
      </x:c>
      <x:c r="B21" s="55" t="inlineStr">
        <x:is>
          <x:t xml:space="preserve">기준 설비 지식의 실제 연결 구조 확인하기</x:t>
        </x:is>
      </x:c>
      <x:c r="C21" s="53" t="str">
        <x:v>HYD 포털의 지식 지도에서 설비를 선택해 구성요소·센서 등의 연결 관계를 탐색한다. 노드의 종류와 속성, 관계 방향을 확인하고 앞서 배운 클래스·인스턴스·스키마가 실제 시스템에서 어떻게 활용되는지 살펴본다. 랩 전용 그래프와 HYD의 기준 지식 지도가 서로 다른 환경이라는 점도 이해한다.</x:v>
      </x:c>
      <x:c r="D21" s="54" t="n">
        <x:v>10</x:v>
      </x:c>
    </x:row>
    <x:row r="22" s="1" customFormat="1" ht="60" customHeight="1">
      <x:c r="A22" s="65" t="inlineStr">
        <x:is>
          <x:t xml:space="preserve">실습</x:t>
        </x:is>
      </x:c>
      <x:c r="B22" s="62" t="str">
        <x:v>설비·부품·공급 정보를 연결하는 온톨로지 설계하기</x:v>
      </x:c>
      <x:c r="C22" s="60" t="str">
        <x:v>VS Code의 GitHub Copilot·Codex로 제공 설비·센서·부품 자료와 공급_조건.csv를 읽는다. 부품이 쓰이는 설비와 공급 정보를 찾을 수 있도록 기존 모델에 관계를 연결하고 schema.json과 인스턴스를 작성한다. 고유 ID·필수값·관계 방향을 원자료와 대조한다.</x:v>
      </x:c>
      <x:c r="D22" s="61" t="n">
        <x:v>40</x:v>
      </x:c>
    </x:row>
    <x:row r="23" s="1" customFormat="1" ht="60" customHeight="1">
      <x:c r="A23" s="64" t="inlineStr">
        <x:is>
          <x:t xml:space="preserve">실습</x:t>
        </x:is>
      </x:c>
      <x:c r="B23" s="55" t="str">
        <x:v>부품의 사용 설비와 공급 정보를 조회하는 그래프 구현하기</x:v>
      </x:c>
      <x:c r="C23" s="53" t="str">
        <x:v>앞 스키마·인스턴스를 별도 랩 Neo4j에 적재한다. 부품별 사용 설비와 제공된 공급 선택지를 조회하고 원자료와 비교한다. 반복 적재의 중복 여부를 확인해 질의와 결과를 저장한다. 공급사 선정 규칙을 새로 만들지 않으며 문서 인제스천은 3회차에서 수행한다.</x:v>
      </x:c>
      <x:c r="D23" s="54" t="n">
        <x:v>40</x:v>
      </x:c>
    </x:row>
    <x:row r="24" s="1" customFormat="1" ht="60" customHeight="1">
      <x:c r="A24" s="63" t="inlineStr">
        <x:is>
          <x:t xml:space="preserve">이론</x:t>
        </x:is>
      </x:c>
      <x:c r="B24" s="62" t="inlineStr">
        <x:is>
          <x:t xml:space="preserve">작업 절차와 판단 조건이 다른 이유 이해하기</x:t>
        </x:is>
      </x:c>
      <x:c r="C24" s="60" t="inlineStr">
        <x:is>
          <x:t xml:space="preserve">SOP의 단계·안전 전제·금지 조건과 DMN의 입력 조건·결정표·출력 판단을 비교한다. 절차를 모두 규칙으로 대체할 수 없다는 점을 설명한다.</x:t>
        </x:is>
      </x:c>
      <x:c r="D24" s="61" t="n">
        <x:v>35</x:v>
      </x:c>
    </x:row>
    <x:row r="25" s="1" customFormat="1" ht="60" customHeight="1">
      <x:c r="A25" s="64" t="inlineStr">
        <x:is>
          <x:t xml:space="preserve">실습</x:t>
        </x:is>
      </x:c>
      <x:c r="B25" s="55" t="str">
        <x:v>작업 기준의 복합 조건과 예외를 조치 조건표로 표현하기</x:v>
      </x:c>
      <x:c r="C25" s="53" t="str">
        <x:v>제공 SOP에서 경고·감점·제외를 구분해 입력·단위·연산자·경계·출력·출처를 조건표로 작성한다. 복수 사유를 함께 남기고, 입력 누락이 있어도 확인된 제외 근거는 보존한다. 후보 유지와 실행 승인을 구별한다.</x:v>
      </x:c>
      <x:c r="D25" s="54" t="n">
        <x:v>40</x:v>
      </x:c>
    </x:row>
    <x:row r="26" s="1" customFormat="1" ht="29" customHeight="1">
      <x:c r="A26" s="66" t="inlineStr">
        <x:is>
          <x:t xml:space="preserve">일차 합계</x:t>
        </x:is>
      </x:c>
      <x:c r="D26" s="49" t="n">
        <x:f>SUM(D17:D25)</x:f>
        <x:v>240</x:v>
      </x:c>
    </x:row>
    <x:row r="27">
      <x:c r="A27" s="73" t="n"/>
      <x:c r="B27" s="73" t="n"/>
      <x:c r="C27" s="73" t="n"/>
      <x:c r="D27" s="73" t="n"/>
    </x:row>
    <x:row r="28" s="1" customFormat="1" ht="39" customHeight="1">
      <x:c r="A28" s="43" t="inlineStr">
        <x:is>
          <x:t xml:space="preserve">03일차  |  조치의 성과를 비교하고 현장 자료를 판단 근거로 전환하기</x:t>
        </x:is>
      </x:c>
      <x:c r="D28" s="44" t="inlineStr">
        <x:is>
          <x:t xml:space="preserve">4H</x:t>
        </x:is>
      </x:c>
    </x:row>
    <x:row r="29" s="1" customFormat="1" ht="29" customHeight="1">
      <x:c r="A29" s="49" t="inlineStr">
        <x:is>
          <x:t xml:space="preserve">구분</x:t>
        </x:is>
      </x:c>
      <x:c r="B29" s="49" t="inlineStr">
        <x:is>
          <x:t xml:space="preserve">제목</x:t>
        </x:is>
      </x:c>
      <x:c r="C29" s="49" t="inlineStr">
        <x:is>
          <x:t xml:space="preserve">상세 교육 내용</x:t>
        </x:is>
      </x:c>
      <x:c r="D29" s="49" t="inlineStr">
        <x:is>
          <x:t xml:space="preserve">시간(분)</x:t>
        </x:is>
      </x:c>
    </x:row>
    <x:row r="30" s="1" customFormat="1" ht="60" customHeight="1">
      <x:c r="A30" s="56" t="inlineStr">
        <x:is>
          <x:t xml:space="preserve">이론</x:t>
        </x:is>
      </x:c>
      <x:c r="B30" s="55" t="inlineStr">
        <x:is>
          <x:t xml:space="preserve">조치의 효과를 비용과 성과 관점에서 평가하는 기준 이해하기</x:t>
        </x:is>
      </x:c>
      <x:c r="C30" s="53" t="inlineStr">
        <x:is>
          <x:t xml:space="preserve">BSC 4관점과 전략 목표·KPI의 역할, 안전을 만족한 후보 사이에서 예상 비용·생산 영향·품질·에너지 측면을 비교하는 이유, What-if 분석의 개념을 설명한다.</x:t>
        </x:is>
      </x:c>
      <x:c r="D30" s="54" t="n">
        <x:v>20</x:v>
      </x:c>
    </x:row>
    <x:row r="31" s="1" customFormat="1" ht="60" customHeight="1">
      <x:c r="A31" s="65" t="inlineStr">
        <x:is>
          <x:t xml:space="preserve">실습</x:t>
        </x:is>
      </x:c>
      <x:c r="B31" s="62" t="inlineStr">
        <x:is>
          <x:t xml:space="preserve">운전 조건을 바꿔 조치의 우선순위와 성과 비교하기</x:t>
        </x:is>
      </x:c>
      <x:c r="C31" s="60" t="str">
        <x:v>HYD 포털의 조치 판단 규칙·손익/What-if·성과 지표 기능을 활용한다. 특정 설비와 이상 상황을 선택하고 판단에 사용되는 입력값·규칙·조치 후보를 확인한다. 운전 조건과 시험값을 변경해 어떤 규칙이 적용되며 어떤 조치가 허용·제외되는지 비교한다. 허용된 조치의 예상 손익과 판단 순위를 살펴보고, 성과 관점의 중요도나 KPI 목표를 변경했을 때 결과가 어떻게 달라지는지 확인한다. 해당 판단의 근거와 계산에 사용된 출처를 확인하며 시험값 변경이 원본 업무 데이터나 지식을 수정하는 것이 아니라는 점을 이해한다.</x:v>
      </x:c>
      <x:c r="D31" s="61" t="n">
        <x:v>15</x:v>
      </x:c>
    </x:row>
    <x:row r="32" s="1" customFormat="1" ht="60" customHeight="1">
      <x:c r="A32" s="64" t="inlineStr">
        <x:is>
          <x:t xml:space="preserve">실습</x:t>
        </x:is>
      </x:c>
      <x:c r="B32" s="55" t="str">
        <x:v>판정·성과 비교를 조치 검토 결과로 완성하기</x:v>
      </x:c>
      <x:c r="C32" s="53" t="str">
        <x:v>앞 회차 조건표로 허용·제외와 사유를 반환하는 기능을 구현한다. 허용 후보의 비용·성과를 비교하고 선택 이유·원문 근거·추가 확인 사항을 한 결과로 저장한다. 경계·금지·누락을 확인하며 추천과 사람의 실행 승인을 구별한다.</x:v>
      </x:c>
      <x:c r="D32" s="54" t="n">
        <x:v>35</x:v>
      </x:c>
    </x:row>
    <x:row r="33" s="1" customFormat="1" ht="60" customHeight="1">
      <x:c r="A33" s="63" t="inlineStr">
        <x:is>
          <x:t xml:space="preserve">이론</x:t>
        </x:is>
      </x:c>
      <x:c r="B33" s="62" t="inlineStr">
        <x:is>
          <x:t xml:space="preserve">현장 문서를 검토 가능한 지식으로 전환하는 전체 과정 이해하기</x:t>
        </x:is>
      </x:c>
      <x:c r="C33" s="60" t="inlineStr">
        <x:is>
          <x:t xml:space="preserve">원본 문서 확보→추출→클래스·관계 매핑→원문 대조·검토→승인→그래프 적재→조회, 출처·개정 기록의 원리를 설명한다. 2일차 샘플 인스턴스 적재와 본격 문서 인제스천의 차이를 구분한다.</x:t>
        </x:is>
      </x:c>
      <x:c r="D33" s="61" t="n">
        <x:v>30</x:v>
      </x:c>
    </x:row>
    <x:row r="34" s="1" customFormat="1" ht="60" customHeight="1">
      <x:c r="A34" s="64" t="inlineStr">
        <x:is>
          <x:t xml:space="preserve">실습</x:t>
        </x:is>
      </x:c>
      <x:c r="B34" s="55" t="inlineStr">
        <x:is>
          <x:t xml:space="preserve">현장 매뉴얼을 검토해 근거 있는 지식으로 등록하기</x:t>
        </x:is>
      </x:c>
      <x:c r="C34" s="53" t="str">
        <x:v>HYD 포털의 지식 관리에서 제공된 설비 정비 매뉴얼을 등록하고, 원문 보관과 추출 작업 요청부터 진행한다. 추출된 작업 절차·고장 유형·원인·조치 방법·수행 조건·규칙과 원문 구간을 검토한다. 특히 부정 조건·단위·작업 단계 순서·대상 설비를 원문과 비교하여 누락되거나 잘못 해석된 항목을 수정·제외한다. 검토를 통과한 후보가 기존 온톨로지의 어떤 클래스·인스턴스·관계에 연결되는지 확인한 뒤 승인하여 그래프 DB에 등록한다. 지식 지도에서 등록된 조치·원인·근거 문서의 관계를 확인하고, 데이터 연결 화면에서는 정적인 판단 기준과 실제 업무 DB·시계열 DB에서 조회되는 현재값의 차이를 살펴본다.</x:v>
      </x:c>
      <x:c r="D34" s="54" t="n">
        <x:v>35</x:v>
      </x:c>
    </x:row>
    <x:row r="35" s="1" customFormat="1" ht="60" customHeight="1">
      <x:c r="A35" s="65" t="inlineStr">
        <x:is>
          <x:t xml:space="preserve">실습</x:t>
        </x:is>
      </x:c>
      <x:c r="B35" s="62" t="str">
        <x:v>작업 조건과 출처를 보존해 문서 지식 추출하기</x:v>
      </x:c>
      <x:c r="C35" s="60" t="str">
        <x:v>제공 매뉴얼의 표·작업 순서·단위·금지 조건을 구조화해 추출한다. 문서 ID·페이지 또는 구간·원문 인용을 보존하고 후보를 원문과 대조해 수정·채택한다. 다음 실습의 작업 확인 카드에 사용할 근거를 준비한다.</x:v>
      </x:c>
      <x:c r="D35" s="61" t="n">
        <x:v>40</x:v>
      </x:c>
    </x:row>
    <x:row r="36" s="1" customFormat="1" ht="60" customHeight="1">
      <x:c r="A36" s="64" t="inlineStr">
        <x:is>
          <x:t xml:space="preserve">실습</x:t>
        </x:is>
      </x:c>
      <x:c r="B36" s="55" t="str">
        <x:v>검토 지식으로 작업 확인 카드 만들기</x:v>
      </x:c>
      <x:c r="C36" s="53" t="str">
        <x:v>채택한 후보만 기존 랩 그래프의 ID에 맞춰 반영하고 출처를 조회한다. 선택한 작업의 준비·금지·완료 조건을 담은 카드를 생성하는 로컬 기능을 만들고 원문과 대조한다. 문서 밖 절차는 추가하지 않고 카드 파일을 저장한다.</x:v>
      </x:c>
      <x:c r="D36" s="54" t="n">
        <x:v>35</x:v>
      </x:c>
    </x:row>
    <x:row r="37" s="1" customFormat="1" ht="60" customHeight="1">
      <x:c r="A37" s="63" t="inlineStr">
        <x:is>
          <x:t xml:space="preserve">이론</x:t>
        </x:is>
      </x:c>
      <x:c r="B37" s="62" t="inlineStr">
        <x:is>
          <x:t xml:space="preserve">온톨로지 설계부터 지식 활용까지 전체 과정 정리하기 — Wrap-up</x:t>
        </x:is>
      </x:c>
      <x:c r="C37" s="60" t="inlineStr">
        <x:is>
          <x:t xml:space="preserve">온톨로지 WHY→클래스·스키마→그래프 DB→SOP·DMN→BSC·KPI→매뉴얼 인제스천의 역할과 다음 에이전트 학습으로 이어지는 지식 자산을 복습한다. 신규 실습 없음.</x:t>
        </x:is>
      </x:c>
      <x:c r="D37" s="61" t="n">
        <x:v>30</x:v>
      </x:c>
    </x:row>
    <x:row r="38" s="1" customFormat="1" ht="29" customHeight="1">
      <x:c r="A38" s="66" t="inlineStr">
        <x:is>
          <x:t xml:space="preserve">일차 합계</x:t>
        </x:is>
      </x:c>
      <x:c r="D38" s="49" t="n">
        <x:f>SUM(D30:D37)</x:f>
        <x:v>240</x:v>
      </x:c>
    </x:row>
    <x:row r="39">
      <x:c r="A39" s="50" t="n"/>
      <x:c r="B39" s="50" t="n"/>
      <x:c r="C39" s="50" t="n"/>
      <x:c r="D39" s="50" t="n"/>
    </x:row>
    <x:row r="40" s="1" customFormat="1" ht="39" customHeight="1">
      <x:c r="A40" s="43" t="inlineStr">
        <x:is>
          <x:t xml:space="preserve">04일차  |  업무를 수행하는 AI를 만들고 다양한 도구 연결하기</x:t>
        </x:is>
      </x:c>
      <x:c r="D40" s="44" t="inlineStr">
        <x:is>
          <x:t xml:space="preserve">4H</x:t>
        </x:is>
      </x:c>
    </x:row>
    <x:row r="41" s="1" customFormat="1" ht="29" customHeight="1">
      <x:c r="A41" s="49" t="inlineStr">
        <x:is>
          <x:t xml:space="preserve">구분</x:t>
        </x:is>
      </x:c>
      <x:c r="B41" s="49" t="inlineStr">
        <x:is>
          <x:t xml:space="preserve">제목</x:t>
        </x:is>
      </x:c>
      <x:c r="C41" s="49" t="inlineStr">
        <x:is>
          <x:t xml:space="preserve">상세 교육 내용</x:t>
        </x:is>
      </x:c>
      <x:c r="D41" s="49" t="inlineStr">
        <x:is>
          <x:t xml:space="preserve">시간(분)</x:t>
        </x:is>
      </x:c>
    </x:row>
    <x:row r="42" s="1" customFormat="1" ht="60" customHeight="1">
      <x:c r="A42" s="56" t="inlineStr">
        <x:is>
          <x:t xml:space="preserve">이론</x:t>
        </x:is>
      </x:c>
      <x:c r="B42" s="55" t="inlineStr">
        <x:is>
          <x:t xml:space="preserve">실제 업무를 수행하는 AI의 구조 이해하기</x:t>
        </x:is>
      </x:c>
      <x:c r="C42" s="53" t="inlineStr">
        <x:is>
          <x:t xml:space="preserve">LLM·RAG·Agent의 목표·도구·반복 실행 차이, 온톨로지·업무 DB·SOP를 근거로 선택하는 과정과 실패 시 확인해야 할 실행 기록을 압축해 설명한다.</x:t>
        </x:is>
      </x:c>
      <x:c r="D42" s="54" t="n">
        <x:v>30</x:v>
      </x:c>
    </x:row>
    <x:row r="43" s="1" customFormat="1" ht="60" customHeight="1">
      <x:c r="A43" s="65" t="inlineStr">
        <x:is>
          <x:t xml:space="preserve">실습</x:t>
        </x:is>
      </x:c>
      <x:c r="B43" s="62" t="inlineStr">
        <x:is>
          <x:t xml:space="preserve">나의 업무 에이전트 직접 구성하기</x:t>
        </x:is>
      </x:c>
      <x:c r="C43" s="60" t="str">
        <x:v>HYD 포털의 에이전트 화면에서 학생용 에이전트 이름·목표·역할·사용 도구를 설정하고 직접 질문한다. 답변의 근거와 호출 기록을 확인하고, 기준 에이전트와 자신이 설정한 역할이 다른 부분을 확인한다. 준비된 학생 계정과 사용 가능한 읽기 도구를 전제로 한다.</x:v>
      </x:c>
      <x:c r="D43" s="61" t="n">
        <x:v>25</x:v>
      </x:c>
    </x:row>
    <x:row r="44" s="1" customFormat="1" ht="60" customHeight="1">
      <x:c r="A44" s="64" t="inlineStr">
        <x:is>
          <x:t xml:space="preserve">실습</x:t>
        </x:is>
      </x:c>
      <x:c r="B44" s="55" t="str">
        <x:v>원인 분석을 점검 요청 초안으로 연결하기</x:v>
      </x:c>
      <x:c r="C44" s="53" t="str">
        <x:v>설비·문서·부품·센서 자료로 원인 후보와 점검 순서를 제안하는 로컬 에이전트를 만든다. 점검 대상·근거·확인 항목을 담은 요청 초안까지 한 과제로 완성한다. 확인되지 않은 원인은 가설로 표시하고 결과를 5회차 입력으로 저장한다. 포털 작업지시 연동은 하지 않는다.</x:v>
      </x:c>
      <x:c r="D44" s="54" t="n">
        <x:v>45</x:v>
      </x:c>
    </x:row>
    <x:row r="45" s="1" customFormat="1" ht="60" customHeight="1">
      <x:c r="A45" s="63" t="inlineStr">
        <x:is>
          <x:t xml:space="preserve">이론</x:t>
        </x:is>
      </x:c>
      <x:c r="B45" s="62" t="inlineStr">
        <x:is>
          <x:t xml:space="preserve">반복 업무를 재사용 가능한 능력으로 만들기</x:t>
        </x:is>
      </x:c>
      <x:c r="C45" s="60" t="inlineStr">
        <x:is>
          <x:t xml:space="preserve">SKILL.md의 목표·호출 조건·입출력·절차, 현장 SOP와 Agent Skill의 차이를 학습한다. 여러 업무에 같은 지침을 재사용하는 이유를 설명한다.</x:t>
        </x:is>
      </x:c>
      <x:c r="D45" s="61" t="n">
        <x:v>25</x:v>
      </x:c>
    </x:row>
    <x:row r="46" s="1" customFormat="1" ht="60" customHeight="1">
      <x:c r="A46" s="64" t="inlineStr">
        <x:is>
          <x:t xml:space="preserve">실습</x:t>
        </x:is>
      </x:c>
      <x:c r="B46" s="55" t="str">
        <x:v>회의 결정과 후속 업무를 추출하는 스킬 만들기</x:v>
      </x:c>
      <x:c r="C46" s="53" t="str">
        <x:v>제공 회의록 두 건과 점검 메모에서 결정·담당·기한·근거를 뽑는 SKILL.md를 작성한다. 완료·미결 항목을 구분하고 담당이나 기한이 없는 항목은 미정으로 남긴다. 다음 협의 준비에 재사용할 업무 목록을 저장한다.</x:v>
      </x:c>
      <x:c r="D46" s="54" t="n">
        <x:v>45</x:v>
      </x:c>
    </x:row>
    <x:row r="47" s="1" customFormat="1" ht="60" customHeight="1">
      <x:c r="A47" s="63" t="inlineStr">
        <x:is>
          <x:t xml:space="preserve">이론</x:t>
        </x:is>
      </x:c>
      <x:c r="B47" s="62" t="inlineStr">
        <x:is>
          <x:t xml:space="preserve">외부 시스템과 안전하게 연결하는 방법 이해하기</x:t>
        </x:is>
      </x:c>
      <x:c r="C47" s="60" t="inlineStr">
        <x:is>
          <x:t xml:space="preserve">MCP Host·Client·Server·Tool, stdio·HTTP, 입력 스키마·출력, 읽기/쓰기 권한·호출 실패, HYD 포털과 로컬 MCP 설정의 차이를 설명한다.</x:t>
        </x:is>
      </x:c>
      <x:c r="D47" s="61" t="n">
        <x:v>25</x:v>
      </x:c>
    </x:row>
    <x:row r="48" s="1" customFormat="1" ht="69" customHeight="1">
      <x:c r="A48" s="64" t="inlineStr">
        <x:is>
          <x:t xml:space="preserve">실습</x:t>
        </x:is>
      </x:c>
      <x:c r="B48" s="55" t="str">
        <x:v>파일·Git·시간 도구로 다음 협의 안건 만들기</x:v>
      </x:c>
      <x:c r="C48" s="53" t="str">
        <x:v>공통 HYD 읽기 도구 연결을 확인하고 준비된 파일·Git·시간 MCP를 VS Code에서 호출한다. 앞 업무 목록과 변경 이력을 연결해 완료·미결·변경 내용 및 다음 확인 안건을 생성한다. 원자료와 대조해 로컬 파일로 저장한다. 새 서버나 외부 계정 연동은 만들지 않는다.</x:v>
      </x:c>
      <x:c r="D48" s="54" t="n">
        <x:v>45</x:v>
      </x:c>
    </x:row>
    <x:row r="49" s="1" customFormat="1" ht="29" customHeight="1">
      <x:c r="A49" s="66" t="inlineStr">
        <x:is>
          <x:t xml:space="preserve">일차 합계</x:t>
        </x:is>
      </x:c>
      <x:c r="D49" s="49" t="n">
        <x:f>SUM(D42:D48)</x:f>
        <x:v>240</x:v>
      </x:c>
    </x:row>
    <x:row r="50">
      <x:c r="A50" s="50" t="n"/>
      <x:c r="B50" s="50" t="n"/>
      <x:c r="C50" s="50" t="n"/>
      <x:c r="D50" s="50" t="n"/>
    </x:row>
    <x:row r="51" s="1" customFormat="1" ht="39" customHeight="1">
      <x:c r="A51" s="43" t="inlineStr">
        <x:is>
          <x:t xml:space="preserve">05일차  |  사람과 협업하고 변경된 기능까지 검증하기</x:t>
        </x:is>
      </x:c>
      <x:c r="D51" s="44" t="inlineStr">
        <x:is>
          <x:t xml:space="preserve">4H</x:t>
        </x:is>
      </x:c>
    </x:row>
    <x:row r="52" s="1" customFormat="1" ht="29" customHeight="1">
      <x:c r="A52" s="49" t="inlineStr">
        <x:is>
          <x:t xml:space="preserve">구분</x:t>
        </x:is>
      </x:c>
      <x:c r="B52" s="49" t="inlineStr">
        <x:is>
          <x:t xml:space="preserve">제목</x:t>
        </x:is>
      </x:c>
      <x:c r="C52" s="49" t="inlineStr">
        <x:is>
          <x:t xml:space="preserve">상세 교육 내용</x:t>
        </x:is>
      </x:c>
      <x:c r="D52" s="49" t="inlineStr">
        <x:is>
          <x:t xml:space="preserve">시간(분)</x:t>
        </x:is>
      </x:c>
    </x:row>
    <x:row r="53" s="1" customFormat="1" ht="60" customHeight="1">
      <x:c r="A53" s="56" t="inlineStr">
        <x:is>
          <x:t xml:space="preserve">이론</x:t>
        </x:is>
      </x:c>
      <x:c r="B53" s="55" t="inlineStr">
        <x:is>
          <x:t xml:space="preserve">사람이 최종 판단해야 하는 상황 이해하기</x:t>
        </x:is>
      </x:c>
      <x:c r="C53" s="53" t="inlineStr">
        <x:is>
          <x:t xml:space="preserve">HITL의 승인·보류·거절, 역할별 책임·감사 기록, AI의 자체 검토와 사람 결정의 차이를 설명한다.</x:t>
        </x:is>
      </x:c>
      <x:c r="D53" s="54" t="n">
        <x:v>20</x:v>
      </x:c>
    </x:row>
    <x:row r="54" s="1" customFormat="1" ht="60" customHeight="1">
      <x:c r="A54" s="65" t="inlineStr">
        <x:is>
          <x:t xml:space="preserve">실습</x:t>
        </x:is>
      </x:c>
      <x:c r="B54" s="62" t="inlineStr">
        <x:is>
          <x:t xml:space="preserve">사람 승인에 따라 업무가 달라지는 과정 확인하기</x:t>
        </x:is>
      </x:c>
      <x:c r="C54" s="60" t="str">
        <x:v>HYD 포털의 처리 건·내 작업함에서 기존 승인 대기 건과 역할을 확인한다. 권한이 있는 담당자의 승인·거절이 흐름 상태에 미치는 영향을 확인하고, 쓰기 권한이 없는 계정의 제한을 설명한다. 실제 수업용 시나리오와 역할을 사전 준비한다.</x:v>
      </x:c>
      <x:c r="D54" s="61" t="n">
        <x:v>15</x:v>
      </x:c>
    </x:row>
    <x:row r="55" s="1" customFormat="1" ht="60" customHeight="1">
      <x:c r="A55" s="64" t="inlineStr">
        <x:is>
          <x:t xml:space="preserve">실습</x:t>
        </x:is>
      </x:c>
      <x:c r="B55" s="55" t="str">
        <x:v>점검 요청의 부족한 정보를 질문하고 재개하기</x:v>
      </x:c>
      <x:c r="C55" s="53" t="str">
        <x:v>4회차 점검 요청 초안 프로젝트의 필수 입력과 완료 기준을 정한다. 누락 시 보류·질문·추가 답변 반영·재판단을 구현하고 근거와 처리 상태를 보존한다. 사람 승인이 필요한 결과를 자동 확정하지 않는다.</x:v>
      </x:c>
      <x:c r="D55" s="54" t="n">
        <x:v>35</x:v>
      </x:c>
    </x:row>
    <x:row r="56" s="1" customFormat="1" ht="60" customHeight="1">
      <x:c r="A56" s="63" t="inlineStr">
        <x:is>
          <x:t xml:space="preserve">이론</x:t>
        </x:is>
      </x:c>
      <x:c r="B56" s="62" t="inlineStr">
        <x:is>
          <x:t xml:space="preserve">기존 기능을 보존하면서 요구사항 확장하기</x:t>
        </x:is>
      </x:c>
      <x:c r="C56" s="60" t="inlineStr">
        <x:is>
          <x:t xml:space="preserve">SDD의 입력/출력 계약·제약·수용 기준과 모호한 바이브 코딩 변경의 위험을 설명한다. spec.md에 지켜야 할 일반 업무 기능과 긴급 요청의 차이를 명시하는 이유를 연결한다.</x:t>
        </x:is>
      </x:c>
      <x:c r="D56" s="61" t="n">
        <x:v>30</x:v>
      </x:c>
    </x:row>
    <x:row r="57" s="1" customFormat="1" ht="69" customHeight="1">
      <x:c r="A57" s="64" t="inlineStr">
        <x:is>
          <x:t xml:space="preserve">실습</x:t>
        </x:is>
      </x:c>
      <x:c r="B57" s="55" t="str">
        <x:v>내 활용 기능의 요구 변경을 명세하고 구현하기</x:v>
      </x:c>
      <x:c r="C57" s="53" t="str">
        <x:v>같은 점검 요청 프로젝트에서 필요한 변경 한 건을 정한다. 입력·출력·사람 확인·완료 기준을 spec.md에 적고 기존 기능을 보존하며 변경한다. 새 분야로 전환하거나 정해진 수의 예외를 억지로 추가하지 않는다.</x:v>
      </x:c>
      <x:c r="D57" s="54" t="n">
        <x:v>50</x:v>
      </x:c>
    </x:row>
    <x:row r="58" s="1" customFormat="1" ht="60" customHeight="1">
      <x:c r="A58" s="63" t="inlineStr">
        <x:is>
          <x:t xml:space="preserve">이론</x:t>
        </x:is>
      </x:c>
      <x:c r="B58" s="62" t="inlineStr">
        <x:is>
          <x:t xml:space="preserve">에이전트의 행동을 시나리오로 검증하기</x:t>
        </x:is>
      </x:c>
      <x:c r="C58" s="60" t="inlineStr">
        <x:is>
          <x:t xml:space="preserve">BDD의 Given/When/Then, SDD와의 차이, 정상·누락·거절·경계 조건 및 회귀 검증을 설명한다.</x:t>
        </x:is>
      </x:c>
      <x:c r="D58" s="61" t="n">
        <x:v>20</x:v>
      </x:c>
    </x:row>
    <x:row r="59" s="1" customFormat="1" ht="60" customHeight="1">
      <x:c r="A59" s="64" t="inlineStr">
        <x:is>
          <x:t xml:space="preserve">실습</x:t>
        </x:is>
      </x:c>
      <x:c r="B59" s="55" t="str">
        <x:v>직접 정한 기대 결과로 활용 기능 검증하기</x:v>
      </x:c>
      <x:c r="C59" s="53" t="str">
        <x:v>같은 프로젝트와 spec.md를 기준으로 정상·정보 누락·변경 요구·기존 기능의 기대 결과를 Given/When/Then으로 작성한다. 실제 결과와 비교하고 발견된 오류를 수정해 회귀 확인한다. 실패를 연출하거나 검증하지 않은 성공을 기록하지 않는다.</x:v>
      </x:c>
      <x:c r="D59" s="54" t="n">
        <x:v>40</x:v>
      </x:c>
    </x:row>
    <x:row r="60" s="1" customFormat="1" ht="60" customHeight="1">
      <x:c r="A60" s="63" t="inlineStr">
        <x:is>
          <x:t xml:space="preserve">이론</x:t>
        </x:is>
      </x:c>
      <x:c r="B60" s="62" t="inlineStr">
        <x:is>
          <x:t xml:space="preserve">업무 에이전트의 제작과 검증 과정 정리하기 — Wrap-up</x:t>
        </x:is>
      </x:c>
      <x:c r="C60" s="60" t="inlineStr">
        <x:is>
          <x:t xml:space="preserve">Agent·Skill·MCP·HITL·SDD·BDD가 각각 해결하는 문제와 구현 산출물을 복습하고 BPMN 업무 연결을 예고한다. 새로운 실습 없음.</x:t>
        </x:is>
      </x:c>
      <x:c r="D60" s="61" t="n">
        <x:v>30</x:v>
      </x:c>
    </x:row>
    <x:row r="61" s="1" customFormat="1" ht="29" customHeight="1">
      <x:c r="A61" s="66" t="inlineStr">
        <x:is>
          <x:t xml:space="preserve">일차 합계</x:t>
        </x:is>
      </x:c>
      <x:c r="D61" s="49" t="n">
        <x:f>SUM(D53:D60)</x:f>
        <x:v>240</x:v>
      </x:c>
    </x:row>
    <x:row r="62">
      <x:c r="A62" s="50" t="n"/>
      <x:c r="B62" s="50" t="n"/>
      <x:c r="C62" s="50" t="n"/>
      <x:c r="D62" s="50" t="n"/>
    </x:row>
    <x:row r="63" s="1" customFormat="1" ht="39" customHeight="1">
      <x:c r="A63" s="43" t="inlineStr">
        <x:is>
          <x:t xml:space="preserve">06일차  |  설비 이상 대응을 안전하게 실행하는 프로세스 완성하기</x:t>
        </x:is>
      </x:c>
      <x:c r="D63" s="44" t="inlineStr">
        <x:is>
          <x:t xml:space="preserve">4H</x:t>
        </x:is>
      </x:c>
    </x:row>
    <x:row r="64" s="1" customFormat="1" ht="29" customHeight="1">
      <x:c r="A64" s="49" t="inlineStr">
        <x:is>
          <x:t xml:space="preserve">구분</x:t>
        </x:is>
      </x:c>
      <x:c r="B64" s="49" t="inlineStr">
        <x:is>
          <x:t xml:space="preserve">제목</x:t>
        </x:is>
      </x:c>
      <x:c r="C64" s="49" t="inlineStr">
        <x:is>
          <x:t xml:space="preserve">상세 교육 내용</x:t>
        </x:is>
      </x:c>
      <x:c r="D64" s="49" t="inlineStr">
        <x:is>
          <x:t xml:space="preserve">시간(분)</x:t>
        </x:is>
      </x:c>
    </x:row>
    <x:row r="65" s="1" customFormat="1" ht="60" customHeight="1">
      <x:c r="A65" s="56" t="inlineStr">
        <x:is>
          <x:t xml:space="preserve">이론</x:t>
        </x:is>
      </x:c>
      <x:c r="B65" s="55" t="inlineStr">
        <x:is>
          <x:t xml:space="preserve">AI 작업과 비즈니스 프로세스의 차이 이해하기</x:t>
        </x:is>
      </x:c>
      <x:c r="C65" s="53" t="inlineStr">
        <x:is>
          <x:t xml:space="preserve">End-to-End 업무, 시작·입력·담당·완료와 BPM의 분석·설계·실행·모니터링·개선, 에이전트의 단일 작업과 오케스트레이션의 전체 흐름 책임을 설명한다.</x:t>
        </x:is>
      </x:c>
      <x:c r="D65" s="54" t="n">
        <x:v>20</x:v>
      </x:c>
    </x:row>
    <x:row r="66" s="1" customFormat="1" ht="60" customHeight="1">
      <x:c r="A66" s="63" t="inlineStr">
        <x:is>
          <x:t xml:space="preserve">이론</x:t>
        </x:is>
      </x:c>
      <x:c r="B66" s="62" t="inlineStr">
        <x:is>
          <x:t xml:space="preserve">업무 흐름을 표현하는 공통 규칙 이해하기</x:t>
        </x:is>
      </x:c>
      <x:c r="C66" s="60" t="inlineStr">
        <x:is>
          <x:t xml:space="preserve">BPMN의 Event·Task·Gateway·Lane·Sequence Flow·Message Flow, 승인·거절·Timer·Boundary Event를 설비 이상 대응을 통해 설명한다.</x:t>
        </x:is>
      </x:c>
      <x:c r="D66" s="61" t="n">
        <x:v>20</x:v>
      </x:c>
    </x:row>
    <x:row r="67" s="1" customFormat="1" ht="60" customHeight="1">
      <x:c r="A67" s="56" t="inlineStr">
        <x:is>
          <x:t xml:space="preserve">이론</x:t>
        </x:is>
      </x:c>
      <x:c r="B67" s="55" t="inlineStr">
        <x:is>
          <x:t xml:space="preserve">프로세스의 실행과 통제 구조 이해하기</x:t>
        </x:is>
      </x:c>
      <x:c r="C67" s="53" t="inlineStr">
        <x:is>
          <x:t xml:space="preserve">정의·인스턴스·프로세스 변수·Token, 프로세스 엔진, User/Service/Agent 작업, 상태·권한·배포·감사 기록의 의미를 설명한다.</x:t>
        </x:is>
      </x:c>
      <x:c r="D67" s="54" t="n">
        <x:v>20</x:v>
      </x:c>
    </x:row>
    <x:row r="68" s="1" customFormat="1" ht="60" customHeight="1">
      <x:c r="A68" s="65" t="inlineStr">
        <x:is>
          <x:t xml:space="preserve">실습</x:t>
        </x:is>
      </x:c>
      <x:c r="B68" s="62" t="inlineStr">
        <x:is>
          <x:t xml:space="preserve">업무 설계 도구의 기본 사용법 익히기</x:t>
        </x:is>
      </x:c>
      <x:c r="C68" s="60" t="inlineStr">
        <x:is>
          <x:t xml:space="preserve">bpmn.io에서 요소 배치·연결·수정·속성 확인, .bpmn 저장·불러오기를 직접 실행한다.</x:t>
        </x:is>
      </x:c>
      <x:c r="D68" s="61" t="n">
        <x:v>20</x:v>
      </x:c>
    </x:row>
    <x:row r="69" s="1" customFormat="1" ht="60" customHeight="1">
      <x:c r="A69" s="64" t="inlineStr">
        <x:is>
          <x:t xml:space="preserve">실습</x:t>
        </x:is>
      </x:c>
      <x:c r="B69" s="55" t="inlineStr">
        <x:is>
          <x:t xml:space="preserve">간단한 승인 업무 흐름 그려보기</x:t>
        </x:is>
      </x:c>
      <x:c r="C69" s="53" t="inlineStr">
        <x:is>
          <x:t xml:space="preserve">시작→요청 확인→승인 여부→승인/반려 종료를 그려 Event·Task·Gateway와 각 경로 연결을 확인한다.</x:t>
        </x:is>
      </x:c>
      <x:c r="D69" s="54" t="n">
        <x:v>15</x:v>
      </x:c>
    </x:row>
    <x:row r="70" s="1" customFormat="1" ht="60" customHeight="1">
      <x:c r="A70" s="65" t="inlineStr">
        <x:is>
          <x:t xml:space="preserve">실습</x:t>
        </x:is>
      </x:c>
      <x:c r="B70" s="62" t="inlineStr">
        <x:is>
          <x:t xml:space="preserve">설비 이상을 조치까지 연결하는 흐름 설계하기</x:t>
        </x:is>
      </x:c>
      <x:c r="C70" s="60" t="inlineStr">
        <x:is>
          <x:t xml:space="preserve">쿨러 경보→진단·조치 제안 에이전트→운전원 승인→PLC 명령→효과 재확인→보고를 bpmn.io에서 작성하고 역할별 Lane을 구성한다.</x:t>
        </x:is>
      </x:c>
      <x:c r="D70" s="61" t="n">
        <x:v>40</x:v>
      </x:c>
    </x:row>
    <x:row r="71" s="1" customFormat="1" ht="60" customHeight="1">
      <x:c r="A71" s="64" t="inlineStr">
        <x:is>
          <x:t xml:space="preserve">실습</x:t>
        </x:is>
      </x:c>
      <x:c r="B71" s="55" t="inlineStr">
        <x:is>
          <x:t xml:space="preserve">승인 조건과 예외를 반영해 안전한 흐름 만들기</x:t>
        </x:is>
      </x:c>
      <x:c r="C71" s="53" t="inlineStr">
        <x:is>
          <x:t xml:space="preserve">승인·거절 분기, 반려 종료, 승인 지연 알림 Timer를 구성한다. 거절 시 명령이 실행되지 않으며 알림이 사람 작업을 취소하지 않는 구조를 확인한다.</x:t>
        </x:is>
      </x:c>
      <x:c r="D71" s="54" t="n">
        <x:v>30</x:v>
      </x:c>
    </x:row>
    <x:row r="72" s="1" customFormat="1" ht="60" customHeight="1">
      <x:c r="A72" s="65" t="inlineStr">
        <x:is>
          <x:t xml:space="preserve">실습</x:t>
        </x:is>
      </x:c>
      <x:c r="B72" s="62" t="inlineStr">
        <x:is>
          <x:t xml:space="preserve">작성한 흐름에 에이전트와 실행 기능 연결하기</x:t>
        </x:is>
      </x:c>
      <x:c r="C72" s="60" t="inlineStr">
        <x:is>
          <x:t xml:space="preserve">HYD에 BPMN을 가져와 쿨러 경보 시작 조건, 기존 에이전트, 승인 역할, PLC 명령·재관측·결과 작업을 매핑한다. 포털에 없는 시스템 설정은 수업 제공 mapping.json과 검증된 API 절차를 사용한다.</x:t>
        </x:is>
      </x:c>
      <x:c r="D72" s="61" t="n">
        <x:v>30</x:v>
      </x:c>
    </x:row>
    <x:row r="73" s="1" customFormat="1" ht="60" customHeight="1">
      <x:c r="A73" s="64" t="inlineStr">
        <x:is>
          <x:t xml:space="preserve">실습</x:t>
        </x:is>
      </x:c>
      <x:c r="B73" s="55" t="inlineStr">
        <x:is>
          <x:t xml:space="preserve">연결 오류를 검사하고 실행 가능한 정의로 배포하기</x:t>
        </x:is>
      </x:c>
      <x:c r="C73" s="53" t="inlineStr">
        <x:is>
          <x:t xml:space="preserve">실제 사전 검사에서 잡히는 필수 작업 부품 누락·분기 조건 누락 사례를 확인하고 수정한다. 정상적으로 검사 통과한 정의를 등록·배포한다.</x:t>
        </x:is>
      </x:c>
      <x:c r="D73" s="54" t="n">
        <x:v>25</x:v>
      </x:c>
    </x:row>
    <x:row r="74" s="1" customFormat="1" ht="60" customHeight="1">
      <x:c r="A74" s="65" t="inlineStr">
        <x:is>
          <x:t xml:space="preserve">실습</x:t>
        </x:is>
      </x:c>
      <x:c r="B74" s="62" t="inlineStr">
        <x:is>
          <x:t xml:space="preserve">실제 설비 이벤트로 프로세스의 처리 결과 검증하기</x:t>
        </x:is>
      </x:c>
      <x:c r="C74" s="60" t="inlineStr">
        <x:is>
          <x:t xml:space="preserve">쿨러 열화 버튼으로 자신의 프로세스 인스턴스를 시작하고 에이전트·승인·설비 명령·효과 확인·종료를 확인한다. 정상 처리 건과 승인 대기 상태를 구분한다.</x:t>
        </x:is>
      </x:c>
      <x:c r="D74" s="61" t="n">
        <x:v>20</x:v>
      </x:c>
    </x:row>
    <x:row r="75" s="1" customFormat="1" ht="29" customHeight="1">
      <x:c r="A75" s="66" t="inlineStr">
        <x:is>
          <x:t xml:space="preserve">일차 합계</x:t>
        </x:is>
      </x:c>
      <x:c r="D75" s="49" t="n">
        <x:f>SUM(D65:D74)</x:f>
        <x:v>240</x:v>
      </x:c>
    </x:row>
    <x:row r="76">
      <x:c r="A76" s="50" t="n"/>
      <x:c r="B76" s="50" t="n"/>
      <x:c r="C76" s="50" t="n"/>
      <x:c r="D76" s="50" t="n"/>
    </x:row>
    <x:row r="77" s="1" customFormat="1" ht="39" customHeight="1">
      <x:c r="A77" s="43" t="inlineStr">
        <x:is>
          <x:t xml:space="preserve">07일차  |  정비와 구매 업무를 연결하고 프로세스의 실행 결과 검증하기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60" customHeight="1">
      <x:c r="A79" s="56" t="inlineStr">
        <x:is>
          <x:t xml:space="preserve">이론</x:t>
        </x:is>
      </x:c>
      <x:c r="B79" s="55" t="inlineStr">
        <x:is>
          <x:t xml:space="preserve">여러 업무의 시작 조건과 실행 결과를 일관되게 관리하기</x:t>
        </x:is>
      </x:c>
      <x:c r="C79" s="53" t="inlineStr">
        <x:is>
          <x:t xml:space="preserve">정기 점검 도래와 재고 부족 시작 이벤트, 승인자·시스템 차이, 프로세스 정의 재사용·인스턴스 상태·배포·오류·반려 기록을 압축 설명한다.</x:t>
        </x:is>
      </x:c>
      <x:c r="D79" s="54" t="n">
        <x:v>20</x:v>
      </x:c>
    </x:row>
    <x:row r="80" s="1" customFormat="1" ht="60" customHeight="1">
      <x:c r="A80" s="65" t="inlineStr">
        <x:is>
          <x:t xml:space="preserve">실습</x:t>
        </x:is>
      </x:c>
      <x:c r="B80" s="62" t="inlineStr">
        <x:is>
          <x:t xml:space="preserve">정기 점검부터 작업지시까지 이어지는 프로세스 설계하기</x:t>
        </x:is>
      </x:c>
      <x:c r="C80" s="60" t="inlineStr">
        <x:is>
          <x:t xml:space="preserve">bpmn.io에서 정기 점검 도래→정비 계획 에이전트→설비보전팀장 승인·거절→CMMS 오더→생산팀 공지→종료를 그린다. 공통 역할·승인 구조에 기반해 작업과 분기 조건을 완성한다.</x:t>
        </x:is>
      </x:c>
      <x:c r="D80" s="61" t="n">
        <x:v>50</x:v>
      </x:c>
    </x:row>
    <x:row r="81" s="1" customFormat="1" ht="60" customHeight="1">
      <x:c r="A81" s="64" t="inlineStr">
        <x:is>
          <x:t xml:space="preserve">실습</x:t>
        </x:is>
      </x:c>
      <x:c r="B81" s="55" t="inlineStr">
        <x:is>
          <x:t xml:space="preserve">정비 프로세스를 실행하고 승인 조건 검증하기</x:t>
        </x:is>
      </x:c>
      <x:c r="C81" s="53" t="inlineStr">
        <x:is>
          <x:t xml:space="preserve">HYD에 정비 BPMN을 연결·검사·배포하고 정기 점검 이벤트로 실행한다. 승인 시 작업지시·공지가 진행되고 반려 시 오더가 생성되지 않는 차이를 확인한다. 연결 값 파일 지원 범위를 준수한다.</x:t>
        </x:is>
      </x:c>
      <x:c r="D81" s="54" t="n">
        <x:v>45</x:v>
      </x:c>
    </x:row>
    <x:row r="82" s="1" customFormat="1" ht="60" customHeight="1">
      <x:c r="A82" s="65" t="inlineStr">
        <x:is>
          <x:t xml:space="preserve">실습</x:t>
        </x:is>
      </x:c>
      <x:c r="B82" s="62" t="inlineStr">
        <x:is>
          <x:t xml:space="preserve">재고 부족부터 발주·입고까지 이어지는 프로세스 설계하기</x:t>
        </x:is>
      </x:c>
      <x:c r="C82" s="60" t="inlineStr">
        <x:is>
          <x:t xml:space="preserve">bpmn.io에서 재고 부족→기존 구매 에이전트→구매 담당자 승인·거절→ERP 발주→공급사 통지→즉시 입고 반영→종료를 작성한다. ERP와 재고 기능은 HYD 시뮬레이션으로 다룬다.</x:t>
        </x:is>
      </x:c>
      <x:c r="D82" s="61" t="n">
        <x:v>50</x:v>
      </x:c>
    </x:row>
    <x:row r="83" s="1" customFormat="1" ht="60" customHeight="1">
      <x:c r="A83" s="64" t="inlineStr">
        <x:is>
          <x:t xml:space="preserve">실습</x:t>
        </x:is>
      </x:c>
      <x:c r="B83" s="55" t="inlineStr">
        <x:is>
          <x:t xml:space="preserve">구매 프로세스를 실행하고 처리 결과 검증하기</x:t>
        </x:is>
      </x:c>
      <x:c r="C83" s="53" t="inlineStr">
        <x:is>
          <x:t xml:space="preserve">작성한 BPMN을 매핑·사전 검사·배포하고 재고 보충 이벤트로 실행한다. 승인 시 발주·통지·재고 반영, 거절 시 발주 차단을 확인한다. 기존 처리 결과를 근거로 검증한다.</x:t>
        </x:is>
      </x:c>
      <x:c r="D83" s="54" t="n">
        <x:v>45</x:v>
      </x:c>
    </x:row>
    <x:row r="84" s="1" customFormat="1" ht="60" customHeight="1">
      <x:c r="A84" s="63" t="inlineStr">
        <x:is>
          <x:t xml:space="preserve">이론</x:t>
        </x:is>
      </x:c>
      <x:c r="B84" s="62" t="inlineStr">
        <x:is>
          <x:t xml:space="preserve">프로세스 설계·실행·검증 과정 정리하기 — Wrap-up</x:t>
        </x:is>
      </x:c>
      <x:c r="C84" s="60" t="inlineStr">
        <x:is>
          <x:t xml:space="preserve">BPMN 모델, 엔진의 정의·인스턴스, 이벤트·에이전트·사람·시스템의 역할과 온톨로지부터 프로세스까지의 학습 연결을 복습한다. 신규 실습 없음.</x:t>
        </x:is>
      </x:c>
      <x:c r="D84" s="61" t="n">
        <x:v>30</x:v>
      </x:c>
    </x:row>
    <x:row r="85" s="1" customFormat="1" ht="29" customHeight="1">
      <x:c r="A85" s="66" t="inlineStr">
        <x:is>
          <x:t xml:space="preserve">일차 합계</x:t>
        </x:is>
      </x:c>
      <x:c r="D85" s="49" t="n">
        <x:f>SUM(D79:D84)</x:f>
        <x:v>240</x:v>
      </x:c>
    </x:row>
    <x:row r="86">
      <x:c r="A86" s="50" t="n"/>
      <x:c r="B86" s="50" t="n"/>
      <x:c r="C86" s="50" t="n"/>
      <x:c r="D86" s="50" t="n"/>
    </x:row>
    <x:row r="87" s="1" customFormat="1" ht="39" customHeight="1">
      <x:c r="A87" s="43" t="str">
        <x:v>08일차  |  추가 지식과 에이전트로 교대 인수인계 완성하기</x:v>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60" customHeight="1">
      <x:c r="A89" s="56" t="inlineStr">
        <x:is>
          <x:t xml:space="preserve">이론</x:t>
        </x:is>
      </x:c>
      <x:c r="B89" s="55" t="inlineStr">
        <x:is>
          <x:t xml:space="preserve">현장 지식이 AI의 판단 근거가 되는 과정 복습하기</x:t>
        </x:is>
      </x:c>
      <x:c r="C89" s="53" t="inlineStr">
        <x:is>
          <x:t xml:space="preserve">온톨로지·스키마·그래프·SOP·DMN·BSC/KPI·매뉴얼 인제스천에서 만든 공용 지식이 에이전트 도구 조회로 어떻게 쓰이는지 되짚는다.</x:t>
        </x:is>
      </x:c>
      <x:c r="D89" s="54" t="n">
        <x:v>30</x:v>
      </x:c>
    </x:row>
    <x:row r="90" s="1" customFormat="1" ht="60" customHeight="1">
      <x:c r="A90" s="63" t="inlineStr">
        <x:is>
          <x:t xml:space="preserve">이론</x:t>
        </x:is>
      </x:c>
      <x:c r="B90" s="62" t="inlineStr">
        <x:is>
          <x:t xml:space="preserve">에이전트가 사람과 시스템을 통해 업무를 완료하는 구조 복습하기</x:t>
        </x:is>
      </x:c>
      <x:c r="C90" s="60" t="inlineStr">
        <x:is>
          <x:t xml:space="preserve">Agent·Skill·MCP·HITL·SDD·BDD, BPMN 정의·인스턴스·작업 담당·승인·시스템 작업의 차이를 전체 처리 건 시나리오로 연결한다.</x:t>
        </x:is>
      </x:c>
      <x:c r="D90" s="61" t="n">
        <x:v>30</x:v>
      </x:c>
    </x:row>
    <x:row r="91" s="1" customFormat="1" ht="60" customHeight="1">
      <x:c r="A91" s="64" t="inlineStr">
        <x:is>
          <x:t xml:space="preserve">실습</x:t>
        </x:is>
      </x:c>
      <x:c r="B91" s="55" t="str">
        <x:v>교대 인수인계의 입력과 완료 조건 정의하기</x:v>
      </x:c>
      <x:c r="C91"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91" s="54" t="n">
        <x:v>30</x:v>
      </x:c>
    </x:row>
    <x:row r="92" s="1" customFormat="1" ht="60" customHeight="1">
      <x:c r="A92" s="65" t="inlineStr">
        <x:is>
          <x:t xml:space="preserve">실습</x:t>
        </x:is>
      </x:c>
      <x:c r="B92" s="62" t="str">
        <x:v>보충 매뉴얼을 추출·검토하여 기존 지식에 추가하기</x:v>
      </x:c>
      <x:c r="C92" s="60" t="str">
        <x:v>강사가 제공한 설비 점검·이상 확인 보충 매뉴얼에서 절차·조건·근거를 추출하고 원문 대조 후 적재한다. 기존 제조 스키마와 지식은 유지하며 새 문서로 추가한다. 동일 조건의 추출 결과를 재사용할 때는 이를 표시한다. 임의 문서는 허용하지 않는다.</x:v>
      </x:c>
      <x:c r="D92" s="61" t="n">
        <x:v>30</x:v>
      </x:c>
    </x:row>
    <x:row r="93" s="1" customFormat="1" ht="60" customHeight="1">
      <x:c r="A93" s="64" t="inlineStr">
        <x:is>
          <x:t xml:space="preserve">실습</x:t>
        </x:is>
      </x:c>
      <x:c r="B93" s="55" t="str">
        <x:v>설비·정비·ERP를 대조하는 인수인계 에이전트 만들기</x:v>
      </x:c>
      <x:c r="C93" s="53" t="str">
        <x:v>기존 지식과 허용된 설비·정비·ERP 조회 도구로 인계안을 작성하는 에이전트·스킬을 구성한다. 완료 메모와 열린 작업지시, 부품 도착 예정과 실제 재고의 불일치를 확인 사항으로 남긴다. 최신 값은 원천에서 조회하고 미확인 업무를 완료로 추정하지 않는다.</x:v>
      </x:c>
      <x:c r="D93" s="54" t="n">
        <x:v>30</x:v>
      </x:c>
    </x:row>
    <x:row r="94" s="1" customFormat="1" ht="60" customHeight="1">
      <x:c r="A94" s="65" t="inlineStr">
        <x:is>
          <x:t xml:space="preserve">실습</x:t>
        </x:is>
      </x:c>
      <x:c r="B94" s="62" t="str">
        <x:v>교대 인수인계 BPMN을 등록하고 검토·확인 흐름 실행하기</x:v>
      </x:c>
      <x:c r="C94" s="60" t="str">
        <x:v>bpmn.io에서 자료 조회→인계안 작성→인계자 검토→인수자 확인 또는 보완 요청→완료 기록을 설계한다. 포털에서 별도 정의·시작 폼·에이전트·역할을 연결해 등록한다. 설비·교대를 입력해 시작하고 정상·불일치·보완 경로와 인계 기록을 확인한다.</x:v>
      </x:c>
      <x:c r="D94" s="61" t="n">
        <x:v>30</x:v>
      </x:c>
    </x:row>
    <x:row r="95" s="1" customFormat="1" ht="60" customHeight="1">
      <x:c r="A95" s="65" t="inlineStr">
        <x:is>
          <x:t xml:space="preserve">실습</x:t>
        </x:is>
      </x:c>
      <x:c r="B95" s="62" t="inlineStr">
        <x:is>
          <x:t xml:space="preserve">ProcessGPT 시연으로 지식·에이전트·프로세스의 연결 확인하기</x:t>
        </x:is>
      </x:c>
      <x:c r="C95" s="60" t="inlineStr">
        <x:is>
          <x:t xml:space="preserve">[강사 시연] 지금까지 만든 지식·에이전트·프로세스와 HYD 포털보다 고도화된 제품인 ProcessGPT를 강사가 직접 보여 준다. ProcessGPT와 HYD의 관계, 프로세스 정의·실행 인스턴스·사람 작업·에이전트 활동 기능을 비교하면서 실제 제품과 수업용 구현의 경계를 설명한다.</x:t>
        </x:is>
      </x:c>
      <x:c r="D95" s="61" t="n">
        <x:v>40</x:v>
      </x:c>
    </x:row>
    <x:row r="96" s="1" customFormat="1" ht="60" customHeight="1">
      <x:c r="A96" s="65" t="inlineStr">
        <x:is>
          <x:t xml:space="preserve">실습</x:t>
        </x:is>
      </x:c>
      <x:c r="B96" s="62" t="inlineStr">
        <x:is>
          <x:t xml:space="preserve">제작 결과를 Notion 학습노트에 기록하기</x:t>
        </x:is>
      </x:c>
      <x:c r="C96" s="60" t="inlineStr">
        <x:is>
          <x:t xml:space="preserve">첫날 만든 Notion 공간에 핵심 개념·실습 결과·참고 출처를 정리한다. 사전 검증된 Notion MCP 쓰기 권한이 있을 때만 연동을 시연하며 그렇지 않으면 준비한 Markdown을 직접 붙여 완성한다.</x:t>
        </x:is>
      </x:c>
      <x:c r="D96" s="61" t="n">
        <x:v>20</x:v>
      </x:c>
    </x:row>
    <x:row r="97" s="1" customFormat="1" ht="29" customHeight="1">
      <x:c r="A97" s="66" t="inlineStr">
        <x:is>
          <x:t xml:space="preserve">일차 합계</x:t>
        </x:is>
      </x:c>
      <x:c r="D97" s="49" t="n">
        <x:f>SUM(D89:D96)</x:f>
        <x:v>240</x:v>
      </x:c>
    </x:row>
    <x:row r="98">
      <x:c r="A98" s="50" t="n"/>
      <x:c r="B98" s="50" t="n"/>
      <x:c r="C98" s="50" t="n"/>
      <x:c r="D98" s="50" t="n"/>
    </x:row>
    <x:row r="99" s="1" customFormat="1" ht="36" customHeight="1">
      <x:c r="A99" s="43" t="inlineStr">
        <x:is>
          <x:t xml:space="preserve">전체 온라인 강의 합계</x:t>
        </x:is>
      </x:c>
      <x:c r="D99" s="44" t="n">
        <x:f>SUM(D13,D26,D38,D49,D61,D75,D85,D97)</x:f>
        <x:v>1920</x:v>
      </x:c>
    </x:row>
    <x:row r="100">
      <x:c r="A100" s="50" t="n"/>
      <x:c r="B100" s="50" t="n"/>
      <x:c r="C100" s="50" t="n"/>
      <x:c r="D100" s="50" t="n"/>
    </x:row>
    <x:row r="101" s="1" customFormat="1" ht="50" customHeight="1">
      <x:c r="A101"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02">
      <x:c r="A102" s="50" t="n"/>
      <x:c r="B102" s="50" t="n"/>
      <x:c r="C102" s="50" t="n"/>
      <x:c r="D102" s="50" t="n"/>
    </x:row>
    <x:row r="103" s="1" customFormat="1" ht="50" customHeight="1">
      <x:c r="A103"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04">
      <x:c r="A104" s="50" t="n"/>
      <x:c r="B104" s="50" t="n"/>
      <x:c r="C104" s="50" t="n"/>
      <x:c r="D104" s="50" t="n"/>
    </x:row>
    <x:row r="105" s="1" customFormat="1" ht="50" customHeight="1">
      <x:c r="A105" s="69" t="inlineStr">
        <x:is>
          <x:t xml:space="preserve">HYD 근거: https://github.com/uengine-oss/hyd-iot-edu/tree/claude/hyd-handoff-work-xziutz/students/flows · https://github.com/uengine-oss/hyd-iot-edu/blob/claude/hyd-handoff-work-xziutz/docs/handoff/verification/2026-10-10/final-verify.md</x:t>
        </x:is>
      </x:c>
    </x:row>
    <x:row r="106">
      <x:c r="A106" s="50" t="n"/>
      <x:c r="B106" s="50" t="n"/>
      <x:c r="C106" s="50" t="n"/>
      <x:c r="D106" s="50" t="n"/>
    </x:row>
    <x:row r="107">
      <x:c r="A107" s="50" t="n"/>
      <x:c r="B107" s="50" t="n"/>
      <x:c r="C107" s="50" t="n"/>
      <x:c r="D107" s="50" t="n"/>
    </x:row>
    <x:row r="108">
      <x:c r="A108" s="50" t="n"/>
      <x:c r="B108" s="50" t="n"/>
      <x:c r="C108" s="50" t="n"/>
      <x:c r="D108" s="50" t="n"/>
    </x:row>
    <x:row r="109">
      <x:c r="A109" s="50" t="n"/>
      <x:c r="B109" s="50" t="n"/>
      <x:c r="C109" s="50" t="n"/>
      <x:c r="D109" s="50" t="n"/>
    </x:row>
    <x:row r="110">
      <x:c r="A110" s="50" t="n"/>
      <x:c r="B110" s="50" t="n"/>
      <x:c r="C110" s="50" t="n"/>
      <x:c r="D110" s="50" t="n"/>
    </x:row>
    <x:row r="111">
      <x:c r="A111" s="50" t="n"/>
      <x:c r="B111" s="50" t="n"/>
      <x:c r="C111" s="50" t="n"/>
      <x:c r="D111" s="50" t="n"/>
    </x:row>
    <x:row r="112">
      <x:c r="A112" s="50" t="n"/>
      <x:c r="B112" s="50" t="n"/>
      <x:c r="C112" s="50" t="n"/>
      <x:c r="D112" s="50" t="n"/>
    </x:row>
    <x:row r="113">
      <x:c r="A113" s="50" t="n"/>
      <x:c r="B113" s="50" t="n"/>
      <x:c r="C113" s="50" t="n"/>
      <x:c r="D113" s="50" t="n"/>
    </x:row>
    <x:row r="114">
      <x:c r="A114" s="50" t="n"/>
      <x:c r="B114" s="50" t="n"/>
      <x:c r="C114" s="50" t="n"/>
      <x:c r="D114" s="50" t="n"/>
    </x:row>
    <x:row r="115">
      <x:c r="A115" s="50" t="n"/>
      <x:c r="B115" s="50" t="n"/>
      <x:c r="C115" s="50" t="n"/>
      <x:c r="D115" s="50" t="n"/>
    </x:row>
    <x:row r="116">
      <x:c r="A116" s="50" t="n"/>
      <x:c r="B116" s="50" t="n"/>
      <x:c r="C116" s="50" t="n"/>
      <x:c r="D116" s="50" t="n"/>
    </x:row>
    <x:row r="117">
      <x:c r="A117" s="50" t="n"/>
      <x:c r="B117" s="50" t="n"/>
      <x:c r="C117" s="50" t="n"/>
      <x:c r="D117" s="50" t="n"/>
    </x:row>
    <x:row r="118">
      <x:c r="A118" s="50" t="n"/>
      <x:c r="B118" s="50" t="n"/>
      <x:c r="C118" s="50" t="n"/>
      <x:c r="D118" s="50" t="n"/>
    </x:row>
    <x:row r="119">
      <x:c r="A119" s="50" t="n"/>
      <x:c r="B119" s="50" t="n"/>
      <x:c r="C119" s="50" t="n"/>
      <x:c r="D119" s="50" t="n"/>
    </x:row>
    <x:row r="120">
      <x:c r="A120" s="50" t="n"/>
      <x:c r="B120" s="50" t="n"/>
      <x:c r="C120" s="50" t="n"/>
      <x:c r="D120" s="50" t="n"/>
    </x:row>
    <x:row r="121">
      <x:c r="A121" s="50" t="n"/>
      <x:c r="B121" s="50" t="n"/>
      <x:c r="C121" s="50" t="n"/>
      <x:c r="D121" s="50" t="n"/>
    </x:row>
    <x:row r="122">
      <x:c r="A122" s="50" t="n"/>
      <x:c r="B122" s="50" t="n"/>
      <x:c r="C122" s="50" t="n"/>
      <x:c r="D122" s="50" t="n"/>
    </x:row>
    <x:row r="123">
      <x:c r="A123" s="50" t="n"/>
      <x:c r="B123" s="50" t="n"/>
      <x:c r="C123" s="50" t="n"/>
      <x:c r="D123" s="50" t="n"/>
    </x:row>
    <x:row r="124">
      <x:c r="A124" s="50" t="n"/>
      <x:c r="B124" s="50" t="n"/>
      <x:c r="C124" s="50" t="n"/>
      <x:c r="D124" s="50" t="n"/>
    </x:row>
    <x:row r="125">
      <x:c r="A125" s="50" t="n"/>
      <x:c r="B125" s="50" t="n"/>
      <x:c r="C125" s="50" t="n"/>
      <x:c r="D125" s="50" t="n"/>
    </x:row>
    <x:row r="126">
      <x:c r="A126" s="50" t="n"/>
      <x:c r="B126" s="50" t="n"/>
      <x:c r="C126" s="50" t="n"/>
      <x:c r="D126" s="50" t="n"/>
    </x:row>
    <x:row r="127">
      <x:c r="A127" s="50" t="n"/>
      <x:c r="B127" s="50" t="n"/>
      <x:c r="C127" s="50" t="n"/>
      <x:c r="D127" s="50" t="n"/>
    </x:row>
    <x:row r="128">
      <x:c r="A128" s="50" t="n"/>
      <x:c r="B128" s="50" t="n"/>
      <x:c r="C128" s="50" t="n"/>
      <x:c r="D128" s="50" t="n"/>
    </x:row>
    <x:row r="129">
      <x:c r="A129" s="50" t="n"/>
      <x:c r="B129" s="50" t="n"/>
      <x:c r="C129" s="50" t="n"/>
      <x:c r="D129" s="50" t="n"/>
    </x:row>
    <x:row r="130">
      <x:c r="A130" s="50" t="n"/>
      <x:c r="B130" s="50" t="n"/>
      <x:c r="C130" s="50" t="n"/>
      <x:c r="D130" s="50" t="n"/>
    </x:row>
    <x:row r="131">
      <x:c r="A131" s="50" t="n"/>
      <x:c r="B131" s="50" t="n"/>
      <x:c r="C131" s="50" t="n"/>
      <x:c r="D131" s="50" t="n"/>
    </x:row>
    <x:row r="132">
      <x:c r="A132" s="50" t="n"/>
      <x:c r="B132" s="50" t="n"/>
      <x:c r="C132" s="50" t="n"/>
      <x:c r="D132" s="50" t="n"/>
    </x:row>
    <x:row r="133">
      <x:c r="A133" s="50" t="n"/>
      <x:c r="B133" s="50" t="n"/>
      <x:c r="C133" s="50" t="n"/>
      <x:c r="D133" s="50" t="n"/>
    </x:row>
    <x:row r="134">
      <x:c r="A134" s="50" t="n"/>
      <x:c r="B134" s="50" t="n"/>
      <x:c r="C134" s="50" t="n"/>
      <x:c r="D134" s="50" t="n"/>
    </x:row>
    <x:row r="135">
      <x:c r="A135" s="50" t="n"/>
      <x:c r="B135" s="50" t="n"/>
      <x:c r="C135" s="50" t="n"/>
      <x:c r="D135" s="50" t="n"/>
    </x:row>
    <x:row r="136">
      <x:c r="A136" s="50" t="n"/>
      <x:c r="B136" s="50" t="n"/>
      <x:c r="C136" s="50" t="n"/>
      <x:c r="D136" s="50" t="n"/>
    </x:row>
    <x:row r="137">
      <x:c r="A137" s="50" t="n"/>
      <x:c r="B137" s="50" t="n"/>
      <x:c r="C137" s="50" t="n"/>
      <x:c r="D137" s="50" t="n"/>
    </x:row>
    <x:row r="138">
      <x:c r="A138" s="50" t="n"/>
      <x:c r="B138" s="50" t="n"/>
      <x:c r="C138" s="50" t="n"/>
      <x:c r="D138" s="50" t="n"/>
    </x:row>
    <x:row r="139">
      <x:c r="A139" s="50" t="n"/>
      <x:c r="B139" s="50" t="n"/>
      <x:c r="C139" s="50" t="n"/>
      <x:c r="D139" s="50" t="n"/>
    </x:row>
    <x:row r="140">
      <x:c r="A140" s="50" t="n"/>
      <x:c r="B140" s="50" t="n"/>
      <x:c r="C140" s="50" t="n"/>
      <x:c r="D140" s="50" t="n"/>
    </x:row>
    <x:row r="141">
      <x:c r="A141" s="50" t="n"/>
      <x:c r="B141" s="50" t="n"/>
      <x:c r="C141" s="50" t="n"/>
      <x:c r="D141" s="50" t="n"/>
    </x:row>
    <x:row r="142">
      <x:c r="A142" s="50" t="n"/>
      <x:c r="B142" s="50" t="n"/>
      <x:c r="C142" s="50" t="n"/>
      <x:c r="D142" s="50" t="n"/>
    </x:row>
    <x:row r="143">
      <x:c r="A143" s="50" t="n"/>
      <x:c r="B143" s="50" t="n"/>
      <x:c r="C143" s="50" t="n"/>
      <x:c r="D143" s="50" t="n"/>
    </x:row>
    <x:row r="144">
      <x:c r="A144" s="50" t="n"/>
      <x:c r="B144" s="50" t="n"/>
      <x:c r="C144" s="50" t="n"/>
      <x:c r="D144" s="50" t="n"/>
    </x:row>
    <x:row r="145">
      <x:c r="A145" s="50" t="n"/>
      <x:c r="B145" s="50" t="n"/>
      <x:c r="C145" s="50" t="n"/>
      <x:c r="D145" s="50" t="n"/>
    </x:row>
    <x:row r="146">
      <x:c r="A146" s="50" t="n"/>
      <x:c r="B146" s="50" t="n"/>
      <x:c r="C146" s="50" t="n"/>
      <x:c r="D146" s="50" t="n"/>
    </x:row>
    <x:row r="147">
      <x:c r="A147" s="50" t="n"/>
      <x:c r="B147" s="50" t="n"/>
      <x:c r="C147" s="50" t="n"/>
      <x:c r="D147" s="50" t="n"/>
    </x:row>
    <x:row r="148">
      <x:c r="A148" s="50" t="n"/>
      <x:c r="B148" s="50" t="n"/>
      <x:c r="C148" s="50" t="n"/>
      <x:c r="D148" s="50" t="n"/>
    </x:row>
    <x:row r="149">
      <x:c r="A149" s="50" t="n"/>
      <x:c r="B149" s="50" t="n"/>
      <x:c r="C149" s="50" t="n"/>
      <x:c r="D149" s="50" t="n"/>
    </x:row>
    <x:row r="150">
      <x:c r="A150" s="50" t="n"/>
      <x:c r="B150" s="50" t="n"/>
      <x:c r="C150" s="50" t="n"/>
      <x:c r="D150" s="50" t="n"/>
    </x:row>
    <x:row r="151">
      <x:c r="A151" s="50" t="n"/>
      <x:c r="B151" s="50" t="n"/>
      <x:c r="C151" s="50" t="n"/>
      <x:c r="D151" s="50" t="n"/>
    </x:row>
    <x:row r="152">
      <x:c r="A152" s="50" t="n"/>
      <x:c r="B152" s="50" t="n"/>
      <x:c r="C152" s="50" t="n"/>
      <x:c r="D152" s="50" t="n"/>
    </x:row>
    <x:row r="153">
      <x:c r="A153" s="50" t="n"/>
      <x:c r="B153" s="50" t="n"/>
      <x:c r="C153" s="50" t="n"/>
      <x:c r="D153" s="50" t="n"/>
    </x:row>
    <x:row r="154">
      <x:c r="A154" s="50" t="n"/>
      <x:c r="B154" s="50" t="n"/>
      <x:c r="C154" s="50" t="n"/>
      <x:c r="D154" s="50" t="n"/>
    </x:row>
    <x:row r="155">
      <x:c r="A155" s="50" t="n"/>
      <x:c r="B155" s="50" t="n"/>
      <x:c r="C155" s="50" t="n"/>
      <x:c r="D155" s="50" t="n"/>
    </x:row>
    <x:row r="156">
      <x:c r="A156" s="50" t="n"/>
      <x:c r="B156" s="50" t="n"/>
      <x:c r="C156" s="50" t="n"/>
      <x:c r="D156" s="50" t="n"/>
    </x:row>
    <x:row r="157">
      <x:c r="A157" s="50" t="n"/>
      <x:c r="B157" s="50" t="n"/>
      <x:c r="C157" s="50" t="n"/>
      <x:c r="D157" s="50" t="n"/>
    </x:row>
    <x:row r="158">
      <x:c r="A158" s="50" t="n"/>
      <x:c r="B158" s="50" t="n"/>
      <x:c r="C158" s="50" t="n"/>
      <x:c r="D158" s="50" t="n"/>
    </x:row>
    <x:row r="159">
      <x:c r="A159" s="50" t="n"/>
      <x:c r="B159" s="50" t="n"/>
      <x:c r="C159" s="50" t="n"/>
      <x:c r="D159" s="50" t="n"/>
    </x:row>
    <x:row r="160">
      <x:c r="A160" s="50" t="n"/>
      <x:c r="B160" s="50" t="n"/>
      <x:c r="C160" s="50" t="n"/>
      <x:c r="D160" s="50" t="n"/>
    </x:row>
    <x:row r="161">
      <x:c r="A161" s="50" t="n"/>
      <x:c r="B161" s="50" t="n"/>
      <x:c r="C161" s="50" t="n"/>
      <x:c r="D161" s="50" t="n"/>
    </x:row>
    <x:row r="162">
      <x:c r="A162" s="50" t="n"/>
      <x:c r="B162" s="50" t="n"/>
      <x:c r="C162" s="50" t="n"/>
      <x:c r="D162" s="50" t="n"/>
    </x:row>
    <x:row r="163">
      <x:c r="A163" s="50" t="n"/>
      <x:c r="B163" s="50" t="n"/>
      <x:c r="C163" s="50" t="n"/>
      <x:c r="D163" s="50" t="n"/>
    </x:row>
    <x:row r="164">
      <x:c r="A164" s="50" t="n"/>
      <x:c r="B164" s="50" t="n"/>
      <x:c r="C164" s="50" t="n"/>
      <x:c r="D164" s="50" t="n"/>
    </x:row>
    <x:row r="165">
      <x:c r="A165" s="50" t="n"/>
      <x:c r="B165" s="50" t="n"/>
      <x:c r="C165" s="50" t="n"/>
      <x:c r="D165" s="50" t="n"/>
    </x:row>
    <x:row r="166">
      <x:c r="A166" s="50" t="n"/>
      <x:c r="B166" s="50" t="n"/>
      <x:c r="C166" s="50" t="n"/>
      <x:c r="D166" s="50" t="n"/>
    </x:row>
    <x:row r="167">
      <x:c r="A167" s="50" t="n"/>
      <x:c r="B167" s="50" t="n"/>
      <x:c r="C167" s="50" t="n"/>
      <x:c r="D167" s="50" t="n"/>
    </x:row>
    <x:row r="168">
      <x:c r="A168" s="50" t="n"/>
      <x:c r="B168" s="50" t="n"/>
      <x:c r="C168" s="50" t="n"/>
      <x:c r="D168" s="50" t="n"/>
    </x:row>
    <x:row r="169">
      <x:c r="A169" s="50" t="n"/>
      <x:c r="B169" s="50" t="n"/>
      <x:c r="C169" s="50" t="n"/>
      <x:c r="D169" s="50" t="n"/>
    </x:row>
    <x:row r="170">
      <x:c r="A170" s="50" t="n"/>
      <x:c r="B170" s="50" t="n"/>
      <x:c r="C170" s="50" t="n"/>
      <x:c r="D170" s="50" t="n"/>
    </x:row>
  </x:sheetData>
  <x:mergeCells>
    <x:mergeCell ref="A99:C99"/>
    <x:mergeCell ref="A75:C75"/>
    <x:mergeCell ref="A26:C26"/>
    <x:mergeCell ref="A2:C2"/>
    <x:mergeCell ref="A85:C85"/>
    <x:mergeCell ref="A97:C97"/>
    <x:mergeCell ref="A4:C4"/>
    <x:mergeCell ref="A38:C38"/>
    <x:mergeCell ref="A28:C28"/>
    <x:mergeCell ref="A103:D103"/>
    <x:mergeCell ref="A13:C13"/>
    <x:mergeCell ref="A63:C63"/>
    <x:mergeCell ref="A40:C40"/>
    <x:mergeCell ref="A77:C77"/>
    <x:mergeCell ref="A15:C15"/>
    <x:mergeCell ref="A51:C51"/>
    <x:mergeCell ref="A49:C49"/>
    <x:mergeCell ref="A1:C1"/>
    <x:mergeCell ref="A105:D105"/>
    <x:mergeCell ref="A61:C61"/>
    <x:mergeCell ref="A101:D101"/>
    <x:mergeCell ref="A87:C87"/>
  </x:mergeCells>
  <x:pageMargins left="0.7" right="0.7" top="0.75" bottom="0.75" header="0.3" footer="0.3"/>
</x:worksheet>
</file>

<file path=xl/worksheets/sheet3.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34" customHeight="1">
      <x:c r="A1" s="84" t="str">
        <x:v>HYD 제조 AI | 통합반 오프라인 10회 실라버스</x:v>
      </x:c>
      <x:c r="B1"/>
      <x:c r="C1"/>
      <x:c r="D1" s="84"/>
    </x:row>
    <x:row r="2" s="1" customFormat="1" ht="40" customHeight="1">
      <x:c r="A2" s="66" t="str">
        <x:v>2026-10-26 개편 | 온라인 선행 학습·가이드 자율 실습 | 이론 최대50분·복습 없음 | 매회 수업200분+휴식40분</x:v>
      </x:c>
      <x:c r="B2"/>
      <x:c r="C2"/>
      <x:c r="D2" s="49" t="n">
        <x:f>SUM(D13,D24,D35,D47,D58,D69,D81,D91,D103,D115)</x:f>
        <x:v>2000</x:v>
      </x:c>
    </x:row>
    <x:row r="3" s="1" customFormat="1" ht="12" customHeight="1">
      <x:c r="A3"/>
      <x:c r="B3"/>
      <x:c r="C3"/>
      <x:c r="D3"/>
    </x:row>
    <x:row r="4" s="1" customFormat="1" ht="36" customHeight="1">
      <x:c r="A4" s="43" t="str">
        <x:v>01회차 | 설비 정보를 관계와 모델로 표현하기</x:v>
      </x:c>
      <x:c r="B4"/>
      <x:c r="C4"/>
      <x:c r="D4" s="44" t="str">
        <x:v>4H</x:v>
      </x:c>
    </x:row>
    <x:row r="5" s="1" customFormat="1" ht="26" customHeight="1">
      <x:c r="A5" s="49" t="str">
        <x:v>구분</x:v>
      </x:c>
      <x:c r="B5" s="49" t="str">
        <x:v>주제</x:v>
      </x:c>
      <x:c r="C5" s="49" t="str">
        <x:v>세부 학습 내용</x:v>
      </x:c>
      <x:c r="D5" s="49" t="str">
        <x:v>시간(분)</x:v>
      </x:c>
    </x:row>
    <x:row r="6" s="1" customFormat="1" ht="65" customHeight="1">
      <x:c r="A6" s="125" t="str">
        <x:v>이론</x:v>
      </x:c>
      <x:c r="B6" s="126" t="str">
        <x:v>설비·레이어·온톨로지·식별자의 연결</x:v>
      </x:c>
      <x:c r="C6" s="127" t="str">
        <x:v>설비·레이어·온톨로지·식별자의 연결을(를) 오늘 수행할 과제와 연결해 설명한다. 온라인 대응: 각 과정 온라인 1 + 2의 모델 기초. 복습 대신 적용에 필요한 설명으로 한정한다.</x:v>
      </x:c>
      <x:c r="D6" s="128" t="n">
        <x:v>40</x:v>
      </x:c>
    </x:row>
    <x:row r="7" s="1" customFormat="1" ht="60" customHeight="1">
      <x:c r="A7" s="129" t="str">
        <x:v>실습</x:v>
      </x:c>
      <x:c r="B7" s="130" t="str">
        <x:v>ARROWS에서 설비·원인·조치 관계 작성</x:v>
      </x:c>
      <x:c r="C7" s="131" t="str">
        <x:v>쿨러·센서·부품·고장·조치를 연결하고 관계 방향을 문장으로 확인한 뒤 JSON을 저장한다.</x:v>
      </x:c>
      <x:c r="D7" s="132" t="n">
        <x:v>30</x:v>
      </x:c>
    </x:row>
    <x:row r="8" s="1" customFormat="1" ht="60" customHeight="1">
      <x:c r="A8" s="129" t="str">
        <x:v>실습</x:v>
      </x:c>
      <x:c r="B8" s="130" t="str">
        <x:v>제공 자료로 최소 스키마·인스턴스 작성</x:v>
      </x:c>
      <x:c r="C8" s="131" t="str">
        <x:v>제공 목록과 관계도를 대조해 고유 ID·클래스·속성을 갖춘 최소 schema.json과 인스턴스를 만든다.</x:v>
      </x:c>
      <x:c r="D8" s="132" t="n">
        <x:v>45</x:v>
      </x:c>
    </x:row>
    <x:row r="9" s="1" customFormat="1" ht="60" customHeight="1">
      <x:c r="A9" s="129" t="str">
        <x:v>실습</x:v>
      </x:c>
      <x:c r="B9" s="130" t="str">
        <x:v>제공 절차로 랩 그래프 적재·질문 결과 확인</x:v>
      </x:c>
      <x:c r="C9" s="131" t="str">
        <x:v>제공 적재 절차를 별도 랩 DB에서 수행하고 질문별 조회 결과를 원자료와 비교한다. Cypher 문법 수업은 별도로 하지 않는다.</x:v>
      </x:c>
      <x:c r="D9" s="132" t="n">
        <x:v>30</x:v>
      </x:c>
    </x:row>
    <x:row r="10" s="1" customFormat="1" ht="60" customHeight="1">
      <x:c r="A10" s="129" t="str">
        <x:v>실습</x:v>
      </x:c>
      <x:c r="B10" s="130" t="str">
        <x:v>포털 기준 지도와 필요한 관계 비교</x:v>
      </x:c>
      <x:c r="C10" s="131" t="str">
        <x:v>포털의 공통 기준 지도에서 필요한 연결만 확인하고 개인 모델과 비교한다. 자동 동기화는 전제하지 않는다.</x:v>
      </x:c>
      <x:c r="D10" s="132" t="n">
        <x:v>10</x:v>
      </x:c>
    </x:row>
    <x:row r="11" s="1" customFormat="1" ht="60" customHeight="1">
      <x:c r="A11" s="129" t="str">
        <x:v>실습</x:v>
      </x:c>
      <x:c r="B11" s="130" t="str">
        <x:v>본인 모델의 누락 수정·질문별 결과 완성</x:v>
      </x:c>
      <x:c r="C11" s="131" t="str">
        <x:v>누락된 관계·속성·방향을 보완하고 질문별 답을 다시 확인한다.</x:v>
      </x:c>
      <x:c r="D11" s="132" t="n">
        <x:v>30</x:v>
      </x:c>
    </x:row>
    <x:row r="12" s="1" customFormat="1" ht="60" customHeight="1">
      <x:c r="A12" s="129" t="str">
        <x:v>실습</x:v>
      </x:c>
      <x:c r="B12" s="130" t="str">
        <x:v>개별 진행 차이 대응·저장·다음 입력 준비</x:v>
      </x:c>
      <x:c r="C12" s="131" t="str">
        <x:v>막힌 부분을 해결하고 관계도·모델·질의 결과를 저장해 다음 회차 입력으로 준비한다.</x:v>
      </x:c>
      <x:c r="D12" s="132" t="n">
        <x:v>15</x:v>
      </x:c>
    </x:row>
    <x:row r="13" s="1" customFormat="1" ht="28" customHeight="1">
      <x:c r="A13" s="66" t="str">
        <x:v>회차 수업 합계 (휴식 40분 별도)</x:v>
      </x:c>
      <x:c r="B13"/>
      <x:c r="C13"/>
      <x:c r="D13" s="49" t="n">
        <x:f>SUM(D6:D12)</x:f>
        <x:v>200</x:v>
      </x:c>
    </x:row>
    <x:row r="14" s="1" customFormat="1" ht="58" customHeight="1">
      <x:c r="A14" s="66" t="str">
        <x:v>완료 결과: 두 반 동일: 관계도, 최소 모델, 질문별 확인 결과. Neo4j 문법 수업은 별도로 편성하지 않는다. 온라인 2 전체 설계를 1회차에 모두 끝내지 않는다.</x:v>
      </x:c>
      <x:c r="B14"/>
      <x:c r="C14"/>
      <x:c r="D14" s="49"/>
    </x:row>
    <x:row r="15" s="1" customFormat="1" ht="12" customHeight="1">
      <x:c r="A15"/>
      <x:c r="B15"/>
      <x:c r="C15"/>
      <x:c r="D15"/>
    </x:row>
    <x:row r="16" s="1" customFormat="1" ht="36" customHeight="1">
      <x:c r="A16" s="43" t="str">
        <x:v>02회차 | 설비 모델을 완성하고 작업 절차 연결하기</x:v>
      </x:c>
      <x:c r="B16"/>
      <x:c r="C16"/>
      <x:c r="D16" s="44" t="str">
        <x:v>4H</x:v>
      </x:c>
    </x:row>
    <x:row r="17" s="1" customFormat="1" ht="26" customHeight="1">
      <x:c r="A17" s="49" t="str">
        <x:v>구분</x:v>
      </x:c>
      <x:c r="B17" s="49" t="str">
        <x:v>주제</x:v>
      </x:c>
      <x:c r="C17" s="49" t="str">
        <x:v>세부 학습 내용</x:v>
      </x:c>
      <x:c r="D17" s="49" t="str">
        <x:v>시간(분)</x:v>
      </x:c>
    </x:row>
    <x:row r="18" s="1" customFormat="1" ht="65" customHeight="1">
      <x:c r="A18" s="125" t="str">
        <x:v>이론</x:v>
      </x:c>
      <x:c r="B18" s="126" t="str">
        <x:v>식별자·중복 없는 적재·SOP 연결</x:v>
      </x:c>
      <x:c r="C18" s="127" t="str">
        <x:v>식별자·중복 없는 적재·SOP 연결을(를) 오늘 수행할 과제와 연결해 설명한다. 온라인 대응: 온라인2 + 온라인3 SOP. 복습 대신 적용에 필요한 설명으로 한정한다.</x:v>
      </x:c>
      <x:c r="D18" s="128" t="n">
        <x:v>35</x:v>
      </x:c>
    </x:row>
    <x:row r="19" s="1" customFormat="1" ht="60" customHeight="1">
      <x:c r="A19" s="129" t="str">
        <x:v>실습</x:v>
      </x:c>
      <x:c r="B19" s="130" t="str">
        <x:v>앞 회차 모델의 제약 보완</x:v>
      </x:c>
      <x:c r="C19" s="131" t="str">
        <x:v>앞 모델의 식별자·자료형·필수값·관계 끝점을 보완한다.</x:v>
      </x:c>
      <x:c r="D19" s="132" t="n">
        <x:v>25</x:v>
      </x:c>
    </x:row>
    <x:row r="20" s="1" customFormat="1" ht="60" customHeight="1">
      <x:c r="A20" s="129" t="str">
        <x:v>실습</x:v>
      </x:c>
      <x:c r="B20" s="130" t="str">
        <x:v>자기 모델 적재·조회·반복 적용 확인</x:v>
      </x:c>
      <x:c r="C20" s="131" t="str">
        <x:v>자기 모델을 적재하고 원자료 질문의 답과 반복 적재 시 중복 여부를 확인한다.</x:v>
      </x:c>
      <x:c r="D20" s="132" t="n">
        <x:v>40</x:v>
      </x:c>
    </x:row>
    <x:row r="21" s="1" customFormat="1" ht="60" customHeight="1">
      <x:c r="A21" s="129" t="str">
        <x:v>실습</x:v>
      </x:c>
      <x:c r="B21" s="130" t="str">
        <x:v>새 설비·공용 부품 적용</x:v>
      </x:c>
      <x:c r="C21" s="131" t="str">
        <x:v>새 설비와 공용 부품을 추가하고 기존 관계가 보존되는지 조회한다.</x:v>
      </x:c>
      <x:c r="D21" s="132" t="n">
        <x:v>35</x:v>
      </x:c>
    </x:row>
    <x:row r="22" s="1" customFormat="1" ht="60" customHeight="1">
      <x:c r="A22" s="129" t="str">
        <x:v>실습</x:v>
      </x:c>
      <x:c r="B22" s="130" t="str">
        <x:v>SOP 구조화·모델 연결</x:v>
      </x:c>
      <x:c r="C22" s="131" t="str">
        <x:v>제공 SOP의 전제·금지·완료 조건을 구조화해 고장·조치와 연결한다.</x:v>
      </x:c>
      <x:c r="D22" s="132" t="n">
        <x:v>45</x:v>
      </x:c>
    </x:row>
    <x:row r="23" s="1" customFormat="1" ht="60" customHeight="1">
      <x:c r="A23" s="129" t="str">
        <x:v>실습</x:v>
      </x:c>
      <x:c r="B23" s="130" t="str">
        <x:v>개별 수정·결과 보존</x:v>
      </x:c>
      <x:c r="C23" s="131" t="str">
        <x:v>오류를 수정하고 스키마·인스턴스·질의·SOP를 저장한다.</x:v>
      </x:c>
      <x:c r="D23" s="132" t="n">
        <x:v>20</x:v>
      </x:c>
    </x:row>
    <x:row r="24" s="1" customFormat="1" ht="28" customHeight="1">
      <x:c r="A24" s="66" t="str">
        <x:v>회차 수업 합계 (휴식 40분 별도)</x:v>
      </x:c>
      <x:c r="B24"/>
      <x:c r="C24"/>
      <x:c r="D24" s="49" t="n">
        <x:f>SUM(D18:D23)</x:f>
        <x:v>200</x:v>
      </x:c>
    </x:row>
    <x:row r="25" s="1" customFormat="1" ht="58" customHeight="1">
      <x:c r="A25" s="66" t="str">
        <x:v>완료 결과: 완성 모델과 SOP. 앞 회차에서 만든 파일을 이어 쓰고 설계를 처음부터 반복하지 않는다.</x:v>
      </x:c>
      <x:c r="B25"/>
      <x:c r="C25"/>
      <x:c r="D25" s="49"/>
    </x:row>
    <x:row r="26" s="1" customFormat="1" ht="12" customHeight="1">
      <x:c r="A26"/>
      <x:c r="B26"/>
      <x:c r="C26"/>
      <x:c r="D26"/>
    </x:row>
    <x:row r="27" s="1" customFormat="1" ht="36" customHeight="1">
      <x:c r="A27" s="43" t="str">
        <x:v>03회차 | 안전한 조치와 성과 비교 기능 만들기</x:v>
      </x:c>
      <x:c r="B27"/>
      <x:c r="C27"/>
      <x:c r="D27" s="44" t="str">
        <x:v>4H</x:v>
      </x:c>
    </x:row>
    <x:row r="28" s="1" customFormat="1" ht="26" customHeight="1">
      <x:c r="A28" s="49" t="str">
        <x:v>구분</x:v>
      </x:c>
      <x:c r="B28" s="49" t="str">
        <x:v>주제</x:v>
      </x:c>
      <x:c r="C28" s="49" t="str">
        <x:v>세부 학습 내용</x:v>
      </x:c>
      <x:c r="D28" s="49" t="str">
        <x:v>시간(분)</x:v>
      </x:c>
    </x:row>
    <x:row r="29" s="1" customFormat="1" ht="65" customHeight="1">
      <x:c r="A29" s="125" t="str">
        <x:v>이론</x:v>
      </x:c>
      <x:c r="B29" s="126" t="str">
        <x:v>결정표·경계·허용 후보·성과 비교</x:v>
      </x:c>
      <x:c r="C29" s="127" t="str">
        <x:v>결정표·경계·허용 후보·성과 비교을(를) 오늘 수행할 과제와 연결해 설명한다. 온라인 대응: 온라인3. 복습 대신 적용에 필요한 설명으로 한정한다.</x:v>
      </x:c>
      <x:c r="D29" s="128" t="n">
        <x:v>40</x:v>
      </x:c>
    </x:row>
    <x:row r="30" s="1" customFormat="1" ht="60" customHeight="1">
      <x:c r="A30" s="129" t="str">
        <x:v>실습</x:v>
      </x:c>
      <x:c r="B30" s="130" t="str">
        <x:v>포털 What-if 핵심 비교</x:v>
      </x:c>
      <x:c r="C30" s="131" t="str">
        <x:v>포털의 제공 사례에서 조건 전후의 제외·순위 차이를 확인한다.</x:v>
      </x:c>
      <x:c r="D30" s="132" t="n">
        <x:v>10</x:v>
      </x:c>
    </x:row>
    <x:row r="31" s="1" customFormat="1" ht="60" customHeight="1">
      <x:c r="A31" s="129" t="str">
        <x:v>실습</x:v>
      </x:c>
      <x:c r="B31" s="130" t="str">
        <x:v>SOP에서 결정표 작성</x:v>
      </x:c>
      <x:c r="C31" s="131" t="str">
        <x:v>SOP의 조건·단위·경계·출처로 결정표를 작성한다.</x:v>
      </x:c>
      <x:c r="D31" s="132" t="n">
        <x:v>35</x:v>
      </x:c>
    </x:row>
    <x:row r="32" s="1" customFormat="1" ht="60" customHeight="1">
      <x:c r="A32" s="129" t="str">
        <x:v>실습</x:v>
      </x:c>
      <x:c r="B32" s="130" t="str">
        <x:v>판정 기능 구현</x:v>
      </x:c>
      <x:c r="C32" s="131" t="str">
        <x:v>조건표로 허용·제외와 사유를 반환하는 코드를 구현한다.</x:v>
      </x:c>
      <x:c r="D32" s="132" t="n">
        <x:v>45</x:v>
      </x:c>
    </x:row>
    <x:row r="33" s="1" customFormat="1" ht="60" customHeight="1">
      <x:c r="A33" s="129" t="str">
        <x:v>실습</x:v>
      </x:c>
      <x:c r="B33" s="130" t="str">
        <x:v>허용 후보의 비용·성과 비교</x:v>
      </x:c>
      <x:c r="C33" s="131" t="str">
        <x:v>허용 후보만 비용·생산·품질·에너지 기준으로 비교한다.</x:v>
      </x:c>
      <x:c r="D33" s="132" t="n">
        <x:v>40</x:v>
      </x:c>
    </x:row>
    <x:row r="34" s="1" customFormat="1" ht="60" customHeight="1">
      <x:c r="A34" s="129" t="str">
        <x:v>실습</x:v>
      </x:c>
      <x:c r="B34" s="130" t="str">
        <x:v>경계·금지·누락 확인 및 개별 수정</x:v>
      </x:c>
      <x:c r="C34" s="131" t="str">
        <x:v>경계·금지·누락 입력을 확인하고 추천과 실행 승인을 구별해 결과를 저장한다.</x:v>
      </x:c>
      <x:c r="D34" s="132" t="n">
        <x:v>30</x:v>
      </x:c>
    </x:row>
    <x:row r="35" s="1" customFormat="1" ht="28" customHeight="1">
      <x:c r="A35" s="66" t="str">
        <x:v>회차 수업 합계 (휴식 40분 별도)</x:v>
      </x:c>
      <x:c r="B35"/>
      <x:c r="C35"/>
      <x:c r="D35" s="49" t="n">
        <x:f>SUM(D29:D34)</x:f>
        <x:v>200</x:v>
      </x:c>
    </x:row>
    <x:row r="36" s="1" customFormat="1" ht="58" customHeight="1">
      <x:c r="A36" s="66" t="str">
        <x:v>완료 결과: 조건표·판정 코드·근거 있는 비교 결과. 포털 관찰은 짧게, 실제 구현을 중심으로 한다.</x:v>
      </x:c>
      <x:c r="B36"/>
      <x:c r="C36"/>
      <x:c r="D36" s="49"/>
    </x:row>
    <x:row r="37" s="1" customFormat="1" ht="12" customHeight="1">
      <x:c r="A37"/>
      <x:c r="B37"/>
      <x:c r="C37"/>
      <x:c r="D37"/>
    </x:row>
    <x:row r="38" s="1" customFormat="1" ht="36" customHeight="1">
      <x:c r="A38" s="43" t="str">
        <x:v>04회차 | 문서를 지식으로 추출하고 검토하기</x:v>
      </x:c>
      <x:c r="B38"/>
      <x:c r="C38"/>
      <x:c r="D38" s="44" t="str">
        <x:v>4H</x:v>
      </x:c>
    </x:row>
    <x:row r="39" s="1" customFormat="1" ht="26" customHeight="1">
      <x:c r="A39" s="49" t="str">
        <x:v>구분</x:v>
      </x:c>
      <x:c r="B39" s="49" t="str">
        <x:v>주제</x:v>
      </x:c>
      <x:c r="C39" s="49" t="str">
        <x:v>세부 학습 내용</x:v>
      </x:c>
      <x:c r="D39" s="49" t="str">
        <x:v>시간(분)</x:v>
      </x:c>
    </x:row>
    <x:row r="40" ht="65" customHeight="1">
      <x:c r="A40" s="125" t="str">
        <x:v>이론</x:v>
      </x:c>
      <x:c r="B40" s="126" t="str">
        <x:v>원문·추출 후보·승인 지식과 출처</x:v>
      </x:c>
      <x:c r="C40" s="127" t="str">
        <x:v>원문·추출 후보·승인 지식과 출처을(를) 오늘 수행할 과제와 연결해 설명한다. 온라인 대응: 온라인4. 복습 대신 적용에 필요한 설명으로 한정한다.</x:v>
      </x:c>
      <x:c r="D40" s="128" t="n">
        <x:v>30</x:v>
      </x:c>
    </x:row>
    <x:row r="41" s="1" customFormat="1" ht="60" customHeight="1">
      <x:c r="A41" s="129" t="str">
        <x:v>실습</x:v>
      </x:c>
      <x:c r="B41" s="130" t="str">
        <x:v>포털 등록·추출·검토 흐름 경험</x:v>
      </x:c>
      <x:c r="C41" s="131" t="str">
        <x:v>공통 포털에서 문서를 등록하고 추출 후보를 원문과 대조한다.</x:v>
      </x:c>
      <x:c r="D41" s="132" t="n">
        <x:v>20</x:v>
      </x:c>
    </x:row>
    <x:row r="42" s="1" customFormat="1" ht="60" customHeight="1">
      <x:c r="A42" s="129" t="str">
        <x:v>실습</x:v>
      </x:c>
      <x:c r="B42" s="130" t="str">
        <x:v>VS Code 문서 추출 기능 제작</x:v>
      </x:c>
      <x:c r="C42" s="131" t="str">
        <x:v>표·절차·단위·금지 조건과 출처를 구조화해 추출하는 로컬 기능을 만든다.</x:v>
      </x:c>
      <x:c r="D42" s="132" t="n">
        <x:v>45</x:v>
      </x:c>
    </x:row>
    <x:row r="43" s="1" customFormat="1" ht="60" customHeight="1">
      <x:c r="A43" s="129" t="str">
        <x:v>실습</x:v>
      </x:c>
      <x:c r="B43" s="130" t="str">
        <x:v>원문 대조·수정·채택</x:v>
      </x:c>
      <x:c r="C43" s="131" t="str">
        <x:v>추출 후보를 원문과 비교하고 수정·채택한다.</x:v>
      </x:c>
      <x:c r="D43" s="132" t="n">
        <x:v>30</x:v>
      </x:c>
    </x:row>
    <x:row r="44" s="1" customFormat="1" ht="60" customHeight="1">
      <x:c r="A44" s="129" t="str">
        <x:v>실습</x:v>
      </x:c>
      <x:c r="B44" s="130" t="str">
        <x:v>그래프 반영·출처 조회</x:v>
      </x:c>
      <x:c r="C44" s="131" t="str">
        <x:v>채택한 지식만 기존 랩 그래프에 반영하고 원문 출처를 조회한다.</x:v>
      </x:c>
      <x:c r="D44" s="132" t="n">
        <x:v>40</x:v>
      </x:c>
    </x:row>
    <x:row r="45" s="1" customFormat="1" ht="60" customHeight="1">
      <x:c r="A45" s="129" t="str">
        <x:v>실습</x:v>
      </x:c>
      <x:c r="B45" s="130" t="str">
        <x:v>제공된 다른 문서에 적용·결과 확인</x:v>
      </x:c>
      <x:c r="C45" s="131" t="str">
        <x:v>제공된 다른 문서에 기능을 적용하고 결과를 원문과 확인한다.</x:v>
      </x:c>
      <x:c r="D45" s="132" t="n">
        <x:v>25</x:v>
      </x:c>
    </x:row>
    <x:row r="46" s="1" customFormat="1" ht="60" customHeight="1">
      <x:c r="A46" s="129" t="str">
        <x:v>실습</x:v>
      </x:c>
      <x:c r="B46" s="130" t="str">
        <x:v>개별 오류 해결</x:v>
      </x:c>
      <x:c r="C46" s="131" t="str">
        <x:v>적재·추출 오류를 수정하고 검토 결과를 저장한다.</x:v>
      </x:c>
      <x:c r="D46" s="132" t="n">
        <x:v>10</x:v>
      </x:c>
    </x:row>
    <x:row r="47" s="1" customFormat="1" ht="28" customHeight="1">
      <x:c r="A47" s="66" t="str">
        <x:v>회차 수업 합계 (휴식 40분 별도)</x:v>
      </x:c>
      <x:c r="B47"/>
      <x:c r="C47"/>
      <x:c r="D47" s="49" t="n">
        <x:f>SUM(D40:D46)</x:f>
        <x:v>200</x:v>
      </x:c>
    </x:row>
    <x:row r="48" s="1" customFormat="1" ht="58" customHeight="1">
      <x:c r="A48" s="66" t="str">
        <x:v>완료 결과: 검토된 지식과 출처. 반복 기록 양식을 늘리지 않고 결과에서 원문을 확인한다.</x:v>
      </x:c>
      <x:c r="B48"/>
      <x:c r="C48"/>
      <x:c r="D48" s="49"/>
    </x:row>
    <x:row r="49" ht="12" customHeight="1">
      <x:c r="A49"/>
      <x:c r="B49"/>
      <x:c r="C49"/>
      <x:c r="D49"/>
    </x:row>
    <x:row r="50" s="1" customFormat="1" ht="36" customHeight="1">
      <x:c r="A50" s="43" t="str">
        <x:v>05회차 | 서로 다른 일을 하는 에이전트 만들기</x:v>
      </x:c>
      <x:c r="B50"/>
      <x:c r="C50"/>
      <x:c r="D50" s="44" t="str">
        <x:v>4H</x:v>
      </x:c>
    </x:row>
    <x:row r="51" s="1" customFormat="1" ht="26" customHeight="1">
      <x:c r="A51" s="49" t="str">
        <x:v>구분</x:v>
      </x:c>
      <x:c r="B51" s="49" t="str">
        <x:v>주제</x:v>
      </x:c>
      <x:c r="C51" s="49" t="str">
        <x:v>세부 학습 내용</x:v>
      </x:c>
      <x:c r="D51" s="49" t="str">
        <x:v>시간(분)</x:v>
      </x:c>
    </x:row>
    <x:row r="52" s="1" customFormat="1" ht="65" customHeight="1">
      <x:c r="A52" s="125" t="str">
        <x:v>이론</x:v>
      </x:c>
      <x:c r="B52" s="126" t="str">
        <x:v>근거·도구·반복 실행·종료 조건</x:v>
      </x:c>
      <x:c r="C52" s="127" t="str">
        <x:v>근거·도구·반복 실행·종료 조건을(를) 오늘 수행할 과제와 연결해 설명한다. 온라인 대응: 온라인5. 복습 대신 적용에 필요한 설명으로 한정한다.</x:v>
      </x:c>
      <x:c r="D52" s="128" t="n">
        <x:v>35</x:v>
      </x:c>
    </x:row>
    <x:row r="53" s="1" customFormat="1" ht="60" customHeight="1">
      <x:c r="A53" s="129" t="str">
        <x:v>실습</x:v>
      </x:c>
      <x:c r="B53" s="130" t="str">
        <x:v>포털 에이전트 구성 확인</x:v>
      </x:c>
      <x:c r="C53" s="131" t="str">
        <x:v>포털의 공통 에이전트 구성과 도구·근거를 확인한다.</x:v>
      </x:c>
      <x:c r="D53" s="132" t="n">
        <x:v>10</x:v>
      </x:c>
    </x:row>
    <x:row r="54" s="1" customFormat="1" ht="60" customHeight="1">
      <x:c r="A54" s="129" t="str">
        <x:v>실습</x:v>
      </x:c>
      <x:c r="B54" s="130" t="str">
        <x:v>원인 후보·점검 순서 에이전트</x:v>
      </x:c>
      <x:c r="C54" s="131" t="str">
        <x:v>설비 지식과 센서 증거로 원인 후보·추가 점검을 출력한다.</x:v>
      </x:c>
      <x:c r="D54" s="132" t="n">
        <x:v>45</x:v>
      </x:c>
    </x:row>
    <x:row r="55" s="1" customFormat="1" ht="60" customHeight="1">
      <x:c r="A55" s="129" t="str">
        <x:v>실습</x:v>
      </x:c>
      <x:c r="B55" s="130" t="str">
        <x:v>품질 접수 후속 업무 에이전트</x:v>
      </x:c>
      <x:c r="C55" s="131" t="str">
        <x:v>불량 접수와 기준으로 유형·추가 정보·담당 업무·대응 초안을 만든다. 이후 명세 랩에서 이 프로젝트를 이어 쓴다.</x:v>
      </x:c>
      <x:c r="D55" s="132" t="n">
        <x:v>35</x:v>
      </x:c>
    </x:row>
    <x:row r="56" s="1" customFormat="1" ht="60" customHeight="1">
      <x:c r="A56" s="129" t="str">
        <x:v>실습</x:v>
      </x:c>
      <x:c r="B56" s="130" t="str">
        <x:v>센서 시계열 분석·시각화</x:v>
      </x:c>
      <x:c r="C56" s="131" t="str">
        <x:v>제공 센서 CSV에서 변화·이상 구간을 분석하고 시각화한다.</x:v>
      </x:c>
      <x:c r="D56" s="132" t="n">
        <x:v>40</x:v>
      </x:c>
    </x:row>
    <x:row r="57" s="1" customFormat="1" ht="60" customHeight="1">
      <x:c r="A57" s="129" t="str">
        <x:v>실습</x:v>
      </x:c>
      <x:c r="B57" s="130" t="str">
        <x:v>세 결과 확인·개별 수정·저장</x:v>
      </x:c>
      <x:c r="C57" s="131" t="str">
        <x:v>세 결과를 각각 자료와 대조하고 미확인을 표시해 저장한다.</x:v>
      </x:c>
      <x:c r="D57" s="132" t="n">
        <x:v>35</x:v>
      </x:c>
    </x:row>
    <x:row r="58" ht="28" customHeight="1">
      <x:c r="A58" s="66" t="str">
        <x:v>회차 수업 합계 (휴식 40분 별도)</x:v>
      </x:c>
      <x:c r="B58"/>
      <x:c r="C58"/>
      <x:c r="D58" s="49" t="n">
        <x:f>SUM(D52:D57)</x:f>
        <x:v>200</x:v>
      </x:c>
    </x:row>
    <x:row r="59" s="1" customFormat="1" ht="58" customHeight="1">
      <x:c r="A59" s="66" t="str">
        <x:v>완료 결과: 원인 점검·품질 대응·시계열 그림의 서로 다른 결과. 같은 사례를 조건만 바꾸며 세 번 반복하지 않는다.</x:v>
      </x:c>
      <x:c r="B59"/>
      <x:c r="C59"/>
      <x:c r="D59" s="49"/>
    </x:row>
    <x:row r="60" s="1" customFormat="1" ht="12" customHeight="1">
      <x:c r="A60"/>
      <x:c r="B60"/>
      <x:c r="C60"/>
      <x:c r="D60"/>
    </x:row>
    <x:row r="61" s="1" customFormat="1" ht="36" customHeight="1">
      <x:c r="A61" s="43" t="str">
        <x:v>06회차 | 스킬과 MCP로 반복 작업 처리하기</x:v>
      </x:c>
      <x:c r="B61"/>
      <x:c r="C61"/>
      <x:c r="D61" s="44" t="str">
        <x:v>4H</x:v>
      </x:c>
    </x:row>
    <x:row r="62" s="1" customFormat="1" ht="26" customHeight="1">
      <x:c r="A62" s="49" t="str">
        <x:v>구분</x:v>
      </x:c>
      <x:c r="B62" s="49" t="str">
        <x:v>주제</x:v>
      </x:c>
      <x:c r="C62" s="49" t="str">
        <x:v>세부 학습 내용</x:v>
      </x:c>
      <x:c r="D62" s="49" t="str">
        <x:v>시간(분)</x:v>
      </x:c>
    </x:row>
    <x:row r="63" s="1" customFormat="1" ht="65" customHeight="1">
      <x:c r="A63" s="125" t="str">
        <x:v>이론</x:v>
      </x:c>
      <x:c r="B63" s="126" t="str">
        <x:v>스킬과 도구의 역할·입출력·접근 범위</x:v>
      </x:c>
      <x:c r="C63" s="127" t="str">
        <x:v>스킬과 도구의 역할·입출력·접근 범위을(를) 오늘 수행할 과제와 연결해 설명한다. 온라인 대응: 온라인6. 복습 대신 적용에 필요한 설명으로 한정한다.</x:v>
      </x:c>
      <x:c r="D63" s="128" t="n">
        <x:v>30</x:v>
      </x:c>
    </x:row>
    <x:row r="64" s="1" customFormat="1" ht="60" customHeight="1">
      <x:c r="A64" s="129" t="str">
        <x:v>실습</x:v>
      </x:c>
      <x:c r="B64" s="130" t="str">
        <x:v>준비된 MCP 연결·호출 확인</x:v>
      </x:c>
      <x:c r="C64" s="131" t="str">
        <x:v>포털 읽기 도구와 준비된 파일·Git·시간 MCP의 연결·입력·반환값을 확인한다.</x:v>
      </x:c>
      <x:c r="D64" s="132" t="n">
        <x:v>35</x:v>
      </x:c>
    </x:row>
    <x:row r="65" s="1" customFormat="1" ht="60" customHeight="1">
      <x:c r="A65" s="129" t="str">
        <x:v>실습</x:v>
      </x:c>
      <x:c r="B65" s="130" t="str">
        <x:v>회의록 업무 목록 스킬</x:v>
      </x:c>
      <x:c r="C65" s="131" t="str">
        <x:v>회의록에서 결정·담당·기한·출처를 추출하는 SKILL.md를 만든다.</x:v>
      </x:c>
      <x:c r="D65" s="132" t="n">
        <x:v>40</x:v>
      </x:c>
    </x:row>
    <x:row r="66" s="1" customFormat="1" ht="60" customHeight="1">
      <x:c r="A66" s="129" t="str">
        <x:v>실습</x:v>
      </x:c>
      <x:c r="B66" s="130" t="str">
        <x:v>파일·Git·시간 도구 조합</x:v>
      </x:c>
      <x:c r="C66" s="131" t="str">
        <x:v>파일 내용·변경 이력·시간을 연결해 작업 결과를 저장한다.</x:v>
      </x:c>
      <x:c r="D66" s="132" t="n">
        <x:v>25</x:v>
      </x:c>
    </x:row>
    <x:row r="67" s="1" customFormat="1" ht="60" customHeight="1">
      <x:c r="A67" s="129" t="str">
        <x:v>실습</x:v>
      </x:c>
      <x:c r="B67" s="130" t="str">
        <x:v>제공 학습 자료로 대화형 학습 코치</x:v>
      </x:c>
      <x:c r="C67" s="131" t="str">
        <x:v>제공 학습 자료로 질문·학생 입력·원문 근거 피드백의 대화형 기능을 만든다.</x:v>
      </x:c>
      <x:c r="D67" s="132" t="n">
        <x:v>45</x:v>
      </x:c>
    </x:row>
    <x:row r="68" ht="60" customHeight="1">
      <x:c r="A68" s="129" t="str">
        <x:v>실습</x:v>
      </x:c>
      <x:c r="B68" s="130" t="str">
        <x:v>개별 연결 오류·결과 확인</x:v>
      </x:c>
      <x:c r="C68" s="131" t="str">
        <x:v>연결 오류와 결과의 출처를 확인하고 재사용할 파일을 보존한다.</x:v>
      </x:c>
      <x:c r="D68" s="132" t="n">
        <x:v>25</x:v>
      </x:c>
    </x:row>
    <x:row r="69" s="1" customFormat="1" ht="28" customHeight="1">
      <x:c r="A69" s="66" t="str">
        <x:v>회차 수업 합계 (휴식 40분 별도)</x:v>
      </x:c>
      <x:c r="B69"/>
      <x:c r="C69"/>
      <x:c r="D69" s="49" t="n">
        <x:f>SUM(D63:D68)</x:f>
        <x:v>200</x:v>
      </x:c>
    </x:row>
    <x:row r="70" s="1" customFormat="1" ht="58" customHeight="1">
      <x:c r="A70" s="66" t="str">
        <x:v>완료 결과: 업무 목록·도구 조합 결과·학습 코치. 포털 MCP 확인은 연결 단계 안에서 공통으로 처리한다.</x:v>
      </x:c>
      <x:c r="B70"/>
      <x:c r="C70"/>
      <x:c r="D70" s="49"/>
    </x:row>
    <x:row r="71" s="1" customFormat="1" ht="12" customHeight="1">
      <x:c r="A71"/>
      <x:c r="B71"/>
      <x:c r="C71"/>
      <x:c r="D71"/>
    </x:row>
    <x:row r="72" s="1" customFormat="1" ht="36" customHeight="1">
      <x:c r="A72" s="43" t="str">
        <x:v>07회차 | 사람 확인·명세·검증으로 결과 완성하기</x:v>
      </x:c>
      <x:c r="B72"/>
      <x:c r="C72"/>
      <x:c r="D72" s="44" t="str">
        <x:v>4H</x:v>
      </x:c>
    </x:row>
    <x:row r="73" s="1" customFormat="1" ht="26" customHeight="1">
      <x:c r="A73" s="49" t="str">
        <x:v>구분</x:v>
      </x:c>
      <x:c r="B73" s="49" t="str">
        <x:v>주제</x:v>
      </x:c>
      <x:c r="C73" s="49" t="str">
        <x:v>세부 학습 내용</x:v>
      </x:c>
      <x:c r="D73" s="49" t="str">
        <x:v>시간(분)</x:v>
      </x:c>
    </x:row>
    <x:row r="74" s="1" customFormat="1" ht="65" customHeight="1">
      <x:c r="A74" s="125" t="str">
        <x:v>이론</x:v>
      </x:c>
      <x:c r="B74" s="126" t="str">
        <x:v>질문과 승인·명세·행동 검증</x:v>
      </x:c>
      <x:c r="C74" s="127" t="str">
        <x:v>질문과 승인·명세·행동 검증을(를) 오늘 수행할 과제와 연결해 설명한다. 온라인 대응: 온라인7 + 8. 복습 대신 적용에 필요한 설명으로 한정한다.</x:v>
      </x:c>
      <x:c r="D74" s="128" t="n">
        <x:v>45</x:v>
      </x:c>
    </x:row>
    <x:row r="75" s="1" customFormat="1" ht="60" customHeight="1">
      <x:c r="A75" s="129" t="str">
        <x:v>실습</x:v>
      </x:c>
      <x:c r="B75" s="130" t="str">
        <x:v>공통 포털 승인 상태 확인</x:v>
      </x:c>
      <x:c r="C75" s="131" t="str">
        <x:v>포털의 공통 승인 대기·승인·반려 상태를 확인한다.</x:v>
      </x:c>
      <x:c r="D75" s="132" t="n">
        <x:v>5</x:v>
      </x:c>
    </x:row>
    <x:row r="76" s="1" customFormat="1" ht="60" customHeight="1">
      <x:c r="A76" s="129" t="str">
        <x:v>실습</x:v>
      </x:c>
      <x:c r="B76" s="130" t="str">
        <x:v>기존 요청에 질문·재개 구현</x:v>
      </x:c>
      <x:c r="C76" s="131" t="str">
        <x:v>5회차 후속 업무 요청 프로젝트에 필수 정보 누락 시 질문·추가 답변·재개를 구현한다.</x:v>
      </x:c>
      <x:c r="D76" s="132" t="n">
        <x:v>25</x:v>
      </x:c>
    </x:row>
    <x:row r="77" ht="60" customHeight="1">
      <x:c r="A77" s="129" t="str">
        <x:v>실습</x:v>
      </x:c>
      <x:c r="B77" s="130" t="str">
        <x:v>AI 작성·검토 역할 분담</x:v>
      </x:c>
      <x:c r="C77" s="131" t="str">
        <x:v>AI 작성·검토 역할의 결과를 비교하고 사람의 승인과 구별한다.</x:v>
      </x:c>
      <x:c r="D77" s="132" t="n">
        <x:v>25</x:v>
      </x:c>
    </x:row>
    <x:row r="78" s="1" customFormat="1" ht="60" customHeight="1">
      <x:c r="A78" s="129" t="str">
        <x:v>실습</x:v>
      </x:c>
      <x:c r="B78" s="130" t="str">
        <x:v>요구 변경 명세·구현</x:v>
      </x:c>
      <x:c r="C78" s="131" t="str">
        <x:v>같은 프로젝트의 변경 요구·입출력·수용 기준을 spec.md에 적어 구현한다.</x:v>
      </x:c>
      <x:c r="D78" s="132" t="n">
        <x:v>35</x:v>
      </x:c>
    </x:row>
    <x:row r="79" s="1" customFormat="1" ht="60" customHeight="1">
      <x:c r="A79" s="129" t="str">
        <x:v>실습</x:v>
      </x:c>
      <x:c r="B79" s="130" t="str">
        <x:v>BDD·회귀 검증</x:v>
      </x:c>
      <x:c r="C79" s="131" t="str">
        <x:v>기대 결과를 Given/When/Then으로 정하고 변경 및 기존 기능을 검증한다.</x:v>
      </x:c>
      <x:c r="D79" s="132" t="n">
        <x:v>40</x:v>
      </x:c>
    </x:row>
    <x:row r="80" s="1" customFormat="1" ht="60" customHeight="1">
      <x:c r="A80" s="129" t="str">
        <x:v>실습</x:v>
      </x:c>
      <x:c r="B80" s="130" t="str">
        <x:v>제공 다중 출처로 인수인계 결과 생성</x:v>
      </x:c>
      <x:c r="C80" s="131" t="str">
        <x:v>제공된 센서·정비·부품 자료에서 완료·미완료·다음 조치·근거 시각을 담은 인수인계 결과를 생성한다.</x:v>
      </x:c>
      <x:c r="D80" s="132" t="n">
        <x:v>25</x:v>
      </x:c>
    </x:row>
    <x:row r="81" s="1" customFormat="1" ht="28" customHeight="1">
      <x:c r="A81" s="66" t="str">
        <x:v>회차 수업 합계 (휴식 40분 별도)</x:v>
      </x:c>
      <x:c r="B81"/>
      <x:c r="C81"/>
      <x:c r="D81" s="49" t="n">
        <x:f>SUM(D74:D80)</x:f>
        <x:v>200</x:v>
      </x:c>
    </x:row>
    <x:row r="82" s="1" customFormat="1" ht="58" customHeight="1">
      <x:c r="A82" s="66" t="str">
        <x:v>완료 결과: 같은 요청 프로젝트로 명세·검증을 이어 쓴다. 인수인계는 제공 자료 기반 생성 범위이며 새 DB나 플랫폼 구축이 아니다.</x:v>
      </x:c>
      <x:c r="B82"/>
      <x:c r="C82"/>
      <x:c r="D82" s="49"/>
    </x:row>
    <x:row r="83" s="1" customFormat="1" ht="12" customHeight="1">
      <x:c r="A83"/>
      <x:c r="B83"/>
      <x:c r="C83"/>
      <x:c r="D83"/>
    </x:row>
    <x:row r="84" s="1" customFormat="1" ht="36" customHeight="1">
      <x:c r="A84" s="43" t="str">
        <x:v>08회차 | 설비 대응 프로세스를 설계하고 연결하기</x:v>
      </x:c>
      <x:c r="B84"/>
      <x:c r="C84"/>
      <x:c r="D84" s="44" t="str">
        <x:v>4H</x:v>
      </x:c>
    </x:row>
    <x:row r="85" s="1" customFormat="1" ht="26" customHeight="1">
      <x:c r="A85" s="49" t="str">
        <x:v>구분</x:v>
      </x:c>
      <x:c r="B85" s="49" t="str">
        <x:v>주제</x:v>
      </x:c>
      <x:c r="C85" s="49" t="str">
        <x:v>세부 학습 내용</x:v>
      </x:c>
      <x:c r="D85" s="49" t="str">
        <x:v>시간(분)</x:v>
      </x:c>
    </x:row>
    <x:row r="86" ht="65" customHeight="1">
      <x:c r="A86" s="125" t="str">
        <x:v>이론</x:v>
      </x:c>
      <x:c r="B86" s="126" t="str">
        <x:v>작업·역할·분기·비중단 지연과 실행 매핑</x:v>
      </x:c>
      <x:c r="C86" s="127" t="str">
        <x:v>작업·역할·분기·비중단 지연과 실행 매핑을(를) 오늘 수행할 과제와 연결해 설명한다. 온라인 대응: 통합 온라인9 / 실전 온라인6. 복습 대신 적용에 필요한 설명으로 한정한다.</x:v>
      </x:c>
      <x:c r="D86" s="128" t="n">
        <x:v>25</x:v>
      </x:c>
    </x:row>
    <x:row r="87" s="1" customFormat="1" ht="60" customHeight="1">
      <x:c r="A87" s="129" t="str">
        <x:v>실습</x:v>
      </x:c>
      <x:c r="B87" s="130" t="str">
        <x:v>bpmn.io 기본 승인 흐름 직접 작성</x:v>
      </x:c>
      <x:c r="C87" s="131" t="str">
        <x:v>bpmn.io에서 시작·작업·승인·종료를 배치하고 파일로 저장한다.</x:v>
      </x:c>
      <x:c r="D87" s="132" t="n">
        <x:v>35</x:v>
      </x:c>
    </x:row>
    <x:row r="88" s="1" customFormat="1" ht="60" customHeight="1">
      <x:c r="A88" s="129" t="str">
        <x:v>실습</x:v>
      </x:c>
      <x:c r="B88" s="130" t="str">
        <x:v>설비 대응 흐름 작성</x:v>
      </x:c>
      <x:c r="C88" s="131" t="str">
        <x:v>공통 냉각 대응 시나리오의 역할·작업·흐름을 작성한다.</x:v>
      </x:c>
      <x:c r="D88" s="132" t="n">
        <x:v>45</x:v>
      </x:c>
    </x:row>
    <x:row r="89" s="1" customFormat="1" ht="60" customHeight="1">
      <x:c r="A89" s="129" t="str">
        <x:v>실습</x:v>
      </x:c>
      <x:c r="B89" s="130" t="str">
        <x:v>승인·거절·지연 경로 완성</x:v>
      </x:c>
      <x:c r="C89" s="131" t="str">
        <x:v>승인·거절 분기와 비중단 지연 경로를 완성한다.</x:v>
      </x:c>
      <x:c r="D89" s="132" t="n">
        <x:v>45</x:v>
      </x:c>
    </x:row>
    <x:row r="90" s="1" customFormat="1" ht="60" customHeight="1">
      <x:c r="A90" s="129" t="str">
        <x:v>실습</x:v>
      </x:c>
      <x:c r="B90" s="130" t="str">
        <x:v>기존 부품으로 매핑·검사·배포</x:v>
      </x:c>
      <x:c r="C90" s="131" t="str">
        <x:v>기존 에이전트·역할·작업 부품에 매핑하고 검사·등록·배포한다. 공용 환경의 배포 순서를 따른다.</x:v>
      </x:c>
      <x:c r="D90" s="132" t="n">
        <x:v>50</x:v>
      </x:c>
    </x:row>
    <x:row r="91" s="1" customFormat="1" ht="28" customHeight="1">
      <x:c r="A91" s="66" t="str">
        <x:v>회차 수업 합계 (휴식 40분 별도)</x:v>
      </x:c>
      <x:c r="B91"/>
      <x:c r="C91"/>
      <x:c r="D91" s="49" t="n">
        <x:f>SUM(D86:D90)</x:f>
        <x:v>200</x:v>
      </x:c>
    </x:row>
    <x:row r="92" s="1" customFormat="1" ht="58" customHeight="1">
      <x:c r="A92" s="66" t="str">
        <x:v>완료 결과: 두 반 공통: 기존 냉각 대응 시나리오의 BPMN·매핑·배포 기록. 임의 작업 부품이나 포털 기능을 추가하지 않는다.</x:v>
      </x:c>
      <x:c r="B92"/>
      <x:c r="C92"/>
      <x:c r="D92" s="49"/>
    </x:row>
    <x:row r="93" s="1" customFormat="1" ht="12" customHeight="1">
      <x:c r="A93"/>
      <x:c r="B93"/>
      <x:c r="C93"/>
      <x:c r="D93"/>
    </x:row>
    <x:row r="94" s="1" customFormat="1" ht="36" customHeight="1">
      <x:c r="A94" s="43" t="str">
        <x:v>09회차 | 프로세스를 실행·검증하고 교대 인수인계 제작 시작하기</x:v>
      </x:c>
      <x:c r="B94"/>
      <x:c r="C94"/>
      <x:c r="D94" s="44" t="str">
        <x:v>4H</x:v>
      </x:c>
    </x:row>
    <x:row r="95" s="1" customFormat="1" ht="26" customHeight="1">
      <x:c r="A95" s="49" t="str">
        <x:v>구분</x:v>
      </x:c>
      <x:c r="B95" s="49" t="str">
        <x:v>주제</x:v>
      </x:c>
      <x:c r="C95" s="49" t="str">
        <x:v>세부 학습 내용</x:v>
      </x:c>
      <x:c r="D95" s="49" t="str">
        <x:v>시간(분)</x:v>
      </x:c>
    </x:row>
    <x:row r="96" ht="65" customHeight="1">
      <x:c r="A96" s="125" t="str">
        <x:v>이론</x:v>
      </x:c>
      <x:c r="B96" s="126" t="str">
        <x:v>정의·실행 상태·오류 위치와 복구</x:v>
      </x:c>
      <x:c r="C96" s="127" t="str">
        <x:v>정의·실행 상태·오류 위치와 복구를 오늘 과제와 연결해 설명한다. 온라인 대응: 통합 온라인9·11 / 실전 온라인6·8. 교대 인수인계의 시작 폼·역할·완료 조건을 구분한다.</x:v>
      </x:c>
      <x:c r="D96" s="128" t="n">
        <x:v>15</x:v>
      </x:c>
    </x:row>
    <x:row r="97" s="1" customFormat="1" ht="60" customHeight="1">
      <x:c r="A97" s="129" t="str">
        <x:v>실습</x:v>
      </x:c>
      <x:c r="B97" s="130" t="str">
        <x:v>배포된 공통 흐름 정상 실행</x:v>
      </x:c>
      <x:c r="C97" s="131" t="str">
        <x:v>배포된 공통 흐름을 실행하고 처리 이력을 확인한다.</x:v>
      </x:c>
      <x:c r="D97" s="132" t="n">
        <x:v>20</x:v>
      </x:c>
    </x:row>
    <x:row r="98" s="1" customFormat="1" ht="60" customHeight="1">
      <x:c r="A98" s="129" t="str">
        <x:v>실습</x:v>
      </x:c>
      <x:c r="B98" s="130" t="str">
        <x:v>거절·지연·역할 제한 확인</x:v>
      </x:c>
      <x:c r="C98" s="131" t="str">
        <x:v>승인 거절·지연·역할 제한을 공통 사례로 확인한다.</x:v>
      </x:c>
      <x:c r="D98" s="132" t="n">
        <x:v>25</x:v>
      </x:c>
    </x:row>
    <x:row r="99" s="1" customFormat="1" ht="60" customHeight="1">
      <x:c r="A99" s="129" t="str">
        <x:v>실습</x:v>
      </x:c>
      <x:c r="B99" s="130" t="str">
        <x:v>실제 오류 또는 제공 오류 사례 수정·재배포</x:v>
      </x:c>
      <x:c r="C99" s="131" t="str">
        <x:v>실제 또는 제공된 오류 사례에서 잘못된 설정을 찾아 수정·재배포한다.</x:v>
      </x:c>
      <x:c r="D99" s="132" t="n">
        <x:v>35</x:v>
      </x:c>
    </x:row>
    <x:row r="100" ht="68" customHeight="1">
      <x:c r="A100" s="129" t="str">
        <x:v>실습</x:v>
      </x:c>
      <x:c r="B100" s="130" t="str">
        <x:v>교대 인수인계의 입력·근거·완료 조건 정하기</x:v>
      </x:c>
      <x:c r="C100" s="131"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100" s="132" t="n">
        <x:v>25</x:v>
      </x:c>
    </x:row>
    <x:row r="101" s="1" customFormat="1" ht="60" customHeight="1">
      <x:c r="A101" s="129" t="str">
        <x:v>실습</x:v>
      </x:c>
      <x:c r="B101" s="130" t="str">
        <x:v>보충 매뉴얼 적재와 인수인계 에이전트 구성</x:v>
      </x:c>
      <x:c r="C101" s="131" t="str">
        <x:v>제공 보충 매뉴얼의 추출 결과를 원문 대조하여 기존 제조 지식에 추가한다. 허용된 설비·정비·ERP 조회를 사용해 인계안을 만들고, 기록 불일치와 미확인 사항을 남긴다. 같은 조건의 추출 재사용은 표시한다.</x:v>
      </x:c>
      <x:c r="D101" s="132" t="n">
        <x:v>60</x:v>
      </x:c>
    </x:row>
    <x:row r="102" ht="60" customHeight="1">
      <x:c r="A102" s="129" t="str">
        <x:v>실습</x:v>
      </x:c>
      <x:c r="B102" s="130" t="str">
        <x:v>교대 인수인계 BPMN 설계·매핑과 중간 결과 저장</x:v>
      </x:c>
      <x:c r="C102" s="131" t="str">
        <x:v>bpmn.io에서 조회·인계안·인계자 검토·인수자 확인·보완·완료 흐름을 작성한다. 포털의 별도 정의에 시작 폼·에이전트·역할을 연결하고 판본을 저장한다. 실제 실행은 다음 회차로 이어간다.</x:v>
      </x:c>
      <x:c r="D102" s="132" t="n">
        <x:v>20</x:v>
      </x:c>
    </x:row>
    <x:row r="103" s="1" customFormat="1" ht="28" customHeight="1">
      <x:c r="A103" s="66" t="str">
        <x:v>회차 수업 합계 (휴식 40분 별도)</x:v>
      </x:c>
      <x:c r="B103"/>
      <x:c r="C103"/>
      <x:c r="D103" s="49" t="n">
        <x:f>SUM(D96:D102)</x:f>
        <x:v>200</x:v>
      </x:c>
    </x:row>
    <x:row r="104" ht="58" customHeight="1">
      <x:c r="A104" s="66" t="str">
        <x:v>완료 결과: 추가 지식의 검토·적재 기록, 인수인계 에이전트·스킬, 별도 BPMN·매핑·시작 폼. 기존 ABC 정의는 보존한다. 임의 코드 자동 연결이나 임의 외부 도구는 요구하지 않는다.</x:v>
      </x:c>
      <x:c r="B104"/>
      <x:c r="C104"/>
      <x:c r="D104" s="49"/>
    </x:row>
    <x:row r="105" s="1" customFormat="1" ht="12" customHeight="1">
      <x:c r="A105"/>
    </x:row>
    <x:row r="106" ht="36" customHeight="1">
      <x:c r="A106" s="43" t="str">
        <x:v>10회차 | 정비·구매에 적용하고 교대 인수인계 완성하기</x:v>
      </x:c>
      <x:c r="B106"/>
      <x:c r="C106"/>
      <x:c r="D106" s="44" t="str">
        <x:v>4H</x:v>
      </x:c>
    </x:row>
    <x:row r="107" ht="26" customHeight="1">
      <x:c r="A107" s="49" t="str">
        <x:v>구분</x:v>
      </x:c>
      <x:c r="B107" s="49" t="str">
        <x:v>주제</x:v>
      </x:c>
      <x:c r="C107" s="49" t="str">
        <x:v>세부 학습 내용</x:v>
      </x:c>
      <x:c r="D107" s="49" t="str">
        <x:v>시간(분)</x:v>
      </x:c>
    </x:row>
    <x:row r="108" ht="65" customHeight="1">
      <x:c r="A108" s="125" t="str">
        <x:v>이론</x:v>
      </x:c>
      <x:c r="B108" s="126" t="str">
        <x:v>냉각 대응과 정비·구매의 시작·완료 조건 차이</x:v>
      </x:c>
      <x:c r="C108" s="127" t="str">
        <x:v>냉각 대응과 정비·구매의 시작·완료 조건 차이을(를) 오늘 수행할 과제와 연결해 설명한다. 온라인 대응: 통합 온라인10 + 11 / 실전 온라인7 + 8. 복습 대신 적용에 필요한 설명으로 한정한다.</x:v>
      </x:c>
      <x:c r="D108" s="128" t="n">
        <x:v>10</x:v>
      </x:c>
    </x:row>
    <x:row r="109" ht="60" customHeight="1">
      <x:c r="A109" s="129" t="str">
        <x:v>실습</x:v>
      </x:c>
      <x:c r="B109" s="130" t="str">
        <x:v>기존 승인 구조를 정비 흐름으로 작성</x:v>
      </x:c>
      <x:c r="C109" s="131" t="str">
        <x:v>기존 승인 패턴으로 정비 도래·계획·승인·오더·공지 흐름을 작성한다.</x:v>
      </x:c>
      <x:c r="D109" s="132" t="n">
        <x:v>35</x:v>
      </x:c>
    </x:row>
    <x:row r="110" ht="60" customHeight="1">
      <x:c r="A110" s="129" t="str">
        <x:v>실습</x:v>
      </x:c>
      <x:c r="B110" s="130" t="str">
        <x:v>정비 흐름 연결·실행</x:v>
      </x:c>
      <x:c r="C110" s="131" t="str">
        <x:v>정비 흐름을 연결·실행하고 정상·반려 결과를 확인한다.</x:v>
      </x:c>
      <x:c r="D110" s="132" t="n">
        <x:v>35</x:v>
      </x:c>
    </x:row>
    <x:row r="111" ht="60" customHeight="1">
      <x:c r="A111" s="129" t="str">
        <x:v>실습</x:v>
      </x:c>
      <x:c r="B111" s="130" t="str">
        <x:v>구매 흐름 작성</x:v>
      </x:c>
      <x:c r="C111" s="131" t="str">
        <x:v>재고 부족·구매 제안·승인·발주·입고 흐름을 작성한다.</x:v>
      </x:c>
      <x:c r="D111" s="132" t="n">
        <x:v>35</x:v>
      </x:c>
    </x:row>
    <x:row r="112" ht="60" customHeight="1">
      <x:c r="A112" s="129" t="str">
        <x:v>실습</x:v>
      </x:c>
      <x:c r="B112" s="130" t="str">
        <x:v>구매 흐름 연결·실행</x:v>
      </x:c>
      <x:c r="C112" s="131" t="str">
        <x:v>수업용 구매 흐름을 연결·실행하고 정상·반려·재고 결과를 확인한다.</x:v>
      </x:c>
      <x:c r="D112" s="132" t="n">
        <x:v>35</x:v>
      </x:c>
    </x:row>
    <x:row r="113" ht="60" customHeight="1">
      <x:c r="A113" s="129" t="str">
        <x:v>실습</x:v>
      </x:c>
      <x:c r="B113" s="130" t="str">
        <x:v>교대 인수인계 흐름 실행·보완·완료 기록 확인</x:v>
      </x:c>
      <x:c r="C113" s="131" t="str">
        <x:v>앞 회차의 인수인계 흐름을 설비·교대 입력으로 시작한다. 정상·기록 불일치·정보 누락 사례에서 인계자 검토와 인수자 확인 또는 보완 요청을 수행하고, 근거·판본·완료 기록을 저장한다.</x:v>
      </x:c>
      <x:c r="D113" s="132" t="n">
        <x:v>30</x:v>
      </x:c>
    </x:row>
    <x:row r="114" ht="68" customHeight="1">
      <x:c r="A114" s="129" t="str">
        <x:v>실습</x:v>
      </x:c>
      <x:c r="B114" s="130" t="str">
        <x:v>ProcessGPT 강사 시연: 만든 지식·에이전트·흐름을 제품 기능과 연결해 보기</x:v>
      </x:c>
      <x:c r="C114" s="131" t="str">
        <x:v>준비된 ProcessGPT 화면에서 지식·에이전트·프로세스가 연결되는 모습을 강사가 시연한다. 학생 계정 설정과 별도 제품 실습은 포함하지 않는다.</x:v>
      </x:c>
      <x:c r="D114" s="132" t="n">
        <x:v>20</x:v>
      </x:c>
    </x:row>
    <x:row r="115" ht="28" customHeight="1">
      <x:c r="A115" s="66" t="str">
        <x:v>회차 수업 합계 (휴식 40분 별도)</x:v>
      </x:c>
      <x:c r="B115"/>
      <x:c r="C115"/>
      <x:c r="D115" s="49" t="n">
        <x:f>SUM(D108:D114)</x:f>
        <x:v>200</x:v>
      </x:c>
    </x:row>
    <x:row r="116" ht="58" customHeight="1">
      <x:c r="A116" s="66" t="str">
        <x:v>완료 결과: 정비·구매는 기존 공통 시나리오로 수행하고 교대 인수인계는 별도 정의로 실행한다. 실제 설비 제어·발주를 인계 확인과 혼동하지 않는다. ProcessGPT는 강사가 20분 시연한다. 준비·실행 시간과 완주는 별도 실측한다.</x:v>
      </x:c>
      <x:c r="B116"/>
      <x:c r="C116"/>
      <x:c r="D116" s="49"/>
    </x:row>
    <x:row r="117" ht="12" customHeight="1">
      <x:c r="A117"/>
      <x:c r="B117"/>
      <x:c r="C117"/>
      <x:c r="D117"/>
    </x:row>
    <x:row r="118" ht="28" customHeight="1">
      <x:c r="A118" s="66" t="str">
        <x:v>전체 수업 시간(분)</x:v>
      </x:c>
      <x:c r="B118"/>
      <x:c r="C118"/>
      <x:c r="D118" s="49" t="n">
        <x:f>D2</x:f>
        <x:v>2000</x:v>
      </x:c>
    </x:row>
    <x:row r="119" ht="28" customHeight="1">
      <x:c r="A119" s="66" t="str">
        <x:v>전체 휴식 시간(40분×10회)</x:v>
      </x:c>
      <x:c r="B119"/>
      <x:c r="C119"/>
      <x:c r="D119" s="49" t="n">
        <x:f>40*10</x:f>
        <x:v>400</x:v>
      </x:c>
    </x:row>
    <x:row r="120" ht="28" customHeight="1">
      <x:c r="A120" s="66" t="str">
        <x:v>전체 편성 시간(분)</x:v>
      </x:c>
      <x:c r="B120"/>
      <x:c r="C120"/>
      <x:c r="D120" s="49" t="n">
        <x:f>SUM(D118:D119)</x:f>
        <x:v>2400</x:v>
      </x:c>
    </x:row>
    <x:row r="121" ht="48" customHeight="1">
      <x:c r="A121" s="66" t="str">
        <x:v>운영: 시간은 학생 수행의 초기 편성값이며 실측이 아니다. 온라인 배포일보다 먼저 필요한 단원은 사전 열람 자료를 제공한다. 강사는 막힌 부분을 지원한다.</x:v>
      </x:c>
      <x:c r="B121"/>
      <x:c r="C121"/>
      <x:c r="D121" s="49"/>
    </x:row>
    <x:row r="122">
      <x:c r="A122"/>
      <x:c r="B122"/>
      <x:c r="C122"/>
      <x:c r="D122"/>
    </x:row>
    <x:row r="123">
      <x:c r="A123"/>
      <x:c r="B123"/>
      <x:c r="C123"/>
      <x:c r="D123"/>
    </x:row>
    <x:row r="124">
      <x:c r="A124"/>
      <x:c r="B124"/>
      <x:c r="C124"/>
      <x:c r="D124"/>
    </x:row>
    <x:row r="125">
      <x:c r="A125"/>
      <x:c r="B125"/>
      <x:c r="C125"/>
      <x:c r="D125"/>
    </x:row>
    <x:row r="126">
      <x:c r="A126"/>
      <x:c r="B126"/>
      <x:c r="C126"/>
      <x:c r="D126"/>
    </x:row>
    <x:row r="127">
      <x:c r="A127"/>
      <x:c r="B127"/>
      <x:c r="C127"/>
      <x:c r="D127"/>
    </x:row>
    <x:row r="128">
      <x:c r="A128"/>
      <x:c r="B128"/>
      <x:c r="C128"/>
      <x:c r="D128"/>
    </x:row>
    <x:row r="129">
      <x:c r="A129"/>
      <x:c r="B129"/>
      <x:c r="C129"/>
      <x:c r="D129"/>
    </x:row>
    <x:row r="130">
      <x:c r="A130"/>
      <x:c r="B130"/>
      <x:c r="C130"/>
      <x:c r="D130"/>
    </x:row>
    <x:row r="131">
      <x:c r="A131"/>
      <x:c r="B131"/>
      <x:c r="C131"/>
      <x:c r="D131"/>
    </x:row>
    <x:row r="132">
      <x:c r="A132"/>
      <x:c r="B132"/>
      <x:c r="C132"/>
      <x:c r="D132"/>
    </x:row>
    <x:row r="133">
      <x:c r="A133"/>
      <x:c r="B133"/>
      <x:c r="C133"/>
      <x:c r="D133"/>
    </x:row>
    <x:row r="134">
      <x:c r="A134"/>
      <x:c r="B134"/>
      <x:c r="C134"/>
      <x:c r="D134"/>
    </x:row>
    <x:row r="135">
      <x:c r="A135"/>
      <x:c r="B135"/>
      <x:c r="C135"/>
      <x:c r="D135"/>
    </x:row>
    <x:row r="136">
      <x:c r="A136"/>
      <x:c r="B136"/>
      <x:c r="C136"/>
      <x:c r="D136"/>
    </x:row>
    <x:row r="137">
      <x:c r="A137"/>
      <x:c r="B137"/>
      <x:c r="C137"/>
      <x:c r="D137"/>
    </x:row>
    <x:row r="138">
      <x:c r="A138"/>
      <x:c r="B138"/>
      <x:c r="C138"/>
      <x:c r="D138"/>
    </x:row>
    <x:row r="139">
      <x:c r="A139"/>
      <x:c r="B139"/>
      <x:c r="C139"/>
      <x:c r="D139"/>
    </x:row>
    <x:row r="140">
      <x:c r="A140"/>
      <x:c r="B140"/>
      <x:c r="C140"/>
      <x:c r="D140"/>
    </x:row>
    <x:row r="141">
      <x:c r="A141"/>
      <x:c r="B141"/>
      <x:c r="C141"/>
      <x:c r="D141"/>
    </x:row>
    <x:row r="142">
      <x:c r="A142"/>
      <x:c r="B142"/>
      <x:c r="C142"/>
      <x:c r="D142"/>
    </x:row>
    <x:row r="143">
      <x:c r="A143"/>
      <x:c r="B143"/>
      <x:c r="C143"/>
      <x:c r="D143"/>
    </x:row>
    <x:row r="144">
      <x:c r="A144"/>
      <x:c r="B144"/>
      <x:c r="C144"/>
      <x:c r="D144"/>
    </x:row>
    <x:row r="145">
      <x:c r="A145"/>
      <x:c r="B145"/>
      <x:c r="C145"/>
      <x:c r="D145"/>
    </x:row>
    <x:row r="146">
      <x:c r="A146"/>
      <x:c r="B146"/>
      <x:c r="C146"/>
      <x:c r="D146"/>
    </x:row>
    <x:row r="147">
      <x:c r="A147"/>
      <x:c r="B147"/>
      <x:c r="C147"/>
      <x:c r="D147"/>
    </x:row>
    <x:row r="148">
      <x:c r="A148"/>
      <x:c r="B148"/>
      <x:c r="C148"/>
      <x:c r="D148"/>
    </x:row>
    <x:row r="149">
      <x:c r="A149"/>
      <x:c r="B149"/>
      <x:c r="C149"/>
      <x:c r="D149"/>
    </x:row>
    <x:row r="150">
      <x:c r="A150"/>
      <x:c r="B150"/>
      <x:c r="C150"/>
      <x:c r="D150"/>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C1"/>
    <x:mergeCell ref="A2:C2"/>
    <x:mergeCell ref="A4:C4"/>
    <x:mergeCell ref="A13:C13"/>
    <x:mergeCell ref="A14:D14"/>
    <x:mergeCell ref="A16:C16"/>
    <x:mergeCell ref="A24:C24"/>
    <x:mergeCell ref="A25:D25"/>
    <x:mergeCell ref="A27:C27"/>
    <x:mergeCell ref="A35:C35"/>
    <x:mergeCell ref="A36:D36"/>
    <x:mergeCell ref="A38:C38"/>
    <x:mergeCell ref="A47:C47"/>
    <x:mergeCell ref="A48:D48"/>
    <x:mergeCell ref="A50:C50"/>
    <x:mergeCell ref="A58:C58"/>
    <x:mergeCell ref="A59:D59"/>
    <x:mergeCell ref="A61:C61"/>
    <x:mergeCell ref="A69:C69"/>
    <x:mergeCell ref="A70:D70"/>
    <x:mergeCell ref="A72:C72"/>
    <x:mergeCell ref="A81:C81"/>
    <x:mergeCell ref="A82:D82"/>
    <x:mergeCell ref="A84:C84"/>
    <x:mergeCell ref="A91:C91"/>
    <x:mergeCell ref="A92:D92"/>
    <x:mergeCell ref="A94:C94"/>
    <x:mergeCell ref="A103:C103"/>
    <x:mergeCell ref="A104:D104"/>
    <x:mergeCell ref="A106:C106"/>
    <x:mergeCell ref="A115:C115"/>
    <x:mergeCell ref="A116:D116"/>
    <x:mergeCell ref="A118:C118"/>
    <x:mergeCell ref="A119:C119"/>
    <x:mergeCell ref="A120:C120"/>
    <x:mergeCell ref="A121:D121"/>
  </x:mergeCells>
  <x:pageMargins left="0.7" right="0.7" top="0.75" bottom="0.75" header="0.3" footer="0.3"/>
</x:worksheet>
</file>

<file path=xl/worksheets/sheet4.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34" customHeight="1">
      <x:c r="A1" s="84" t="str">
        <x:v>HYD 제조 AI | 실전반 오프라인 9회 실라버스</x:v>
      </x:c>
      <x:c r="B1"/>
      <x:c r="C1"/>
      <x:c r="D1" s="84"/>
    </x:row>
    <x:row r="2" s="1" customFormat="1" ht="40" customHeight="1">
      <x:c r="A2" s="66" t="str">
        <x:v>2026-10-26 개편 | 온라인 선행 학습·가이드 자율 실습 | 이론 최대50분·복습 없음 | 매회 수업200분+휴식40분</x:v>
      </x:c>
      <x:c r="B2"/>
      <x:c r="C2"/>
      <x:c r="D2" s="49" t="n">
        <x:f>SUM(D13,D24,D35,D46,D57,D68,D78,D90,D102)</x:f>
        <x:v>1800</x:v>
      </x:c>
    </x:row>
    <x:row r="3" s="1" customFormat="1" ht="12" customHeight="1">
      <x:c r="A3"/>
      <x:c r="B3"/>
      <x:c r="C3"/>
      <x:c r="D3"/>
    </x:row>
    <x:row r="4" s="1" customFormat="1" ht="36" customHeight="1">
      <x:c r="A4" s="43" t="str">
        <x:v>01회차 | 설비 정보를 관계와 모델로 표현하기</x:v>
      </x:c>
      <x:c r="B4"/>
      <x:c r="C4"/>
      <x:c r="D4" s="44" t="str">
        <x:v>4H</x:v>
      </x:c>
    </x:row>
    <x:row r="5" s="1" customFormat="1" ht="26" customHeight="1">
      <x:c r="A5" s="49" t="str">
        <x:v>구분</x:v>
      </x:c>
      <x:c r="B5" s="49" t="str">
        <x:v>주제</x:v>
      </x:c>
      <x:c r="C5" s="49" t="str">
        <x:v>세부 학습 내용</x:v>
      </x:c>
      <x:c r="D5" s="49" t="str">
        <x:v>시간(분)</x:v>
      </x:c>
    </x:row>
    <x:row r="6" s="1" customFormat="1" ht="65" customHeight="1">
      <x:c r="A6" s="125" t="str">
        <x:v>이론</x:v>
      </x:c>
      <x:c r="B6" s="126" t="str">
        <x:v>설비·레이어·온톨로지·식별자의 연결</x:v>
      </x:c>
      <x:c r="C6" s="127" t="str">
        <x:v>설비·레이어·온톨로지·식별자의 연결을(를) 오늘 수행할 과제와 연결해 설명한다. 온라인 대응: 각 과정 온라인 1 + 2의 모델 기초. 복습 대신 적용에 필요한 설명으로 한정한다.</x:v>
      </x:c>
      <x:c r="D6" s="128" t="n">
        <x:v>40</x:v>
      </x:c>
    </x:row>
    <x:row r="7" s="1" customFormat="1" ht="60" customHeight="1">
      <x:c r="A7" s="129" t="str">
        <x:v>실습</x:v>
      </x:c>
      <x:c r="B7" s="130" t="str">
        <x:v>ARROWS에서 설비·원인·조치 관계 작성</x:v>
      </x:c>
      <x:c r="C7" s="131" t="str">
        <x:v>쿨러·센서·부품·고장·조치를 연결하고 관계 방향을 문장으로 확인한 뒤 JSON을 저장한다.</x:v>
      </x:c>
      <x:c r="D7" s="132" t="n">
        <x:v>30</x:v>
      </x:c>
    </x:row>
    <x:row r="8" s="1" customFormat="1" ht="60" customHeight="1">
      <x:c r="A8" s="129" t="str">
        <x:v>실습</x:v>
      </x:c>
      <x:c r="B8" s="130" t="str">
        <x:v>제공 자료로 최소 스키마·인스턴스 작성</x:v>
      </x:c>
      <x:c r="C8" s="131" t="str">
        <x:v>제공 목록과 관계도를 대조해 고유 ID·클래스·속성을 갖춘 최소 schema.json과 인스턴스를 만든다.</x:v>
      </x:c>
      <x:c r="D8" s="132" t="n">
        <x:v>45</x:v>
      </x:c>
    </x:row>
    <x:row r="9" s="1" customFormat="1" ht="60" customHeight="1">
      <x:c r="A9" s="129" t="str">
        <x:v>실습</x:v>
      </x:c>
      <x:c r="B9" s="130" t="str">
        <x:v>제공 절차로 랩 그래프 적재·질문 결과 확인</x:v>
      </x:c>
      <x:c r="C9" s="131" t="str">
        <x:v>제공 적재 절차를 별도 랩 DB에서 수행하고 질문별 조회 결과를 원자료와 비교한다. Cypher 문법 수업은 별도로 하지 않는다.</x:v>
      </x:c>
      <x:c r="D9" s="132" t="n">
        <x:v>30</x:v>
      </x:c>
    </x:row>
    <x:row r="10" s="1" customFormat="1" ht="60" customHeight="1">
      <x:c r="A10" s="129" t="str">
        <x:v>실습</x:v>
      </x:c>
      <x:c r="B10" s="130" t="str">
        <x:v>포털 기준 지도와 필요한 관계 비교</x:v>
      </x:c>
      <x:c r="C10" s="131" t="str">
        <x:v>포털의 공통 기준 지도에서 필요한 연결만 확인하고 개인 모델과 비교한다. 자동 동기화는 전제하지 않는다.</x:v>
      </x:c>
      <x:c r="D10" s="132" t="n">
        <x:v>10</x:v>
      </x:c>
    </x:row>
    <x:row r="11" s="1" customFormat="1" ht="60" customHeight="1">
      <x:c r="A11" s="129" t="str">
        <x:v>실습</x:v>
      </x:c>
      <x:c r="B11" s="130" t="str">
        <x:v>본인 모델의 누락 수정·질문별 결과 완성</x:v>
      </x:c>
      <x:c r="C11" s="131" t="str">
        <x:v>누락된 관계·속성·방향을 보완하고 질문별 답을 다시 확인한다.</x:v>
      </x:c>
      <x:c r="D11" s="132" t="n">
        <x:v>30</x:v>
      </x:c>
    </x:row>
    <x:row r="12" s="1" customFormat="1" ht="60" customHeight="1">
      <x:c r="A12" s="129" t="str">
        <x:v>실습</x:v>
      </x:c>
      <x:c r="B12" s="130" t="str">
        <x:v>개별 진행 차이 대응·저장·다음 입력 준비</x:v>
      </x:c>
      <x:c r="C12" s="131" t="str">
        <x:v>막힌 부분을 해결하고 관계도·모델·질의 결과를 저장해 다음 회차 입력으로 준비한다.</x:v>
      </x:c>
      <x:c r="D12" s="132" t="n">
        <x:v>15</x:v>
      </x:c>
    </x:row>
    <x:row r="13" s="1" customFormat="1" ht="28" customHeight="1">
      <x:c r="A13" s="66" t="str">
        <x:v>회차 수업 합계 (휴식 40분 별도)</x:v>
      </x:c>
      <x:c r="B13"/>
      <x:c r="C13"/>
      <x:c r="D13" s="49" t="n">
        <x:f>SUM(D6:D12)</x:f>
        <x:v>200</x:v>
      </x:c>
    </x:row>
    <x:row r="14" s="1" customFormat="1" ht="58" customHeight="1">
      <x:c r="A14" s="66" t="str">
        <x:v>완료 결과: 두 반 동일: 관계도, 최소 모델, 질문별 확인 결과. Neo4j 문법 수업은 별도로 편성하지 않는다. 온라인 2 전체 설계를 1회차에 모두 끝내지 않는다.</x:v>
      </x:c>
      <x:c r="B14"/>
      <x:c r="C14"/>
      <x:c r="D14" s="49"/>
    </x:row>
    <x:row r="15" s="1" customFormat="1" ht="12" customHeight="1">
      <x:c r="A15"/>
      <x:c r="B15"/>
      <x:c r="C15"/>
      <x:c r="D15"/>
    </x:row>
    <x:row r="16" s="1" customFormat="1" ht="36" customHeight="1">
      <x:c r="A16" s="43" t="str">
        <x:v>02회차 | 설비 지식과 조건을 조치 검토에 활용하기</x:v>
      </x:c>
      <x:c r="B16"/>
      <x:c r="C16"/>
      <x:c r="D16" s="44" t="str">
        <x:v>4H</x:v>
      </x:c>
    </x:row>
    <x:row r="17" s="1" customFormat="1" ht="26" customHeight="1">
      <x:c r="A17" s="49" t="str">
        <x:v>구분</x:v>
      </x:c>
      <x:c r="B17" s="49" t="str">
        <x:v>주제</x:v>
      </x:c>
      <x:c r="C17" s="49" t="str">
        <x:v>세부 학습 내용</x:v>
      </x:c>
      <x:c r="D17" s="49" t="str">
        <x:v>시간(분)</x:v>
      </x:c>
    </x:row>
    <x:row r="18" s="1" customFormat="1" ht="65" customHeight="1">
      <x:c r="A18" s="125" t="str">
        <x:v>이론</x:v>
      </x:c>
      <x:c r="B18" s="126" t="str">
        <x:v>모델의 사용 목적·조건표·판정과 승인 구분</x:v>
      </x:c>
      <x:c r="C18" s="127" t="str">
        <x:v>모델의 사용 목적·조건표·판정과 승인 구분을(를) 오늘 수행할 과제와 연결해 설명한다. 온라인 대응: 온라인2 + 3 판단. 복습 대신 적용에 필요한 설명으로 한정한다.</x:v>
      </x:c>
      <x:c r="D18" s="128" t="n">
        <x:v>40</x:v>
      </x:c>
    </x:row>
    <x:row r="19" s="1" customFormat="1" ht="60" customHeight="1">
      <x:c r="A19" s="129" t="str">
        <x:v>실습</x:v>
      </x:c>
      <x:c r="B19" s="130" t="str">
        <x:v>기존 설비·부품 모델에 공급 자료 연결</x:v>
      </x:c>
      <x:c r="C19" s="131" t="str">
        <x:v>기존 설비·부품 모델에 제공 공급 조건을 연결한다.</x:v>
      </x:c>
      <x:c r="D19" s="132" t="n">
        <x:v>35</x:v>
      </x:c>
    </x:row>
    <x:row r="20" s="1" customFormat="1" ht="60" customHeight="1">
      <x:c r="A20" s="129" t="str">
        <x:v>실습</x:v>
      </x:c>
      <x:c r="B20" s="130" t="str">
        <x:v>부품별 사용 설비·공급 정보 조회 결과 제작</x:v>
      </x:c>
      <x:c r="C20" s="131" t="str">
        <x:v>부품별 사용 설비와 공급 정보를 조회하는 기능을 만들고 원자료와 비교한다.</x:v>
      </x:c>
      <x:c r="D20" s="132" t="n">
        <x:v>25</x:v>
      </x:c>
    </x:row>
    <x:row r="21" s="1" customFormat="1" ht="60" customHeight="1">
      <x:c r="A21" s="129" t="str">
        <x:v>실습</x:v>
      </x:c>
      <x:c r="B21" s="130" t="str">
        <x:v>SOP 조치 조건표 작성</x:v>
      </x:c>
      <x:c r="C21" s="131" t="str">
        <x:v>SOP에서 입력·단위·경계·출처를 가진 조치 조건표를 작성한다.</x:v>
      </x:c>
      <x:c r="D21" s="132" t="n">
        <x:v>30</x:v>
      </x:c>
    </x:row>
    <x:row r="22" s="1" customFormat="1" ht="60" customHeight="1">
      <x:c r="A22" s="129" t="str">
        <x:v>실습</x:v>
      </x:c>
      <x:c r="B22" s="130" t="str">
        <x:v>허용·제외와 성과 비교 기능 제작</x:v>
      </x:c>
      <x:c r="C22" s="131" t="str">
        <x:v>허용·제외와 사유를 구현하고 허용 후보의 성과를 비교한다.</x:v>
      </x:c>
      <x:c r="D22" s="132" t="n">
        <x:v>40</x:v>
      </x:c>
    </x:row>
    <x:row r="23" s="1" customFormat="1" ht="60" customHeight="1">
      <x:c r="A23" s="129" t="str">
        <x:v>실습</x:v>
      </x:c>
      <x:c r="B23" s="130" t="str">
        <x:v>선택 이유·추가 확인 사항을 조치 검토 결과로 완성</x:v>
      </x:c>
      <x:c r="C23" s="131" t="str">
        <x:v>선택 이유·원문 근거·추가 확인 사항을 한 조치 검토 결과로 저장한다.</x:v>
      </x:c>
      <x:c r="D23" s="132" t="n">
        <x:v>30</x:v>
      </x:c>
    </x:row>
    <x:row r="24" s="1" customFormat="1" ht="28" customHeight="1">
      <x:c r="A24" s="66" t="str">
        <x:v>회차 수업 합계 (휴식 40분 별도)</x:v>
      </x:c>
      <x:c r="B24"/>
      <x:c r="C24"/>
      <x:c r="D24" s="49" t="n">
        <x:f>SUM(D18:D23)</x:f>
        <x:v>200</x:v>
      </x:c>
    </x:row>
    <x:row r="25" s="1" customFormat="1" ht="58" customHeight="1">
      <x:c r="A25" s="66" t="str">
        <x:v>완료 결과: 같은 설비 모델·판단 코어를 유지한다. 공급 정보는 조회·비교 자료이며 임의 공급사 선정 규칙을 만들지 않는다. 선택 이유에는 계산과 원문 근거를 연결한다.</x:v>
      </x:c>
      <x:c r="B25"/>
      <x:c r="C25"/>
      <x:c r="D25" s="49"/>
    </x:row>
    <x:row r="26" s="1" customFormat="1" ht="12" customHeight="1">
      <x:c r="A26"/>
      <x:c r="B26"/>
      <x:c r="C26"/>
      <x:c r="D26"/>
    </x:row>
    <x:row r="27" s="1" customFormat="1" ht="36" customHeight="1">
      <x:c r="A27" s="43" t="str">
        <x:v>03회차 | 문서 지식을 작업 확인 자료로 활용하기</x:v>
      </x:c>
      <x:c r="B27"/>
      <x:c r="C27"/>
      <x:c r="D27" s="44" t="str">
        <x:v>4H</x:v>
      </x:c>
    </x:row>
    <x:row r="28" s="1" customFormat="1" ht="26" customHeight="1">
      <x:c r="A28" s="49" t="str">
        <x:v>구분</x:v>
      </x:c>
      <x:c r="B28" s="49" t="str">
        <x:v>주제</x:v>
      </x:c>
      <x:c r="C28" s="49" t="str">
        <x:v>세부 학습 내용</x:v>
      </x:c>
      <x:c r="D28" s="49" t="str">
        <x:v>시간(분)</x:v>
      </x:c>
    </x:row>
    <x:row r="29" s="1" customFormat="1" ht="65" customHeight="1">
      <x:c r="A29" s="125" t="str">
        <x:v>이론</x:v>
      </x:c>
      <x:c r="B29" s="126" t="str">
        <x:v>추출·검토·출처·지식의 재사용</x:v>
      </x:c>
      <x:c r="C29" s="127" t="str">
        <x:v>추출·검토·출처·지식의 재사용을(를) 오늘 수행할 과제와 연결해 설명한다. 온라인 대응: 온라인3 문서. 복습 대신 적용에 필요한 설명으로 한정한다.</x:v>
      </x:c>
      <x:c r="D29" s="128" t="n">
        <x:v>30</x:v>
      </x:c>
    </x:row>
    <x:row r="30" s="1" customFormat="1" ht="60" customHeight="1">
      <x:c r="A30" s="129" t="str">
        <x:v>실습</x:v>
      </x:c>
      <x:c r="B30" s="130" t="str">
        <x:v>공통 포털 문서 등록·검토 경험</x:v>
      </x:c>
      <x:c r="C30" s="131" t="str">
        <x:v>공통 포털에서 문서 등록과 추출 후보 검토를 수행한다.</x:v>
      </x:c>
      <x:c r="D30" s="132" t="n">
        <x:v>20</x:v>
      </x:c>
    </x:row>
    <x:row r="31" ht="60" customHeight="1">
      <x:c r="A31" s="129" t="str">
        <x:v>실습</x:v>
      </x:c>
      <x:c r="B31" s="130" t="str">
        <x:v>제공 문서 추출·원문 검토</x:v>
      </x:c>
      <x:c r="C31" s="131" t="str">
        <x:v>제공 문서를 구조화해 추출하고 조건·단위·출처를 원문과 비교한다.</x:v>
      </x:c>
      <x:c r="D31" s="132" t="n">
        <x:v>45</x:v>
      </x:c>
    </x:row>
    <x:row r="32" s="1" customFormat="1" ht="60" customHeight="1">
      <x:c r="A32" s="129" t="str">
        <x:v>실습</x:v>
      </x:c>
      <x:c r="B32" s="130" t="str">
        <x:v>검토 지식 적재·출처 확인</x:v>
      </x:c>
      <x:c r="C32" s="131" t="str">
        <x:v>채택 지식을 별도 랩 그래프에 적재하고 출처를 조회한다.</x:v>
      </x:c>
      <x:c r="D32" s="132" t="n">
        <x:v>35</x:v>
      </x:c>
    </x:row>
    <x:row r="33" s="1" customFormat="1" ht="60" customHeight="1">
      <x:c r="A33" s="129" t="str">
        <x:v>실습</x:v>
      </x:c>
      <x:c r="B33" s="130" t="str">
        <x:v>선택한 작업의 준비·금지·완료 조건 카드 생성 기능</x:v>
      </x:c>
      <x:c r="C33" s="131" t="str">
        <x:v>검토 지식에서 선택 작업의 준비·금지·완료 조건 카드를 생성하는 로컬 기능을 만든다.</x:v>
      </x:c>
      <x:c r="D33" s="132" t="n">
        <x:v>45</x:v>
      </x:c>
    </x:row>
    <x:row r="34" s="1" customFormat="1" ht="60" customHeight="1">
      <x:c r="A34" s="129" t="str">
        <x:v>실습</x:v>
      </x:c>
      <x:c r="B34" s="130" t="str">
        <x:v>카드와 원문 대조·개별 수정</x:v>
      </x:c>
      <x:c r="C34" s="131" t="str">
        <x:v>카드를 원문과 비교해 수정하고 파일로 저장한다. 포털 화면을 추가하지 않는다.</x:v>
      </x:c>
      <x:c r="D34" s="132" t="n">
        <x:v>25</x:v>
      </x:c>
    </x:row>
    <x:row r="35" s="1" customFormat="1" ht="28" customHeight="1">
      <x:c r="A35" s="66" t="str">
        <x:v>회차 수업 합계 (휴식 40분 별도)</x:v>
      </x:c>
      <x:c r="B35"/>
      <x:c r="C35"/>
      <x:c r="D35" s="49" t="n">
        <x:f>SUM(D29:D34)</x:f>
        <x:v>200</x:v>
      </x:c>
    </x:row>
    <x:row r="36" s="1" customFormat="1" ht="58" customHeight="1">
      <x:c r="A36" s="66" t="str">
        <x:v>완료 결과: 추출된 지식으로 작업 확인 카드를 생성한다. 문서 밖 절차를 만들지 않는다. 포털에 카드 화면을 추가하지 않고 로컬 파일로 저장한다.</x:v>
      </x:c>
      <x:c r="B36"/>
      <x:c r="C36"/>
      <x:c r="D36" s="49"/>
    </x:row>
    <x:row r="37" s="1" customFormat="1" ht="12" customHeight="1">
      <x:c r="A37"/>
      <x:c r="B37"/>
      <x:c r="C37"/>
      <x:c r="D37"/>
    </x:row>
    <x:row r="38" s="1" customFormat="1" ht="36" customHeight="1">
      <x:c r="A38" s="43" t="str">
        <x:v>04회차 | 분석 결과를 점검 요청으로 연결하기</x:v>
      </x:c>
      <x:c r="B38"/>
      <x:c r="C38"/>
      <x:c r="D38" s="44" t="str">
        <x:v>4H</x:v>
      </x:c>
    </x:row>
    <x:row r="39" s="1" customFormat="1" ht="26" customHeight="1">
      <x:c r="A39" s="49" t="str">
        <x:v>구분</x:v>
      </x:c>
      <x:c r="B39" s="49" t="str">
        <x:v>주제</x:v>
      </x:c>
      <x:c r="C39" s="49" t="str">
        <x:v>세부 학습 내용</x:v>
      </x:c>
      <x:c r="D39" s="49" t="str">
        <x:v>시간(분)</x:v>
      </x:c>
    </x:row>
    <x:row r="40" ht="65" customHeight="1">
      <x:c r="A40" s="125" t="str">
        <x:v>이론</x:v>
      </x:c>
      <x:c r="B40" s="126" t="str">
        <x:v>원인 근거·점검 제안·사용할 결과의 구조</x:v>
      </x:c>
      <x:c r="C40" s="127" t="str">
        <x:v>원인 근거·점검 제안·사용할 결과의 구조을(를) 오늘 수행할 과제와 연결해 설명한다. 온라인 대응: 온라인4 에이전트. 복습 대신 적용에 필요한 설명으로 한정한다.</x:v>
      </x:c>
      <x:c r="D40" s="128" t="n">
        <x:v>35</x:v>
      </x:c>
    </x:row>
    <x:row r="41" s="1" customFormat="1" ht="60" customHeight="1">
      <x:c r="A41" s="129" t="str">
        <x:v>실습</x:v>
      </x:c>
      <x:c r="B41" s="130" t="str">
        <x:v>공통 포털 에이전트 경험</x:v>
      </x:c>
      <x:c r="C41" s="131" t="str">
        <x:v>공통 포털 에이전트의 구성·도구·근거를 확인한다.</x:v>
      </x:c>
      <x:c r="D41" s="132" t="n">
        <x:v>10</x:v>
      </x:c>
    </x:row>
    <x:row r="42" s="1" customFormat="1" ht="60" customHeight="1">
      <x:c r="A42" s="129" t="str">
        <x:v>실습</x:v>
      </x:c>
      <x:c r="B42" s="130" t="str">
        <x:v>원인 후보·점검 순서 기능 제작</x:v>
      </x:c>
      <x:c r="C42" s="131" t="str">
        <x:v>설비 증거에서 원인 후보와 점검 순서를 생성하는 기능을 만든다.</x:v>
      </x:c>
      <x:c r="D42" s="132" t="n">
        <x:v>45</x:v>
      </x:c>
    </x:row>
    <x:row r="43" s="1" customFormat="1" ht="60" customHeight="1">
      <x:c r="A43" s="129" t="str">
        <x:v>실습</x:v>
      </x:c>
      <x:c r="B43" s="130" t="str">
        <x:v>기존 설비·문서·부품 자료 연결</x:v>
      </x:c>
      <x:c r="C43" s="131" t="str">
        <x:v>기존 설비·문서·부품 자료의 출처와 점검 대상 관계를 연결한다.</x:v>
      </x:c>
      <x:c r="D43" s="132" t="n">
        <x:v>35</x:v>
      </x:c>
    </x:row>
    <x:row r="44" s="1" customFormat="1" ht="60" customHeight="1">
      <x:c r="A44" s="129" t="str">
        <x:v>실습</x:v>
      </x:c>
      <x:c r="B44" s="130" t="str">
        <x:v>점검 대상·근거·확인 항목을 담은 요청 초안 제작</x:v>
      </x:c>
      <x:c r="C44" s="131" t="str">
        <x:v>점검 대상·근거·확인 항목을 담은 로컬 요청 초안을 만든다.</x:v>
      </x:c>
      <x:c r="D44" s="132" t="n">
        <x:v>45</x:v>
      </x:c>
    </x:row>
    <x:row r="45" s="1" customFormat="1" ht="60" customHeight="1">
      <x:c r="A45" s="129" t="str">
        <x:v>실습</x:v>
      </x:c>
      <x:c r="B45" s="130" t="str">
        <x:v>누락·단정 여부 확인·개별 수정</x:v>
      </x:c>
      <x:c r="C45" s="131" t="str">
        <x:v>누락과 근거 없는 단정을 수정해 6회차 변경·검증의 입력으로 저장한다.</x:v>
      </x:c>
      <x:c r="D45" s="132" t="n">
        <x:v>30</x:v>
      </x:c>
    </x:row>
    <x:row r="46" s="1" customFormat="1" ht="28" customHeight="1">
      <x:c r="A46" s="66" t="str">
        <x:v>회차 수업 합계 (휴식 40분 별도)</x:v>
      </x:c>
      <x:c r="B46"/>
      <x:c r="C46"/>
      <x:c r="D46" s="49" t="n">
        <x:f>SUM(D40:D45)</x:f>
        <x:v>200</x:v>
      </x:c>
    </x:row>
    <x:row r="47" s="1" customFormat="1" ht="58" customHeight="1">
      <x:c r="A47" s="66" t="str">
        <x:v>완료 결과: 원인 분석 코어를 유지하고 점검 요청 초안까지 완성한다. 요청은 로컬 결과이며 포털 작업지시 생성·설비 조작은 하지 않는다.</x:v>
      </x:c>
      <x:c r="B47"/>
      <x:c r="C47"/>
      <x:c r="D47" s="49"/>
    </x:row>
    <x:row r="48" s="1" customFormat="1" ht="12" customHeight="1">
      <x:c r="A48"/>
      <x:c r="D48"/>
    </x:row>
    <x:row r="49" ht="36" customHeight="1">
      <x:c r="A49" s="43" t="str">
        <x:v>05회차 | 스킬과 도구로 다음 협의 준비하기</x:v>
      </x:c>
      <x:c r="B49"/>
      <x:c r="C49"/>
      <x:c r="D49" s="44" t="str">
        <x:v>4H</x:v>
      </x:c>
    </x:row>
    <x:row r="50" s="1" customFormat="1" ht="26" customHeight="1">
      <x:c r="A50" s="49" t="str">
        <x:v>구분</x:v>
      </x:c>
      <x:c r="B50" s="49" t="str">
        <x:v>주제</x:v>
      </x:c>
      <x:c r="C50" s="49" t="str">
        <x:v>세부 학습 내용</x:v>
      </x:c>
      <x:c r="D50" s="49" t="str">
        <x:v>시간(분)</x:v>
      </x:c>
    </x:row>
    <x:row r="51" s="1" customFormat="1" ht="65" customHeight="1">
      <x:c r="A51" s="125" t="str">
        <x:v>이론</x:v>
      </x:c>
      <x:c r="B51" s="126" t="str">
        <x:v>재사용 지침·도구 조합·변경 근거</x:v>
      </x:c>
      <x:c r="C51" s="127" t="str">
        <x:v>재사용 지침·도구 조합·변경 근거을(를) 오늘 수행할 과제와 연결해 설명한다. 온라인 대응: 온라인4 스킬·MCP. 복습 대신 적용에 필요한 설명으로 한정한다.</x:v>
      </x:c>
      <x:c r="D51" s="128" t="n">
        <x:v>30</x:v>
      </x:c>
    </x:row>
    <x:row r="52" s="1" customFormat="1" ht="60" customHeight="1">
      <x:c r="A52" s="129" t="str">
        <x:v>실습</x:v>
      </x:c>
      <x:c r="B52" s="130" t="str">
        <x:v>공통 도구 연결·호출 확인</x:v>
      </x:c>
      <x:c r="C52" s="131" t="str">
        <x:v>공통 포털 읽기 도구와 준비된 파일·Git·시간 MCP 연결을 확인한다.</x:v>
      </x:c>
      <x:c r="D52" s="132" t="n">
        <x:v>35</x:v>
      </x:c>
    </x:row>
    <x:row r="53" s="1" customFormat="1" ht="60" customHeight="1">
      <x:c r="A53" s="129" t="str">
        <x:v>실습</x:v>
      </x:c>
      <x:c r="B53" s="130" t="str">
        <x:v>회의 결정·후속 업무 추출 스킬 제작</x:v>
      </x:c>
      <x:c r="C53" s="131" t="str">
        <x:v>회의록 두 건과 점검 메모에서 결정·담당·기한·근거를 추출하는 스킬을 만든다.</x:v>
      </x:c>
      <x:c r="D53" s="132" t="n">
        <x:v>35</x:v>
      </x:c>
    </x:row>
    <x:row r="54" s="1" customFormat="1" ht="60" customHeight="1">
      <x:c r="A54" s="129" t="str">
        <x:v>실습</x:v>
      </x:c>
      <x:c r="B54" s="130" t="str">
        <x:v>파일·Git·시간으로 변경 자료 확인</x:v>
      </x:c>
      <x:c r="C54" s="131" t="str">
        <x:v>파일 내용과 Git 이력·시간을 대조해 변경 내용을 찾는다.</x:v>
      </x:c>
      <x:c r="D54" s="132" t="n">
        <x:v>30</x:v>
      </x:c>
    </x:row>
    <x:row r="55" s="1" customFormat="1" ht="60" customHeight="1">
      <x:c r="A55" s="129" t="str">
        <x:v>실습</x:v>
      </x:c>
      <x:c r="B55" s="130" t="str">
        <x:v>완료·미결·변경 내용을 연결한 다음 협의 안건 생성</x:v>
      </x:c>
      <x:c r="C55" s="131" t="str">
        <x:v>완료·미결·변경 사항을 연결해 다음 협의 안건을 로컬 파일로 생성한다.</x:v>
      </x:c>
      <x:c r="D55" s="132" t="n">
        <x:v>45</x:v>
      </x:c>
    </x:row>
    <x:row r="56" s="1" customFormat="1" ht="60" customHeight="1">
      <x:c r="A56" s="129" t="str">
        <x:v>실습</x:v>
      </x:c>
      <x:c r="B56" s="130" t="str">
        <x:v>원문 대조·다시 실행·개별 수정</x:v>
      </x:c>
      <x:c r="C56" s="131" t="str">
        <x:v>원문과 결과를 비교하고 재실행해 수정·보존한다.</x:v>
      </x:c>
      <x:c r="D56" s="132" t="n">
        <x:v>25</x:v>
      </x:c>
    </x:row>
    <x:row r="57" s="1" customFormat="1" ht="28" customHeight="1">
      <x:c r="A57" s="66" t="str">
        <x:v>회차 수업 합계 (휴식 40분 별도)</x:v>
      </x:c>
      <x:c r="B57"/>
      <x:c r="C57"/>
      <x:c r="D57" s="49" t="n">
        <x:f>SUM(D51:D56)</x:f>
        <x:v>200</x:v>
      </x:c>
    </x:row>
    <x:row r="58" s="1" customFormat="1" ht="58" customHeight="1">
      <x:c r="A58" s="66" t="str">
        <x:v>완료 결과: 기존 회의록 두 건·점검 메모·Git 이력으로 다음 협의 자료를 만든다. 공통 서버를 재사용하며 새 MCP 서버나 외부 계정 연동을 만들지 않는다.</x:v>
      </x:c>
      <x:c r="B58"/>
      <x:c r="C58"/>
      <x:c r="D58" s="49"/>
    </x:row>
    <x:row r="59" ht="12" customHeight="1">
      <x:c r="A59"/>
      <x:c r="B59"/>
      <x:c r="C59"/>
      <x:c r="D59"/>
    </x:row>
    <x:row r="60" s="1" customFormat="1" ht="36" customHeight="1">
      <x:c r="A60" s="43" t="str">
        <x:v>06회차 | 활용 기능의 요구를 명세하고 검증하기</x:v>
      </x:c>
      <x:c r="B60"/>
      <x:c r="C60"/>
      <x:c r="D60" s="44" t="str">
        <x:v>4H</x:v>
      </x:c>
    </x:row>
    <x:row r="61" s="1" customFormat="1" ht="26" customHeight="1">
      <x:c r="A61" s="49" t="str">
        <x:v>구분</x:v>
      </x:c>
      <x:c r="B61" s="49" t="str">
        <x:v>주제</x:v>
      </x:c>
      <x:c r="C61" s="49" t="str">
        <x:v>세부 학습 내용</x:v>
      </x:c>
      <x:c r="D61" s="49" t="str">
        <x:v>시간(분)</x:v>
      </x:c>
    </x:row>
    <x:row r="62" s="1" customFormat="1" ht="65" customHeight="1">
      <x:c r="A62" s="125" t="str">
        <x:v>이론</x:v>
      </x:c>
      <x:c r="B62" s="126" t="str">
        <x:v>필수 입력·질문·승인·명세와 기대 결과</x:v>
      </x:c>
      <x:c r="C62" s="127" t="str">
        <x:v>필수 입력·질문·승인·명세와 기대 결과을(를) 오늘 수행할 과제와 연결해 설명한다. 온라인 대응: 온라인5. 복습 대신 적용에 필요한 설명으로 한정한다.</x:v>
      </x:c>
      <x:c r="D62" s="128" t="n">
        <x:v>40</x:v>
      </x:c>
    </x:row>
    <x:row r="63" s="1" customFormat="1" ht="60" customHeight="1">
      <x:c r="A63" s="129" t="str">
        <x:v>실습</x:v>
      </x:c>
      <x:c r="B63" s="130" t="str">
        <x:v>공통 포털 승인 상태 확인</x:v>
      </x:c>
      <x:c r="C63" s="131" t="str">
        <x:v>공통 포털 승인·보류 상태를 확인한다.</x:v>
      </x:c>
      <x:c r="D63" s="132" t="n">
        <x:v>5</x:v>
      </x:c>
    </x:row>
    <x:row r="64" s="1" customFormat="1" ht="60" customHeight="1">
      <x:c r="A64" s="129" t="str">
        <x:v>실습</x:v>
      </x:c>
      <x:c r="B64" s="130" t="str">
        <x:v>점검 요청 초안의 필수 정보 확인·질문·재개</x:v>
      </x:c>
      <x:c r="C64" s="131" t="str">
        <x:v>4회차 점검 요청 프로젝트에서 필수 입력을 정하고 질문·추가 답변·재판단을 구현한다.</x:v>
      </x:c>
      <x:c r="D64" s="132" t="n">
        <x:v>30</x:v>
      </x:c>
    </x:row>
    <x:row r="65" s="1" customFormat="1" ht="60" customHeight="1">
      <x:c r="A65" s="129" t="str">
        <x:v>실습</x:v>
      </x:c>
      <x:c r="B65" s="130" t="str">
        <x:v>완료 기준과 필요한 변경 한 건을 명세로 작성</x:v>
      </x:c>
      <x:c r="C65" s="131" t="str">
        <x:v>같은 프로젝트의 완료 기준과 필요한 변경 한 건을 spec.md로 작성한다.</x:v>
      </x:c>
      <x:c r="D65" s="132" t="n">
        <x:v>35</x:v>
      </x:c>
    </x:row>
    <x:row r="66" s="1" customFormat="1" ht="60" customHeight="1">
      <x:c r="A66" s="129" t="str">
        <x:v>실습</x:v>
      </x:c>
      <x:c r="B66" s="130" t="str">
        <x:v>기존 기능을 보존하며 변경 구현</x:v>
      </x:c>
      <x:c r="C66" s="131" t="str">
        <x:v>기존 입력·출력·승인 조건을 보존하며 변경을 구현한다.</x:v>
      </x:c>
      <x:c r="D66" s="132" t="n">
        <x:v>40</x:v>
      </x:c>
    </x:row>
    <x:row r="67" s="1" customFormat="1" ht="60" customHeight="1">
      <x:c r="A67" s="129" t="str">
        <x:v>실습</x:v>
      </x:c>
      <x:c r="B67" s="130" t="str">
        <x:v>직접 정한 기대 결과로 정상·누락·회귀 검증</x:v>
      </x:c>
      <x:c r="C67" s="131" t="str">
        <x:v>직접 정한 정상·누락·변경 기대 결과를 실제 출력과 비교하고 회귀 검증한다.</x:v>
      </x:c>
      <x:c r="D67" s="132" t="n">
        <x:v>50</x:v>
      </x:c>
    </x:row>
    <x:row r="68" ht="28" customHeight="1">
      <x:c r="A68" s="66" t="str">
        <x:v>회차 수업 합계 (휴식 40분 별도)</x:v>
      </x:c>
      <x:c r="B68"/>
      <x:c r="C68"/>
      <x:c r="D68" s="49" t="n">
        <x:f>SUM(D62:D67)</x:f>
        <x:v>200</x:v>
      </x:c>
    </x:row>
    <x:row r="69" s="1" customFormat="1" ht="58" customHeight="1">
      <x:c r="A69" s="66" t="str">
        <x:v>완료 결과: 새 분야로 바꾸지 않고 4회차 로컬 프로젝트를 사용한다. 예외 수 늘리기가 아니라 자신의 요구를 검증 가능한 결과로 만드는 데 차이를 둔다.</x:v>
      </x:c>
      <x:c r="B69"/>
      <x:c r="C69"/>
      <x:c r="D69" s="49"/>
    </x:row>
    <x:row r="70" s="1" customFormat="1" ht="12" customHeight="1">
      <x:c r="A70"/>
      <x:c r="B70"/>
      <x:c r="C70"/>
      <x:c r="D70"/>
    </x:row>
    <x:row r="71" s="1" customFormat="1" ht="36" customHeight="1">
      <x:c r="A71" s="43" t="str">
        <x:v>07회차 | 설비 대응 프로세스를 설계하고 연결하기</x:v>
      </x:c>
      <x:c r="B71"/>
      <x:c r="C71"/>
      <x:c r="D71" s="44" t="str">
        <x:v>4H</x:v>
      </x:c>
    </x:row>
    <x:row r="72" s="1" customFormat="1" ht="26" customHeight="1">
      <x:c r="A72" s="49" t="str">
        <x:v>구분</x:v>
      </x:c>
      <x:c r="B72" s="49" t="str">
        <x:v>주제</x:v>
      </x:c>
      <x:c r="C72" s="49" t="str">
        <x:v>세부 학습 내용</x:v>
      </x:c>
      <x:c r="D72" s="49" t="str">
        <x:v>시간(분)</x:v>
      </x:c>
    </x:row>
    <x:row r="73" s="1" customFormat="1" ht="65" customHeight="1">
      <x:c r="A73" s="125" t="str">
        <x:v>이론</x:v>
      </x:c>
      <x:c r="B73" s="126" t="str">
        <x:v>작업·역할·분기·비중단 지연과 실행 매핑</x:v>
      </x:c>
      <x:c r="C73" s="127" t="str">
        <x:v>작업·역할·분기·비중단 지연과 실행 매핑을(를) 오늘 수행할 과제와 연결해 설명한다. 온라인 대응: 통합 온라인9 / 실전 온라인6. 복습 대신 적용에 필요한 설명으로 한정한다.</x:v>
      </x:c>
      <x:c r="D73" s="128" t="n">
        <x:v>25</x:v>
      </x:c>
    </x:row>
    <x:row r="74" s="1" customFormat="1" ht="60" customHeight="1">
      <x:c r="A74" s="129" t="str">
        <x:v>실습</x:v>
      </x:c>
      <x:c r="B74" s="130" t="str">
        <x:v>bpmn.io 기본 승인 흐름 직접 작성</x:v>
      </x:c>
      <x:c r="C74" s="131" t="str">
        <x:v>bpmn.io에서 시작·작업·승인·종료를 배치하고 파일로 저장한다.</x:v>
      </x:c>
      <x:c r="D74" s="132" t="n">
        <x:v>35</x:v>
      </x:c>
    </x:row>
    <x:row r="75" s="1" customFormat="1" ht="60" customHeight="1">
      <x:c r="A75" s="129" t="str">
        <x:v>실습</x:v>
      </x:c>
      <x:c r="B75" s="130" t="str">
        <x:v>설비 대응 흐름 작성</x:v>
      </x:c>
      <x:c r="C75" s="131" t="str">
        <x:v>공통 냉각 대응 시나리오의 역할·작업·흐름을 작성한다.</x:v>
      </x:c>
      <x:c r="D75" s="132" t="n">
        <x:v>45</x:v>
      </x:c>
    </x:row>
    <x:row r="76" s="1" customFormat="1" ht="60" customHeight="1">
      <x:c r="A76" s="129" t="str">
        <x:v>실습</x:v>
      </x:c>
      <x:c r="B76" s="130" t="str">
        <x:v>승인·거절·지연 경로 완성</x:v>
      </x:c>
      <x:c r="C76" s="131" t="str">
        <x:v>승인·거절 분기와 비중단 지연 경로를 완성한다.</x:v>
      </x:c>
      <x:c r="D76" s="132" t="n">
        <x:v>45</x:v>
      </x:c>
    </x:row>
    <x:row r="77" ht="60" customHeight="1">
      <x:c r="A77" s="129" t="str">
        <x:v>실습</x:v>
      </x:c>
      <x:c r="B77" s="130" t="str">
        <x:v>기존 부품으로 매핑·검사·배포</x:v>
      </x:c>
      <x:c r="C77" s="131" t="str">
        <x:v>기존 에이전트·역할·작업 부품에 매핑하고 검사·등록·배포한다. 공용 환경의 배포 순서를 따른다.</x:v>
      </x:c>
      <x:c r="D77" s="132" t="n">
        <x:v>50</x:v>
      </x:c>
    </x:row>
    <x:row r="78" s="1" customFormat="1" ht="28" customHeight="1">
      <x:c r="A78" s="66" t="str">
        <x:v>회차 수업 합계 (휴식 40분 별도)</x:v>
      </x:c>
      <x:c r="B78"/>
      <x:c r="C78"/>
      <x:c r="D78" s="49" t="n">
        <x:f>SUM(D73:D77)</x:f>
        <x:v>200</x:v>
      </x:c>
    </x:row>
    <x:row r="79" s="1" customFormat="1" ht="58" customHeight="1">
      <x:c r="A79" s="66" t="str">
        <x:v>완료 결과: 두 반 공통: 기존 냉각 대응 시나리오의 BPMN·매핑·배포 기록. 임의 작업 부품이나 포털 기능을 추가하지 않는다.</x:v>
      </x:c>
      <x:c r="B79"/>
      <x:c r="C79"/>
      <x:c r="D79" s="49"/>
    </x:row>
    <x:row r="80" s="1" customFormat="1" ht="12" customHeight="1">
      <x:c r="A80"/>
      <x:c r="B80"/>
      <x:c r="C80"/>
      <x:c r="D80"/>
    </x:row>
    <x:row r="81" s="1" customFormat="1" ht="36" customHeight="1">
      <x:c r="A81" s="43" t="str">
        <x:v>08회차 | 프로세스를 실행·검증하고 교대 인수인계 제작 시작하기</x:v>
      </x:c>
      <x:c r="B81"/>
      <x:c r="C81"/>
      <x:c r="D81" s="44" t="str">
        <x:v>4H</x:v>
      </x:c>
    </x:row>
    <x:row r="82" s="1" customFormat="1" ht="26" customHeight="1">
      <x:c r="A82" s="49" t="str">
        <x:v>구분</x:v>
      </x:c>
      <x:c r="B82" s="49" t="str">
        <x:v>주제</x:v>
      </x:c>
      <x:c r="C82" s="49" t="str">
        <x:v>세부 학습 내용</x:v>
      </x:c>
      <x:c r="D82" s="49" t="str">
        <x:v>시간(분)</x:v>
      </x:c>
    </x:row>
    <x:row r="83" s="1" customFormat="1" ht="65" customHeight="1">
      <x:c r="A83" s="125" t="str">
        <x:v>이론</x:v>
      </x:c>
      <x:c r="B83" s="126" t="str">
        <x:v>정의·실행 상태·오류 위치와 복구</x:v>
      </x:c>
      <x:c r="C83" s="127" t="str">
        <x:v>정의·실행 상태·오류 위치와 복구를 오늘 과제와 연결해 설명한다. 온라인 대응: 통합 온라인9·11 / 실전 온라인6·8. 교대 인수인계의 시작 폼·역할·완료 조건을 구분한다.</x:v>
      </x:c>
      <x:c r="D83" s="128" t="n">
        <x:v>15</x:v>
      </x:c>
    </x:row>
    <x:row r="84" s="1" customFormat="1" ht="60" customHeight="1">
      <x:c r="A84" s="129" t="str">
        <x:v>실습</x:v>
      </x:c>
      <x:c r="B84" s="130" t="str">
        <x:v>배포된 공통 흐름 정상 실행</x:v>
      </x:c>
      <x:c r="C84" s="131" t="str">
        <x:v>배포된 공통 흐름을 실행하고 처리 이력을 확인한다.</x:v>
      </x:c>
      <x:c r="D84" s="132" t="n">
        <x:v>20</x:v>
      </x:c>
    </x:row>
    <x:row r="85" s="1" customFormat="1" ht="60" customHeight="1">
      <x:c r="A85" s="129" t="str">
        <x:v>실습</x:v>
      </x:c>
      <x:c r="B85" s="130" t="str">
        <x:v>거절·지연·역할 제한 확인</x:v>
      </x:c>
      <x:c r="C85" s="131" t="str">
        <x:v>승인 거절·지연·역할 제한을 공통 사례로 확인한다.</x:v>
      </x:c>
      <x:c r="D85" s="132" t="n">
        <x:v>25</x:v>
      </x:c>
    </x:row>
    <x:row r="86" s="1" customFormat="1" ht="60" customHeight="1">
      <x:c r="A86" s="129" t="str">
        <x:v>실습</x:v>
      </x:c>
      <x:c r="B86" s="130" t="str">
        <x:v>실제 오류 또는 제공 오류 사례 수정·재배포</x:v>
      </x:c>
      <x:c r="C86" s="131" t="str">
        <x:v>실제 또는 제공된 오류 사례에서 잘못된 설정을 찾아 수정·재배포한다.</x:v>
      </x:c>
      <x:c r="D86" s="132" t="n">
        <x:v>35</x:v>
      </x:c>
    </x:row>
    <x:row r="87" ht="68" customHeight="1">
      <x:c r="A87" s="129" t="str">
        <x:v>실습</x:v>
      </x:c>
      <x:c r="B87" s="130" t="str">
        <x:v>교대 인수인계의 입력·근거·완료 조건 정하기</x:v>
      </x:c>
      <x:c r="C87" s="131"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87" s="132" t="n">
        <x:v>25</x:v>
      </x:c>
    </x:row>
    <x:row r="88" s="1" customFormat="1" ht="60" customHeight="1">
      <x:c r="A88" s="129" t="str">
        <x:v>실습</x:v>
      </x:c>
      <x:c r="B88" s="130" t="str">
        <x:v>보충 매뉴얼 적재와 인수인계 에이전트 구성</x:v>
      </x:c>
      <x:c r="C88" s="131" t="str">
        <x:v>제공 보충 매뉴얼의 추출 결과를 원문 대조하여 기존 제조 지식에 추가한다. 허용된 설비·정비·ERP 조회를 사용해 인계안을 만들고, 기록 불일치와 미확인 사항을 남긴다. 같은 조건의 추출 재사용은 표시한다.</x:v>
      </x:c>
      <x:c r="D88" s="132" t="n">
        <x:v>60</x:v>
      </x:c>
    </x:row>
    <x:row r="89" s="1" customFormat="1" ht="60" customHeight="1">
      <x:c r="A89" s="129" t="str">
        <x:v>실습</x:v>
      </x:c>
      <x:c r="B89" s="130" t="str">
        <x:v>교대 인수인계 BPMN 설계·매핑과 중간 결과 저장</x:v>
      </x:c>
      <x:c r="C89" s="131" t="str">
        <x:v>bpmn.io에서 조회·인계안·인계자 검토·인수자 확인·보완·완료 흐름을 작성한다. 포털의 별도 정의에 시작 폼·에이전트·역할을 연결하고 판본을 저장한다. 실제 실행은 다음 회차로 이어간다.</x:v>
      </x:c>
      <x:c r="D89" s="132" t="n">
        <x:v>20</x:v>
      </x:c>
    </x:row>
    <x:row r="90" s="1" customFormat="1" ht="28" customHeight="1">
      <x:c r="A90" s="66" t="str">
        <x:v>회차 수업 합계 (휴식 40분 별도)</x:v>
      </x:c>
      <x:c r="B90"/>
      <x:c r="C90"/>
      <x:c r="D90" s="49" t="n">
        <x:f>SUM(D83:D89)</x:f>
        <x:v>200</x:v>
      </x:c>
    </x:row>
    <x:row r="91" ht="58" customHeight="1">
      <x:c r="A91" s="66" t="str">
        <x:v>완료 결과: 추가 지식의 검토·적재 기록, 인수인계 에이전트·스킬, 별도 BPMN·매핑·시작 폼. 기존 ABC 정의는 보존한다. 임의 코드 자동 연결이나 임의 외부 도구는 요구하지 않는다.</x:v>
      </x:c>
      <x:c r="B91"/>
      <x:c r="C91"/>
      <x:c r="D91" s="49"/>
    </x:row>
    <x:row r="92" s="1" customFormat="1" ht="12" customHeight="1">
      <x:c r="A92"/>
    </x:row>
    <x:row r="93" ht="36" customHeight="1">
      <x:c r="A93" s="43" t="str">
        <x:v>09회차 | 정비·구매에 적용하고 교대 인수인계 완성하기</x:v>
      </x:c>
      <x:c r="B93"/>
      <x:c r="C93"/>
      <x:c r="D93" s="44" t="str">
        <x:v>4H</x:v>
      </x:c>
    </x:row>
    <x:row r="94" s="1" customFormat="1" ht="26" customHeight="1">
      <x:c r="A94" s="49" t="str">
        <x:v>구분</x:v>
      </x:c>
      <x:c r="B94" s="49" t="str">
        <x:v>주제</x:v>
      </x:c>
      <x:c r="C94" s="49" t="str">
        <x:v>세부 학습 내용</x:v>
      </x:c>
      <x:c r="D94" s="49" t="str">
        <x:v>시간(분)</x:v>
      </x:c>
    </x:row>
    <x:row r="95" ht="65" customHeight="1">
      <x:c r="A95" s="125" t="str">
        <x:v>이론</x:v>
      </x:c>
      <x:c r="B95" s="126" t="str">
        <x:v>냉각 대응과 정비·구매의 시작·완료 조건 차이</x:v>
      </x:c>
      <x:c r="C95" s="127" t="str">
        <x:v>냉각 대응과 정비·구매의 시작·완료 조건 차이을(를) 오늘 수행할 과제와 연결해 설명한다. 온라인 대응: 통합 온라인10 + 11 / 실전 온라인7 + 8. 복습 대신 적용에 필요한 설명으로 한정한다.</x:v>
      </x:c>
      <x:c r="D95" s="128" t="n">
        <x:v>10</x:v>
      </x:c>
    </x:row>
    <x:row r="96" s="1" customFormat="1" ht="60" customHeight="1">
      <x:c r="A96" s="129" t="str">
        <x:v>실습</x:v>
      </x:c>
      <x:c r="B96" s="130" t="str">
        <x:v>기존 승인 구조를 정비 흐름으로 작성</x:v>
      </x:c>
      <x:c r="C96" s="131" t="str">
        <x:v>기존 승인 패턴으로 정비 도래·계획·승인·오더·공지 흐름을 작성한다.</x:v>
      </x:c>
      <x:c r="D96" s="132" t="n">
        <x:v>35</x:v>
      </x:c>
    </x:row>
    <x:row r="97" ht="60" customHeight="1">
      <x:c r="A97" s="129" t="str">
        <x:v>실습</x:v>
      </x:c>
      <x:c r="B97" s="130" t="str">
        <x:v>정비 흐름 연결·실행</x:v>
      </x:c>
      <x:c r="C97" s="131" t="str">
        <x:v>정비 흐름을 연결·실행하고 정상·반려 결과를 확인한다.</x:v>
      </x:c>
      <x:c r="D97" s="132" t="n">
        <x:v>35</x:v>
      </x:c>
    </x:row>
    <x:row r="98" ht="60" customHeight="1">
      <x:c r="A98" s="129" t="str">
        <x:v>실습</x:v>
      </x:c>
      <x:c r="B98" s="130" t="str">
        <x:v>구매 흐름 작성</x:v>
      </x:c>
      <x:c r="C98" s="131" t="str">
        <x:v>재고 부족·구매 제안·승인·발주·입고 흐름을 작성한다.</x:v>
      </x:c>
      <x:c r="D98" s="132" t="n">
        <x:v>35</x:v>
      </x:c>
    </x:row>
    <x:row r="99" ht="60" customHeight="1">
      <x:c r="A99" s="129" t="str">
        <x:v>실습</x:v>
      </x:c>
      <x:c r="B99" s="130" t="str">
        <x:v>구매 흐름 연결·실행</x:v>
      </x:c>
      <x:c r="C99" s="131" t="str">
        <x:v>수업용 구매 흐름을 연결·실행하고 정상·반려·재고 결과를 확인한다.</x:v>
      </x:c>
      <x:c r="D99" s="132" t="n">
        <x:v>35</x:v>
      </x:c>
    </x:row>
    <x:row r="100" ht="60" customHeight="1">
      <x:c r="A100" s="129" t="str">
        <x:v>실습</x:v>
      </x:c>
      <x:c r="B100" s="130" t="str">
        <x:v>교대 인수인계 흐름 실행·보완·완료 기록 확인</x:v>
      </x:c>
      <x:c r="C100" s="131" t="str">
        <x:v>앞 회차의 인수인계 흐름을 설비·교대 입력으로 시작한다. 정상·기록 불일치·정보 누락 사례에서 인계자 검토와 인수자 확인 또는 보완 요청을 수행하고, 근거·판본·완료 기록을 저장한다.</x:v>
      </x:c>
      <x:c r="D100" s="132" t="n">
        <x:v>30</x:v>
      </x:c>
    </x:row>
    <x:row r="101" ht="68" customHeight="1">
      <x:c r="A101" s="129" t="str">
        <x:v>실습</x:v>
      </x:c>
      <x:c r="B101" s="130" t="str">
        <x:v>ProcessGPT 강사 시연: 만든 지식·에이전트·흐름을 제품 기능과 연결해 보기</x:v>
      </x:c>
      <x:c r="C101" s="131" t="str">
        <x:v>준비된 ProcessGPT 화면에서 지식·에이전트·프로세스가 연결되는 모습을 강사가 시연한다. 학생 계정 설정과 별도 제품 실습은 포함하지 않는다.</x:v>
      </x:c>
      <x:c r="D101" s="132" t="n">
        <x:v>20</x:v>
      </x:c>
    </x:row>
    <x:row r="102" ht="28" customHeight="1">
      <x:c r="A102" s="66" t="str">
        <x:v>회차 수업 합계 (휴식 40분 별도)</x:v>
      </x:c>
      <x:c r="B102"/>
      <x:c r="C102"/>
      <x:c r="D102" s="49" t="n">
        <x:f>SUM(D95:D101)</x:f>
        <x:v>200</x:v>
      </x:c>
    </x:row>
    <x:row r="103" ht="58" customHeight="1">
      <x:c r="A103" s="66" t="str">
        <x:v>완료 결과: 정비·구매는 기존 공통 시나리오로 수행하고 교대 인수인계는 별도 정의로 실행한다. 실제 설비 제어·발주를 인계 확인과 혼동하지 않는다. ProcessGPT는 강사가 20분 시연한다. 준비·실행 시간과 완주는 별도 실측한다.</x:v>
      </x:c>
      <x:c r="B103"/>
      <x:c r="C103"/>
      <x:c r="D103" s="49"/>
    </x:row>
    <x:row r="104" ht="12" customHeight="1">
      <x:c r="A104"/>
      <x:c r="B104"/>
      <x:c r="C104"/>
      <x:c r="D104"/>
    </x:row>
    <x:row r="105" ht="28" customHeight="1">
      <x:c r="A105" s="66" t="str">
        <x:v>전체 수업 시간(분)</x:v>
      </x:c>
      <x:c r="B105"/>
      <x:c r="C105"/>
      <x:c r="D105" s="49" t="n">
        <x:f>D2</x:f>
        <x:v>1800</x:v>
      </x:c>
    </x:row>
    <x:row r="106" ht="28" customHeight="1">
      <x:c r="A106" s="66" t="str">
        <x:v>전체 휴식 시간(40분×9회)</x:v>
      </x:c>
      <x:c r="B106"/>
      <x:c r="C106"/>
      <x:c r="D106" s="49" t="n">
        <x:f>40*9</x:f>
        <x:v>360</x:v>
      </x:c>
    </x:row>
    <x:row r="107" ht="28" customHeight="1">
      <x:c r="A107" s="66" t="str">
        <x:v>전체 편성 시간(분)</x:v>
      </x:c>
      <x:c r="B107"/>
      <x:c r="C107"/>
      <x:c r="D107" s="49" t="n">
        <x:f>SUM(D105:D106)</x:f>
        <x:v>2160</x:v>
      </x:c>
    </x:row>
    <x:row r="108" ht="48" customHeight="1">
      <x:c r="A108" s="66" t="str">
        <x:v>운영: 시간은 학생 수행의 초기 편성값이며 실측이 아니다. 온라인 배포일보다 먼저 필요한 단원은 사전 열람 자료를 제공한다. 강사는 막힌 부분을 지원한다.</x:v>
      </x:c>
      <x:c r="B108"/>
      <x:c r="C108"/>
      <x:c r="D108" s="49"/>
    </x:row>
    <x:row r="109">
      <x:c r="A109"/>
      <x:c r="B109"/>
      <x:c r="C109"/>
      <x:c r="D109"/>
    </x:row>
    <x:row r="110">
      <x:c r="A110"/>
      <x:c r="B110"/>
      <x:c r="C110"/>
      <x:c r="D110"/>
    </x:row>
    <x:row r="111">
      <x:c r="A111"/>
      <x:c r="B111"/>
      <x:c r="C111"/>
      <x:c r="D111"/>
    </x:row>
    <x:row r="112">
      <x:c r="A112"/>
      <x:c r="B112"/>
      <x:c r="C112"/>
      <x:c r="D112"/>
    </x:row>
    <x:row r="113">
      <x:c r="A113"/>
      <x:c r="B113"/>
      <x:c r="C113"/>
      <x:c r="D113"/>
    </x:row>
    <x:row r="114">
      <x:c r="A114"/>
      <x:c r="B114"/>
      <x:c r="C114"/>
      <x:c r="D114"/>
    </x:row>
    <x:row r="115">
      <x:c r="A115"/>
      <x:c r="B115"/>
      <x:c r="C115"/>
      <x:c r="D115"/>
    </x:row>
    <x:row r="116">
      <x:c r="A116"/>
      <x:c r="B116"/>
      <x:c r="C116"/>
      <x:c r="D116"/>
    </x:row>
    <x:row r="117">
      <x:c r="A117"/>
      <x:c r="B117"/>
      <x:c r="C117"/>
      <x:c r="D117"/>
    </x:row>
    <x:row r="118">
      <x:c r="A118"/>
      <x:c r="B118"/>
      <x:c r="C118"/>
      <x:c r="D118"/>
    </x:row>
    <x:row r="119">
      <x:c r="A119"/>
      <x:c r="B119"/>
      <x:c r="C119"/>
      <x:c r="D119"/>
    </x:row>
    <x:row r="120">
      <x:c r="A120"/>
      <x:c r="B120"/>
      <x:c r="C120"/>
      <x:c r="D120"/>
    </x:row>
    <x:row r="121">
      <x:c r="A121"/>
      <x:c r="B121"/>
      <x:c r="C121"/>
      <x:c r="D121"/>
    </x:row>
    <x:row r="122">
      <x:c r="A122"/>
      <x:c r="B122"/>
      <x:c r="C122"/>
      <x:c r="D122"/>
    </x:row>
    <x:row r="123">
      <x:c r="A123"/>
      <x:c r="B123"/>
      <x:c r="C123"/>
      <x:c r="D123"/>
    </x:row>
    <x:row r="124">
      <x:c r="A124"/>
      <x:c r="B124"/>
      <x:c r="C124"/>
      <x:c r="D124"/>
    </x:row>
    <x:row r="125">
      <x:c r="A125"/>
      <x:c r="B125"/>
      <x:c r="C125"/>
      <x:c r="D125"/>
    </x:row>
    <x:row r="126">
      <x:c r="A126"/>
      <x:c r="B126"/>
      <x:c r="C126"/>
      <x:c r="D126"/>
    </x:row>
    <x:row r="127">
      <x:c r="A127"/>
      <x:c r="B127"/>
      <x:c r="C127"/>
      <x:c r="D127"/>
    </x:row>
    <x:row r="128">
      <x:c r="A128"/>
      <x:c r="B128"/>
      <x:c r="C128"/>
      <x:c r="D128"/>
    </x:row>
    <x:row r="129">
      <x:c r="A129"/>
      <x:c r="B129"/>
      <x:c r="C129"/>
      <x:c r="D129"/>
    </x:row>
    <x:row r="130">
      <x:c r="A130"/>
      <x:c r="B130"/>
      <x:c r="C130"/>
      <x:c r="D130"/>
    </x:row>
    <x:row r="131">
      <x:c r="A131"/>
      <x:c r="B131"/>
      <x:c r="C131"/>
      <x:c r="D131"/>
    </x:row>
    <x:row r="132">
      <x:c r="A132"/>
      <x:c r="B132"/>
      <x:c r="C132"/>
      <x:c r="D132"/>
    </x:row>
    <x:row r="133">
      <x:c r="A133"/>
      <x:c r="B133"/>
      <x:c r="C133"/>
      <x:c r="D133"/>
    </x:row>
    <x:row r="134">
      <x:c r="A134"/>
      <x:c r="B134"/>
      <x:c r="C134"/>
      <x:c r="D134"/>
    </x:row>
    <x:row r="135">
      <x:c r="A135"/>
      <x:c r="B135"/>
      <x:c r="C135"/>
      <x:c r="D135"/>
    </x:row>
    <x:row r="136">
      <x:c r="A136"/>
      <x:c r="B136"/>
      <x:c r="C136"/>
      <x:c r="D136"/>
    </x:row>
    <x:row r="137">
      <x:c r="A137"/>
      <x:c r="B137"/>
      <x:c r="C137"/>
      <x:c r="D137"/>
    </x:row>
    <x:row r="138">
      <x:c r="A138"/>
      <x:c r="B138"/>
      <x:c r="C138"/>
      <x:c r="D138"/>
    </x:row>
    <x:row r="139">
      <x:c r="A139"/>
      <x:c r="B139"/>
      <x:c r="C139"/>
      <x:c r="D139"/>
    </x:row>
    <x:row r="140">
      <x:c r="A140"/>
      <x:c r="B140"/>
      <x:c r="C140"/>
      <x:c r="D140"/>
    </x:row>
    <x:row r="141">
      <x:c r="A141"/>
      <x:c r="B141"/>
      <x:c r="C141"/>
      <x:c r="D141"/>
    </x:row>
    <x:row r="142">
      <x:c r="A142"/>
      <x:c r="B142"/>
      <x:c r="C142"/>
      <x:c r="D142"/>
    </x:row>
    <x:row r="143">
      <x:c r="A143"/>
      <x:c r="B143"/>
      <x:c r="C143"/>
      <x:c r="D143"/>
    </x:row>
    <x:row r="144">
      <x:c r="A144"/>
      <x:c r="B144"/>
      <x:c r="C144"/>
      <x:c r="D144"/>
    </x:row>
    <x:row r="145">
      <x:c r="A145"/>
      <x:c r="B145"/>
      <x:c r="C145"/>
      <x:c r="D145"/>
    </x:row>
    <x:row r="146">
      <x:c r="A146"/>
      <x:c r="B146"/>
      <x:c r="C146"/>
      <x:c r="D146"/>
    </x:row>
    <x:row r="147">
      <x:c r="A147"/>
      <x:c r="B147"/>
      <x:c r="C147"/>
      <x:c r="D147"/>
    </x:row>
    <x:row r="148">
      <x:c r="A148"/>
      <x:c r="B148"/>
      <x:c r="C148"/>
      <x:c r="D148"/>
    </x:row>
    <x:row r="149">
      <x:c r="A149"/>
      <x:c r="B149"/>
      <x:c r="C149"/>
      <x:c r="D149"/>
    </x:row>
    <x:row r="150">
      <x:c r="A150"/>
      <x:c r="B150"/>
      <x:c r="C150"/>
      <x:c r="D150"/>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C1"/>
    <x:mergeCell ref="A2:C2"/>
    <x:mergeCell ref="A4:C4"/>
    <x:mergeCell ref="A13:C13"/>
    <x:mergeCell ref="A14:D14"/>
    <x:mergeCell ref="A16:C16"/>
    <x:mergeCell ref="A24:C24"/>
    <x:mergeCell ref="A25:D25"/>
    <x:mergeCell ref="A27:C27"/>
    <x:mergeCell ref="A35:C35"/>
    <x:mergeCell ref="A36:D36"/>
    <x:mergeCell ref="A38:C38"/>
    <x:mergeCell ref="A46:C46"/>
    <x:mergeCell ref="A47:D47"/>
    <x:mergeCell ref="A49:C49"/>
    <x:mergeCell ref="A57:C57"/>
    <x:mergeCell ref="A58:D58"/>
    <x:mergeCell ref="A60:C60"/>
    <x:mergeCell ref="A68:C68"/>
    <x:mergeCell ref="A69:D69"/>
    <x:mergeCell ref="A71:C71"/>
    <x:mergeCell ref="A78:C78"/>
    <x:mergeCell ref="A79:D79"/>
    <x:mergeCell ref="A81:C81"/>
    <x:mergeCell ref="A90:C90"/>
    <x:mergeCell ref="A91:D91"/>
    <x:mergeCell ref="A93:C93"/>
    <x:mergeCell ref="A102:C102"/>
    <x:mergeCell ref="A103:D103"/>
    <x:mergeCell ref="A105:C105"/>
    <x:mergeCell ref="A106:C106"/>
    <x:mergeCell ref="A107:C107"/>
    <x:mergeCell ref="A108:D108"/>
  </x:mergeCells>
  <x:pageMargins left="0.7" right="0.7" top="0.75" bottom="0.75" header="0.3" footer="0.3"/>
</x:worksheet>
</file>