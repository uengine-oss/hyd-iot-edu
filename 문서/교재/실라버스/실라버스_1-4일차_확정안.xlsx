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6b7b8a8f834897" /></Relationships>
</file>

<file path=xl/workbook.xml><?xml version="1.0" encoding="utf-8"?>
<x:workbook xmlns:x="http://schemas.openxmlformats.org/spreadsheetml/2006/main">
  <x:sheets>
    <x:sheet xmlns:r="http://schemas.openxmlformats.org/officeDocument/2006/relationships" name="통합반 온라인 1-4일차" sheetId="1" r:id="Rbb20b78cd5f142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quot;분&quot;"/>
  </x:numFmts>
  <x:fonts count="10">
    <x:font>
      <x:sz val="11"/>
      <x:name val="Carlito"/>
    </x:font>
    <x:font>
      <x:b/>
      <x:sz val="15"/>
      <x:color rgb="FFFFFFFF"/>
      <x:name val="맑은 고딕"/>
    </x:font>
    <x:font>
      <x:sz val="10"/>
      <x:color rgb="FF587082"/>
      <x:name val="맑은 고딕"/>
    </x:font>
    <x:font>
      <x:b/>
      <x:sz val="11"/>
      <x:color rgb="FF19364B"/>
      <x:name val="맑은 고딕"/>
    </x:font>
    <x:font>
      <x:b/>
      <x:sz val="12"/>
      <x:color rgb="FF203E55"/>
      <x:name val="맑은 고딕"/>
    </x:font>
    <x:font>
      <x:b/>
      <x:sz val="10"/>
      <x:color rgb="FFFFFFFF"/>
      <x:name val="맑은 고딕"/>
    </x:font>
    <x:font>
      <x:sz val="10.5"/>
      <x:color rgb="FF213444"/>
      <x:name val="맑은 고딕"/>
    </x:font>
    <x:font>
      <x:b/>
      <x:sz val="10.5"/>
      <x:color rgb="FF203E55"/>
      <x:name val="맑은 고딕"/>
    </x:font>
    <x:font>
      <x:b/>
      <x:sz val="10"/>
      <x:color rgb="FF24557A"/>
      <x:name val="맑은 고딕"/>
    </x:font>
    <x:font>
      <x:b/>
      <x:sz val="10"/>
      <x:color rgb="FF256345"/>
      <x:name val="맑은 고딕"/>
    </x:font>
  </x:fonts>
  <x:fills count="11">
    <x:fill>
      <x:patternFill patternType="none"/>
    </x:fill>
    <x:fill>
      <x:patternFill patternType="gray125"/>
    </x:fill>
    <x:fill>
      <x:patternFill patternType="solid">
        <x:fgColor rgb="FF19364B"/>
      </x:patternFill>
    </x:fill>
    <x:fill>
      <x:patternFill patternType="solid">
        <x:fgColor rgb="FFF4F8FB"/>
      </x:patternFill>
    </x:fill>
    <x:fill>
      <x:patternFill patternType="solid">
        <x:fgColor rgb="FFDFEAF3"/>
      </x:patternFill>
    </x:fill>
    <x:fill>
      <x:patternFill patternType="solid">
        <x:fgColor rgb="FF244B67"/>
      </x:patternFill>
    </x:fill>
    <x:fill>
      <x:patternFill patternType="solid">
        <x:fgColor rgb="FFFFFFFF"/>
      </x:patternFill>
    </x:fill>
    <x:fill>
      <x:patternFill patternType="solid">
        <x:fgColor rgb="FFE8F0F8"/>
      </x:patternFill>
    </x:fill>
    <x:fill>
      <x:patternFill patternType="solid">
        <x:fgColor rgb="FFF8FAFC"/>
      </x:patternFill>
    </x:fill>
    <x:fill>
      <x:patternFill patternType="solid">
        <x:fgColor rgb="FFE6F2EA"/>
      </x:patternFill>
    </x:fill>
    <x:fill>
      <x:patternFill patternType="solid">
        <x:fgColor rgb="FFE6EFF7"/>
      </x:patternFill>
    </x:fill>
  </x:fills>
  <x:borders count="2">
    <x:border/>
    <x:border/>
  </x:borders>
  <x:cellStyleXfs count="1">
    <x:xf numFmtId="0" fontId="0" fillId="0" borderId="0"/>
  </x:cellStyleXfs>
  <x:cellXfs count="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1" xfId="0" applyNumberFormat="1" applyFont="1" applyFill="1" applyBorder="1" applyAlignment="1">
      <x:alignment vertical="center"/>
    </x:xf>
    <x:xf numFmtId="0" fontId="3" fillId="3" borderId="0" xfId="0" applyNumberFormat="1" applyFont="1" applyFill="1" applyBorder="1" applyAlignment="1">
      <x:alignment horizontal="center" vertical="center"/>
    </x:xf>
    <x:xf numFmtId="0" fontId="3" fillId="3" borderId="1" xfId="0" applyNumberFormat="1" applyFont="1" applyFill="1" applyBorder="1" applyAlignment="1">
      <x:alignment horizontal="center" vertical="center"/>
    </x:xf>
    <x:xf numFmtId="200" fontId="3" fillId="3" borderId="0" xfId="0" applyNumberFormat="1" applyFont="1" applyFill="1" applyBorder="1" applyAlignment="1">
      <x:alignment horizontal="center" vertical="center"/>
    </x:xf>
    <x:xf numFmtId="200" fontId="3" fillId="3" borderId="1"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vertical="center"/>
    </x:xf>
    <x:xf numFmtId="0" fontId="4" fillId="4" borderId="0" xfId="0" applyNumberFormat="1" applyFont="1" applyFill="1" applyBorder="1" applyAlignment="1">
      <x:alignment horizontal="center" vertical="center"/>
    </x:xf>
    <x:xf numFmtId="0" fontId="4" fillId="4" borderId="1"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0" fontId="6" fillId="0" borderId="1" xfId="0" applyNumberFormat="1" applyFont="1" applyFill="1" applyBorder="1" applyAlignment="1">
      <x:alignment vertical="center" wrapText="1"/>
    </x:xf>
    <x:xf numFmtId="200" fontId="6" fillId="0" borderId="0" xfId="0" applyNumberFormat="1" applyFont="1" applyFill="1" applyBorder="1" applyAlignment="1">
      <x:alignment horizontal="center" vertical="center" wrapText="1"/>
    </x:xf>
    <x:xf numFmtId="200" fontId="6" fillId="0" borderId="1" xfId="0" applyNumberFormat="1" applyFont="1" applyFill="1" applyBorder="1" applyAlignment="1">
      <x:alignment horizontal="center" vertical="center" wrapText="1"/>
    </x:xf>
    <x:xf numFmtId="200" fontId="7" fillId="0" borderId="0" xfId="0" applyNumberFormat="1" applyFont="1" applyFill="1" applyBorder="1" applyAlignment="1">
      <x:alignment horizontal="center" vertical="center" wrapText="1"/>
    </x:xf>
    <x:xf numFmtId="200" fontId="7" fillId="0" borderId="1"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0" fontId="7" fillId="0" borderId="1"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200" fontId="7" fillId="6" borderId="0" xfId="0" applyNumberFormat="1" applyFont="1" applyFill="1" applyBorder="1" applyAlignment="1">
      <x:alignment horizontal="center" vertical="center" wrapText="1"/>
    </x:xf>
    <x:xf numFmtId="0" fontId="7"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200" fontId="7" fillId="6" borderId="1" xfId="0" applyNumberFormat="1" applyFont="1" applyFill="1" applyBorder="1" applyAlignment="1">
      <x:alignment horizontal="center" vertical="center" wrapText="1"/>
    </x:xf>
    <x:xf numFmtId="0" fontId="6" fillId="7" borderId="0" xfId="0" applyNumberFormat="1" applyFont="1" applyFill="1" applyBorder="1" applyAlignment="1">
      <x:alignment vertical="center" wrapText="1"/>
    </x:xf>
    <x:xf numFmtId="0" fontId="8" fillId="7" borderId="0" xfId="0" applyNumberFormat="1" applyFont="1" applyFill="1" applyBorder="1" applyAlignment="1">
      <x:alignment vertical="center" wrapText="1"/>
    </x:xf>
    <x:xf numFmtId="0" fontId="8" fillId="7" borderId="0" xfId="0" applyNumberFormat="1" applyFont="1" applyFill="1" applyBorder="1" applyAlignment="1">
      <x:alignment horizontal="center" vertical="center" wrapText="1"/>
    </x:xf>
    <x:xf numFmtId="0" fontId="6" fillId="7" borderId="1" xfId="0" applyNumberFormat="1" applyFont="1" applyFill="1" applyBorder="1" applyAlignment="1">
      <x:alignment vertical="center" wrapText="1"/>
    </x:xf>
    <x:xf numFmtId="0" fontId="8" fillId="7" borderId="1" xfId="0" applyNumberFormat="1" applyFont="1" applyFill="1" applyBorder="1" applyAlignment="1">
      <x:alignment vertical="center" wrapText="1"/>
    </x:xf>
    <x:xf numFmtId="0" fontId="8" fillId="7" borderId="1" xfId="0" applyNumberFormat="1" applyFont="1" applyFill="1" applyBorder="1" applyAlignment="1">
      <x:alignment horizontal="center" vertical="center" wrapText="1"/>
    </x:xf>
    <x:xf numFmtId="0" fontId="7" fillId="8" borderId="0" xfId="0" applyNumberFormat="1" applyFont="1" applyFill="1" applyBorder="1" applyAlignment="1">
      <x:alignment vertical="center" wrapText="1"/>
    </x:xf>
    <x:xf numFmtId="0" fontId="6" fillId="8" borderId="0" xfId="0" applyNumberFormat="1" applyFont="1" applyFill="1" applyBorder="1" applyAlignment="1">
      <x:alignment vertical="center" wrapText="1"/>
    </x:xf>
    <x:xf numFmtId="200" fontId="7" fillId="8" borderId="0" xfId="0" applyNumberFormat="1" applyFont="1" applyFill="1" applyBorder="1" applyAlignment="1">
      <x:alignment horizontal="center" vertical="center" wrapText="1"/>
    </x:xf>
    <x:xf numFmtId="0" fontId="7" fillId="8" borderId="1" xfId="0" applyNumberFormat="1" applyFont="1" applyFill="1" applyBorder="1" applyAlignment="1">
      <x:alignment vertical="center" wrapText="1"/>
    </x:xf>
    <x:xf numFmtId="0" fontId="6" fillId="8" borderId="1" xfId="0" applyNumberFormat="1" applyFont="1" applyFill="1" applyBorder="1" applyAlignment="1">
      <x:alignment vertical="center" wrapText="1"/>
    </x:xf>
    <x:xf numFmtId="200" fontId="7" fillId="8" borderId="1" xfId="0" applyNumberFormat="1" applyFont="1" applyFill="1" applyBorder="1" applyAlignment="1">
      <x:alignment horizontal="center" vertical="center" wrapText="1"/>
    </x:xf>
    <x:xf numFmtId="0" fontId="6" fillId="9" borderId="0" xfId="0" applyNumberFormat="1" applyFont="1" applyFill="1" applyBorder="1" applyAlignment="1">
      <x:alignment vertical="center" wrapText="1"/>
    </x:xf>
    <x:xf numFmtId="0" fontId="9" fillId="9" borderId="0" xfId="0" applyNumberFormat="1" applyFont="1" applyFill="1" applyBorder="1" applyAlignment="1">
      <x:alignment vertical="center" wrapText="1"/>
    </x:xf>
    <x:xf numFmtId="0" fontId="9" fillId="9" borderId="0" xfId="0" applyNumberFormat="1" applyFont="1" applyFill="1" applyBorder="1" applyAlignment="1">
      <x:alignment horizontal="center" vertical="center" wrapText="1"/>
    </x:xf>
    <x:xf numFmtId="0" fontId="6" fillId="9" borderId="1" xfId="0" applyNumberFormat="1" applyFont="1" applyFill="1" applyBorder="1" applyAlignment="1">
      <x:alignment vertical="center" wrapText="1"/>
    </x:xf>
    <x:xf numFmtId="0" fontId="9" fillId="9" borderId="1" xfId="0" applyNumberFormat="1" applyFont="1" applyFill="1" applyBorder="1" applyAlignment="1">
      <x:alignment vertical="center" wrapText="1"/>
    </x:xf>
    <x:xf numFmtId="0" fontId="9" fillId="9" borderId="1" xfId="0" applyNumberFormat="1" applyFont="1" applyFill="1" applyBorder="1" applyAlignment="1">
      <x:alignment horizontal="center" vertic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vertical="center"/>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vertical="center"/>
    </x:xf>
    <x:xf numFmtId="0" fontId="7" fillId="10" borderId="0" xfId="0" applyNumberFormat="1" applyFont="1" applyFill="1" applyBorder="1" applyAlignment="1">
      <x:alignment horizontal="center" vertical="center"/>
    </x:xf>
    <x:xf numFmtId="0" fontId="7" fillId="10" borderId="1" xfId="0" applyNumberFormat="1" applyFont="1" applyFill="1" applyBorder="1" applyAlignment="1">
      <x:alignment horizontal="center" vertical="center"/>
    </x:xf>
    <x:xf numFmtId="200" fontId="7" fillId="10" borderId="0" xfId="0" applyNumberFormat="1" applyFont="1" applyFill="1" applyBorder="1" applyAlignment="1">
      <x:alignment horizontal="center" vertical="center"/>
    </x:xf>
    <x:xf numFmtId="200" fontId="7" fillId="10"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135145cd5e4376" /><Relationship Type="http://schemas.openxmlformats.org/officeDocument/2006/relationships/theme" Target="/xl/theme/theme1.xml" Id="Rb89cc51a7eb24c08" /><Relationship Type="http://schemas.openxmlformats.org/officeDocument/2006/relationships/sharedStrings" Target="/xl/sharedStrings.xml" Id="Ra4d7886c08904e87" /><Relationship Type="http://schemas.openxmlformats.org/officeDocument/2006/relationships/worksheet" Target="/xl/worksheets/sheet1.xml" Id="Rbb20b78cd5f142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1.5" hidden="0" customWidth="1"/>
    <x:col min="2" max="2" width="45" hidden="0" customWidth="1"/>
    <x:col min="3" max="3" width="113" hidden="0" customWidth="1"/>
    <x:col min="4" max="4" width="13" hidden="0" customWidth="1"/>
  </x:cols>
  <x:sheetData>
    <x:row r="1" ht="39" customHeight="1">
      <x:c r="A1" s="5" t="str">
        <x:v>HYD 교육과정  |  통합반 온라인 1~4일차 상세 실라버스</x:v>
      </x:c>
      <x:c r="B1" s="5"/>
      <x:c r="C1" s="5"/>
      <x:c r="D1" s="5"/>
    </x:row>
    <x:row r="2" ht="24" customHeight="1">
      <x:c r="A2" s="12" t="str">
        <x:v>1~4일차만 수록 · 이론/실습 구성과 분 단위 시간 유지 · 상세 교육 내용을 생략 없이 수록</x:v>
      </x:c>
      <x:c r="B2" s="12"/>
      <x:c r="C2" s="12"/>
      <x:c r="D2" s="20" t="n">
        <x:f>SUM(D13,D24,D34,D43)</x:f>
        <x:v>960</x:v>
      </x:c>
    </x:row>
    <x:row r="3" ht="10.5" customHeight="1"/>
    <x:row r="4" ht="31.5" customHeight="1">
      <x:c r="A4" s="24" t="str">
        <x:v>01일차  |  설비 데이터가 판단과 조치로 이어지는 전체 흐름 이해하기</x:v>
      </x:c>
      <x:c r="B4" s="24"/>
      <x:c r="C4" s="24"/>
      <x:c r="D4" s="28" t="str">
        <x:v>4H</x:v>
      </x:c>
    </x:row>
    <x:row r="5" ht="22.5" customHeight="1">
      <x:c r="A5" s="33" t="str">
        <x:v>구분</x:v>
      </x:c>
      <x:c r="B5" s="33" t="str">
        <x:v>제목</x:v>
      </x:c>
      <x:c r="C5" s="33" t="str">
        <x:v>상세 교육 내용</x:v>
      </x:c>
      <x:c r="D5" s="33" t="str">
        <x:v>시간</x:v>
      </x:c>
    </x:row>
    <x:row r="6" ht="73.5" customHeight="1">
      <x:c r="A6" s="60" t="str">
        <x:v>이론</x:v>
      </x:c>
      <x:c r="B6" s="52" t="str">
        <x:v>학습 내용을 지식 자산으로 전환하는 방법 이해하기</x:v>
      </x:c>
      <x:c r="C6" s="53" t="str">
        <x:v>단순히 내용을 기록하는 것과 나중에 다시 찾아 활용할 수 있는 지식 자산으로 축적하는 것의 차이를 이해한다. 학습한 개념, 핵심 원리, 참고 자료와 출처, 실습 과정 및 결과를 체계적으로 연결해 기록하는 이유를 배운다. Notion을 활용해 수업이 끝난 뒤에도 지식을 검색·보완·재사용할 수 있는 개인 학습 체계를 마련하는 목적을 설명한다.</x:v>
      </x:c>
      <x:c r="D6" s="54" t="n">
        <x:v>10</x:v>
      </x:c>
    </x:row>
    <x:row r="7" ht="81" customHeight="1">
      <x:c r="A7" s="72" t="str">
        <x:v>실습</x:v>
      </x:c>
      <x:c r="B7" s="64" t="str">
        <x:v>Notion으로 지식 자산화를 위한 학습노트 만들기</x:v>
      </x:c>
      <x:c r="C7" s="65" t="str">
        <x:v>Notion의 페이지 생성·하위 페이지·블록 편집·링크·목차 등 기본 사용법을 익힌다. 과정별 학습 내용을 정리할 수 있도록 개념 정리, 참고 자료, 실습 기록, 결과 및 배운 점을 담는 개인 학습노트를 직접 구성한다. 샘플 개념과 참고 자료를 기록해 정보가 어떻게 정리되고 서로 연결되는지 확인하고, 이후 강의에서도 활용할 수 있는 기본 학습 공간을 완성한다.</x:v>
      </x:c>
      <x:c r="D7" s="66" t="n">
        <x:v>50</x:v>
      </x:c>
    </x:row>
    <x:row r="8" ht="96.75" customHeight="1">
      <x:c r="A8" s="60" t="str">
        <x:v>이론</x:v>
      </x:c>
      <x:c r="B8" s="52" t="str">
        <x:v>설비 데이터가 판단으로 이어지는 시스템 구조와 데이터 흐름 이해하기</x:v>
      </x:c>
      <x:c r="C8" s="53" t="str">
        <x:v>선행 SCADA 교육에서 다룬 설비·센서·PLC·관제 화면의 역할을 간단히 복습한다. HYD 시스템의 전체 아키텍처와 L1~L9 레이어, OT·DMZ·IT 영역의 구분과 역할을 학습한다. 센서 데이터가 MQTT·메시지 처리·시계열 DB·분석 서비스를 거쳐 화면과 판단 기능에 활용되는 경로를 설명한다. 데이터 리니지의 개념을 배우고, 원천 데이터·가공 데이터·이상 이벤트·판단 결과가 어떤 구성요소를 거쳐 생성되는지 살펴본다. 분석 결과가 실제 조치로 이어질 때 명령 게이트웨이와 설비 제어 영역이 필요한 이유도 이해한다.</x:v>
      </x:c>
      <x:c r="D8" s="54" t="n">
        <x:v>50</x:v>
      </x:c>
    </x:row>
    <x:row r="9" ht="81" customHeight="1">
      <x:c r="A9" s="72" t="str">
        <x:v>실습</x:v>
      </x:c>
      <x:c r="B9" s="64" t="str">
        <x:v>시스템 실행 환경을 구성하고 주요 서비스 동작 확인하기</x:v>
      </x:c>
      <x:c r="C9" s="65" t="str">
        <x:v>VS Code·Claude Code·Python·Docker Desktop·Docker Compose 등 교육에서 사용할 주요 도구의 역할과 필요한 버전·설정·접속 조건을 안내한다. 각 도구가 개발·AI 코딩·서비스 실행에서 어떤 역할을 하는지 설명한다. 별도 설치를 진행하지 않고 준비된 환경에서 Docker Compose로 HYD 서비스를 실행한다. 컨테이너 상태와 주요 서비스 접속 여부를 확인한 뒤 HYD 포털에 접속해 시스템이 정상적으로 실행되는 상태를 확인한다.</x:v>
      </x:c>
      <x:c r="D9" s="66" t="n">
        <x:v>30</x:v>
      </x:c>
    </x:row>
    <x:row r="10" ht="81" customHeight="1">
      <x:c r="A10" s="72" t="str">
        <x:v>실습</x:v>
      </x:c>
      <x:c r="B10" s="52" t="str">
        <x:v>설비 이상 발생부터 판단·승인·조치까지 전체 과정 경험하기</x:v>
      </x:c>
      <x:c r="C10" s="53" t="str">
        <x:v>HYD 포털에서 쿨러 열화 시나리오를 강사가 처음부터 끝까지 시연한다. 설비 이상 발생, 센서 변화와 경보 감지, 원인 분석, 근거에 기반한 조치 추천, 담당자 승인, 시스템 조치, 재관측 및 최종 결과를 순서대로 보여준다. 각 단계에서 어떤 정보가 사용되고 어떤 결과가 다음 단계로 전달되는지 설명한다. 세부 기술과 내부 실행 구조는 이후 학습에서 다루며, 이 시간에는 전체 과정이 실제로 어떤 문제를 해결하는지 이해하는 데 집중한다.</x:v>
      </x:c>
      <x:c r="D10" s="54" t="n">
        <x:v>20</x:v>
      </x:c>
    </x:row>
    <x:row r="11" ht="112.5" customHeight="1">
      <x:c r="A11" s="60" t="str">
        <x:v>이론</x:v>
      </x:c>
      <x:c r="B11" s="64" t="str">
        <x:v>설비 데이터에 의미와 관계를 부여하는 온톨로지 이해하기</x:v>
      </x:c>
      <x:c r="C11" s="65" t="str">
        <x:v>센서에서 온도가 상승했다는 사실만으로는 어느 부품에 문제가 있는지, 가능한 원인이 무엇인지, 어떤 조치를 취해야 하는지 알기 어려운 이유를 설명한다. 개별 수치와 데이터, 데이터에 의미를 부여한 정보, 판단에 활용할 수 있는 지식의 차이를 이해한다. 온톨로지가 대상의 종류·속성·관계·제약을 명시적으로 정의해 공통된 의미로 이해하도록 하는 지식 모델임을 배운다. 설비·센서·부품·증상·원인·조치·근거 문서가 어떻게 연결되는지 설명하고, 단순한 관계 그림이나 그래프 DB 자체가 온톨로지와 동일한 것은 아니라는 점을 구분한다. 이를 통해 이후 원인 탐색과 근거 기반 판단에 온톨로지가 필요한 이유를 이해한다.</x:v>
      </x:c>
      <x:c r="D11" s="66" t="n">
        <x:v>50</x:v>
      </x:c>
    </x:row>
    <x:row r="12" ht="81" customHeight="1">
      <x:c r="A12" s="72" t="str">
        <x:v>실습</x:v>
      </x:c>
      <x:c r="B12" s="52" t="str">
        <x:v>설비 이상과 원인·조치의 관계를 시각화하기</x:v>
      </x:c>
      <x:c r="C12" s="53" t="str">
        <x:v>arrows.app의 노드·관계·레이블 작성 방법을 익힌다. 간단한 설비 이상 사례를 바탕으로 설비·센서·증상·원인·조치를 배치하고 각각의 연결 관계를 직접 그린다. 어떤 대상이 다른 대상과 연결되는지, 관계의 방향을 어떻게 표현하는지 살펴본다. 완성한 관계도를 통해 단순히 정보를 나열하는 방식과 관계를 중심으로 표현하는 방식의 차이를 확인한다. 복잡한 온톨로지 스키마와 제약은 다음 학습에서 다룬다.</x:v>
      </x:c>
      <x:c r="D12" s="54" t="n">
        <x:v>30</x:v>
      </x:c>
    </x:row>
    <x:row r="13" ht="25.5" customHeight="1">
      <x:c r="A13" s="78" t="str">
        <x:v>일차 합계</x:v>
      </x:c>
      <x:c r="B13" s="78"/>
      <x:c r="C13" s="78"/>
      <x:c r="D13" s="84" t="n">
        <x:f>SUM(D6:D12)</x:f>
        <x:v>240</x:v>
      </x:c>
    </x:row>
    <x:row r="14" ht="13.5" customHeight="1"/>
    <x:row r="15" ht="31.5" customHeight="1">
      <x:c r="A15" s="24" t="str">
        <x:v>02일차  |  설비와 데이터의 관계를 체계화해 필요한 정보 찾기</x:v>
      </x:c>
      <x:c r="B15" s="24"/>
      <x:c r="C15" s="24"/>
      <x:c r="D15" s="28" t="str">
        <x:v>4H</x:v>
      </x:c>
    </x:row>
    <x:row r="16" ht="22.5" customHeight="1">
      <x:c r="A16" s="33" t="str">
        <x:v>구분</x:v>
      </x:c>
      <x:c r="B16" s="33" t="str">
        <x:v>제목</x:v>
      </x:c>
      <x:c r="C16" s="33" t="str">
        <x:v>상세 교육 내용</x:v>
      </x:c>
      <x:c r="D16" s="33" t="str">
        <x:v>시간</x:v>
      </x:c>
    </x:row>
    <x:row r="17" ht="96.75" customHeight="1">
      <x:c r="A17" s="60" t="str">
        <x:v>이론</x:v>
      </x:c>
      <x:c r="B17" s="52" t="str">
        <x:v>클래스와 인스턴스를 통해 현장 정보의 구조 이해하기</x:v>
      </x:c>
      <x:c r="C17" s="53" t="str">
        <x:v>온톨로지에서 클래스·인스턴스·속성·관계의 정확한 정의와 역할을 학습한다. 클래스가 공통 특성을 가진 대상의 유형을 표현하고, 인스턴스는 그 유형에 속하는 실제 개별 대상을 나타낸다는 점을 설명한다. 설비·센서·부품과 HYD-01·TS1·쿨러를 비교하며 구분한다. 클래스 계층과 상속의 기초, 데이터 속성과 객체 간 관계의 차이, 속성값과 인스턴스의 구별, 관계 유형·방향·카디널리티(1:1, 1:N, N:M)를 배운다. 언제 새로운 클래스를 정의하고 언제 속성이나 관계로 표현해야 하는지 구체적인 설비 사례로 비교한다.</x:v>
      </x:c>
      <x:c r="D17" s="54" t="n">
        <x:v>50</x:v>
      </x:c>
    </x:row>
    <x:row r="18" ht="96.75" customHeight="1">
      <x:c r="A18" s="60" t="str">
        <x:v>이론</x:v>
      </x:c>
      <x:c r="B18" s="64" t="str">
        <x:v>일관된 지식 구조를 만들기 위한 온톨로지 스키마 설계 원리 이해하기</x:v>
      </x:c>
      <x:c r="C18" s="65" t="str">
        <x:v>온톨로지 스키마가 클래스·속성·관계·제약을 일관되게 정의하는 구조임을 배운다. 클래스 이름과 의미, 속성명·자료형·필수 여부, 식별자, 관계의 시작·종료 클래스, 카디널리티와 유효한 연결 조건을 설명한다. 공통 식별자를 활용해 동일한 대상을 구분하는 방법, 스키마와 인스턴스 데이터의 차이, 스키마가 없는 데이터 연결에서 발생할 수 있는 의미 불일치를 살펴본다. 간단한 설비 모델을 스키마 정의로 발전시키는 과정을 단계별로 설명하고, HYD의 온톨로지 v2에 설비·진단·판단·성과 등의 클래스가 이미 정의되어 있다는 점도 소개한다.</x:v>
      </x:c>
      <x:c r="D18" s="66" t="n">
        <x:v>40</x:v>
      </x:c>
    </x:row>
    <x:row r="19" ht="81" customHeight="1">
      <x:c r="A19" s="60" t="str">
        <x:v>이론</x:v>
      </x:c>
      <x:c r="B19" s="52" t="str">
        <x:v>그래프 DB를 활용해 연결된 지식을 저장하고 조회하는 방법 이해하기</x:v>
      </x:c>
      <x:c r="C19" s="53" t="str">
        <x:v>그래프 DB의 기본 개념과 노드·관계·속성 구조를 학습하고 관계형 DB의 테이블·행·조인과 비교한다. 온톨로지 스키마와 Neo4j의 레이블·관계 유형·DB 제약 조건을 구분한다. Neo4j Browser의 역할을 소개하고 Cypher에서 노드와 관계를 표현하는 문법을 설명한다. MATCH·WHERE·RETURN을 통한 조회, CREATE를 통한 생성, MERGE를 통한 기존 대상 조회 또는 생성을 예제로 학습한다.</x:v>
      </x:c>
      <x:c r="D19" s="54" t="n">
        <x:v>25</x:v>
      </x:c>
    </x:row>
    <x:row r="20" ht="73.5" customHeight="1">
      <x:c r="A20" s="72" t="str">
        <x:v>실습</x:v>
      </x:c>
      <x:c r="B20" s="64" t="str">
        <x:v>그래프 DB에서 관계를 따라 필요한 정보 조회하기</x:v>
      </x:c>
      <x:c r="C20" s="65" t="str">
        <x:v>Neo4j Browser에서 제공된 예제 그래프를 열고 노드의 레이블과 속성, 관계의 유형과 방향을 확인한다. MATCH·WHERE·RETURN으로 특정 설비와 연결된 구성요소·센서를 조회한다. 한 단계 관계와 여러 단계 관계를 따라가는 질의를 실행하고 표 형태의 결과와 그래프 시각화 결과를 비교한다.</x:v>
      </x:c>
      <x:c r="D20" s="66" t="n">
        <x:v>25</x:v>
      </x:c>
    </x:row>
    <x:row r="21" ht="73.5" customHeight="1">
      <x:c r="A21" s="72" t="str">
        <x:v>실습</x:v>
      </x:c>
      <x:c r="B21" s="52" t="str">
        <x:v>설비 지식의 구조와 연결 관계 탐색하기</x:v>
      </x:c>
      <x:c r="C21" s="53" t="str">
        <x:v>HYD 포털의 지식 지도에서 설비를 선택해 구성요소·센서 등의 연결 관계를 탐색한다. 노드의 종류와 속성, 관계 방향을 확인하고 앞서 배운 클래스·인스턴스·스키마가 실제 시스템에서 어떻게 활용되는지 살펴본다. 랩 전용 그래프와 HYD의 기준 지식 지도가 서로 다른 환경이라는 점도 이해한다.</x:v>
      </x:c>
      <x:c r="D21" s="54" t="n">
        <x:v>20</x:v>
      </x:c>
    </x:row>
    <x:row r="22" ht="81" customHeight="1">
      <x:c r="A22" s="72" t="str">
        <x:v>실습</x:v>
      </x:c>
      <x:c r="B22" s="64" t="str">
        <x:v>현장 정보를 체계화하는 온톨로지 직접 설계하기</x:v>
      </x:c>
      <x:c r="C22" s="65" t="str">
        <x:v>VS Code에서 Claude Code를 활용해 제공된 랩 전용 설비·센서·부품 자료를 분석한다. 어떤 질문에 답할 수 있는 지식 구조가 필요한지 정한 뒤, 대상별 클래스와 예시 인스턴스를 구분한다. 클래스별 속성·자료형·식별자·필수값, 클래스 사이의 관계 유형·방향·연결 제약을 정의한다. 이를 바탕으로 온톨로지 스키마 파일과 예시 인스턴스 데이터를 작성하고 생성 결과가 원래 자료의 의미와 일치하는지 확인한다.</x:v>
      </x:c>
      <x:c r="D22" s="66" t="n">
        <x:v>40</x:v>
      </x:c>
    </x:row>
    <x:row r="23" ht="73.5" customHeight="1">
      <x:c r="A23" s="72" t="str">
        <x:v>실습</x:v>
      </x:c>
      <x:c r="B23" s="52" t="str">
        <x:v>설계한 온톨로지를 그래프 DB에 구현하고 시각화하기</x:v>
      </x:c>
      <x:c r="C23" s="53" t="str">
        <x:v>VS Code에서 Claude Code를 활용해 앞서 작성한 스키마와 예시 인스턴스를 그래프 DB의 노드·속성·관계로 표현하는 Cypher 쿼리를 생성한다. 랩 전용 Neo4j에서 쿼리를 실행하고 설비·센서·부품의 인스턴스와 연결 관계를 생성한다. Neo4j Browser에서 그래프로 표현된 결과를 확인하며 직접 설계한 지식 구조를 완성한다.</x:v>
      </x:c>
      <x:c r="D23" s="54" t="n">
        <x:v>40</x:v>
      </x:c>
    </x:row>
    <x:row r="24" ht="25.5" customHeight="1">
      <x:c r="A24" s="78" t="str">
        <x:v>일차 합계</x:v>
      </x:c>
      <x:c r="B24" s="78"/>
      <x:c r="C24" s="78"/>
      <x:c r="D24" s="84" t="n">
        <x:f>SUM(D17:D23)</x:f>
        <x:v>240</x:v>
      </x:c>
    </x:row>
    <x:row r="25" ht="13.5" customHeight="1"/>
    <x:row r="26" ht="31.5" customHeight="1">
      <x:c r="A26" s="24" t="str">
        <x:v>03일차  |  설비 상황에 맞는 안전하고 효과적인 조치 선택하기</x:v>
      </x:c>
      <x:c r="B26" s="24"/>
      <x:c r="C26" s="24"/>
      <x:c r="D26" s="28" t="str">
        <x:v>4H</x:v>
      </x:c>
    </x:row>
    <x:row r="27" ht="22.5" customHeight="1">
      <x:c r="A27" s="33" t="str">
        <x:v>구분</x:v>
      </x:c>
      <x:c r="B27" s="33" t="str">
        <x:v>제목</x:v>
      </x:c>
      <x:c r="C27" s="33" t="str">
        <x:v>상세 교육 내용</x:v>
      </x:c>
      <x:c r="D27" s="33" t="str">
        <x:v>시간</x:v>
      </x:c>
    </x:row>
    <x:row r="28" ht="96.75" customHeight="1">
      <x:c r="A28" s="60" t="str">
        <x:v>이론</x:v>
      </x:c>
      <x:c r="B28" s="52" t="str">
        <x:v>설비 상태에 맞는 안전한 조치 절차와 수행 기준 이해하기</x:v>
      </x:c>
      <x:c r="C28" s="53" t="str">
        <x:v>설비 고장 원인을 진단하는 것과 실제 조치 방법을 결정하는 것이 서로 다른 단계임을 이해한다. SOP(Standard Operating Procedure)의 목적과 역할을 배우고, 적용 대상·작업 전제 조건·안전 조건·준비사항·수행 단계·금지 사항·담당 역할·완료 확인 기준 등 SOP의 구성요소를 설명한다. 작업 절차의 순서와 조건을 구분하고, 동일한 조치도 설비 운전 상태에 따라 수행 가능 여부가 달라지는 이유를 학습한다. HYD 온톨로지에서 고장 유형·원인·조치 방법(Skill)·작업 단계(Step)·근거 매뉴얼이 연결되는 구조와, 즉시 완화·근본 조치·예방 조치의 차이를 살펴본다.</x:v>
      </x:c>
      <x:c r="D28" s="54" t="n">
        <x:v>35</x:v>
      </x:c>
    </x:row>
    <x:row r="29" ht="112.5" customHeight="1">
      <x:c r="A29" s="60" t="str">
        <x:v>이론</x:v>
      </x:c>
      <x:c r="B29" s="64" t="str">
        <x:v>업무 조건에 따라 적절한 조치를 선택하는 판단 규칙 이해하기</x:v>
      </x:c>
      <x:c r="C29" s="65" t="str">
        <x:v>DMN(Decision Model and Notation)이 업무 의사결정을 명확하게 정의하기 위한 표준이라는 점을 배우고, SOP와 DMN의 차이를 설명한다. 판단에 필요한 입력 데이터(InputData), 결정(Decision), 결정표(DecisionTable), 규칙(Rule), 조건과 출력의 관계를 학습한다. 비교 연산자·임계값·범위·복수 조건을 이용해 결정표를 구성하는 원리를 설명한다. 규칙의 중복·누락·상충이 어떤 문제를 일으키는지 알아보고, 여러 규칙이 일치했을 때 결과를 선택하는 Hit Policy의 기본 개념과 HYD에서 사용하는 판단 방식을 이해한다. 설비 상태에 따른 조치 허용·제외·감점과 해당 판단의 근거를 표현하는 방법까지 학습한다.</x:v>
      </x:c>
      <x:c r="D29" s="66" t="n">
        <x:v>40</x:v>
      </x:c>
    </x:row>
    <x:row r="30" ht="96.75" customHeight="1">
      <x:c r="A30" s="60" t="str">
        <x:v>이론</x:v>
      </x:c>
      <x:c r="B30" s="52" t="str">
        <x:v>조치의 효과를 여러 성과 관점에서 평가하는 방법 이해하기</x:v>
      </x:c>
      <x:c r="C30" s="53" t="str">
        <x:v>BSC(Balanced Scorecard)의 목적과 재무·고객·내부 프로세스·학습과 성장이라는 네 관점을 배운다. 전략 목표와 KPI(Key Performance Indicator)의 차이, 지표의 정의·단위·목표값·측정 주기·실제값·목표 대비 차이를 설명한다. 전략맵에서 목표 사이의 인과관계를 표현하는 방식과 선행 지표·후행 지표의 차이를 이해한다. 설비 복구 시간·생산 차질·전력비·품질·안전처럼 서로 상충할 수 있는 성과를 비교한다. 조치 가능 여부를 판단하는 규칙과, 허용된 조치의 효과·비용을 평가하는 기준을 구분하고, 가정값을 변경해 결과를 비교하는 What-if 분석의 목적과 한계를 설명한다.</x:v>
      </x:c>
      <x:c r="D30" s="54" t="n">
        <x:v>35</x:v>
      </x:c>
    </x:row>
    <x:row r="31" ht="96.75" customHeight="1">
      <x:c r="A31" s="72" t="str">
        <x:v>실습</x:v>
      </x:c>
      <x:c r="B31" s="64" t="str">
        <x:v>운전 조건과 성과 기준에 따른 조치 결과 비교하기</x:v>
      </x:c>
      <x:c r="C31" s="65" t="str">
        <x:v>HYD 포털의 조치 판단 규칙·손익/What-if·성과 지표 기능을 활용한다. 특정 설비와 이상 상황을 선택하고 판단에 사용되는 입력값·규칙·조치 후보를 확인한다. 운전 조건과 시험값을 변경해 어떤 규칙이 적용되며 어떤 조치가 허용·제외되는지 비교한다. 허용된 조치의 예상 손익과 판단 순위를 살펴보고, 성과 관점의 중요도나 KPI 목표를 변경했을 때 결과가 어떻게 달라지는지 확인한다. 해당 판단의 근거와 계산에 사용된 출처를 확인하며 시험값 변경이 원본 업무 데이터나 지식을 수정하는 것이 아니라는 점을 이해한다.</x:v>
      </x:c>
      <x:c r="D31" s="66" t="n">
        <x:v>35</x:v>
      </x:c>
    </x:row>
    <x:row r="32" ht="96.75" customHeight="1">
      <x:c r="A32" s="72" t="str">
        <x:v>실습</x:v>
      </x:c>
      <x:c r="B32" s="52" t="str">
        <x:v>작업 절차와 판단 조건을 연결해 조치 기준 만들기</x:v>
      </x:c>
      <x:c r="C32" s="53" t="str">
        <x:v>VS Code에서 Claude Code를 활용해 이미 작업 조건이 정리된 랩 전용 SOP 자료를 사용한다. 2일차에 만든 설비 모델과 식별자를 재사용하고, 제공된 고장 유형과 조치 방법을 연결한다. 작업의 적용 조건·금지 조건·수행 단계·완료 기준을 구분해 구조화하고, 이를 DMN 형태의 입력 조건과 판단 결과로 구성한다. 조치 방법과 단계, 판단 규칙의 의미적 관계를 정리해 SOP 구조와 결정표 자료를 완성한다. 이 과정에서는 원문 문서를 자동 추출하는 인제스천을 구현하지 않는다.</x:v>
      </x:c>
      <x:c r="D32" s="54" t="n">
        <x:v>45</x:v>
      </x:c>
    </x:row>
    <x:row r="33" ht="81" customHeight="1">
      <x:c r="A33" s="72" t="str">
        <x:v>실습</x:v>
      </x:c>
      <x:c r="B33" s="64" t="str">
        <x:v>설비 조건별 최적의 조치를 비교하는 판단 기능 만들기</x:v>
      </x:c>
      <x:c r="C33" s="65" t="str">
        <x:v>VS Code에서 앞서 작성한 결정표를 활용해 Claude Code로 간단한 조치 판정 기능을 제작한다. 설비 상태·운전 조건·금지 조건 등 입력값에 따라 가능한 조치와 제외해야 하는 조치를 구분하도록 구현한다. 제공된 효과·비용·성과 지표 값을 이용해 허용된 조치 후보를 비교하고 선택 이유를 표시한다. 정상 조건·경계값·복수 규칙 일치·조치 불가 상황을 실행해 결과를 확인하고, 조건을 변경했을 때 판단이 어떻게 달라지는지 살펴본다.</x:v>
      </x:c>
      <x:c r="D33" s="66" t="n">
        <x:v>50</x:v>
      </x:c>
    </x:row>
    <x:row r="34" ht="25.5" customHeight="1">
      <x:c r="A34" s="78" t="str">
        <x:v>일차 합계</x:v>
      </x:c>
      <x:c r="B34" s="78"/>
      <x:c r="C34" s="78"/>
      <x:c r="D34" s="84" t="n">
        <x:f>SUM(D28:D33)</x:f>
        <x:v>240</x:v>
      </x:c>
    </x:row>
    <x:row r="35" ht="13.5" customHeight="1"/>
    <x:row r="36" ht="31.5" customHeight="1">
      <x:c r="A36" s="24" t="str">
        <x:v>04일차  |  현장 자료를 검증해 신뢰할 수 있는 판단 근거 만들기</x:v>
      </x:c>
      <x:c r="B36" s="24"/>
      <x:c r="C36" s="24"/>
      <x:c r="D36" s="28" t="str">
        <x:v>4H</x:v>
      </x:c>
    </x:row>
    <x:row r="37" ht="22.5" customHeight="1">
      <x:c r="A37" s="33" t="str">
        <x:v>구분</x:v>
      </x:c>
      <x:c r="B37" s="33" t="str">
        <x:v>제목</x:v>
      </x:c>
      <x:c r="C37" s="33" t="str">
        <x:v>상세 교육 내용</x:v>
      </x:c>
      <x:c r="D37" s="33" t="str">
        <x:v>시간</x:v>
      </x:c>
    </x:row>
    <x:row r="38" ht="159.75" customHeight="1">
      <x:c r="A38" s="60" t="str">
        <x:v>이론</x:v>
      </x:c>
      <x:c r="B38" s="52" t="str">
        <x:v>현장 자료를 온톨로지 지식으로 전환하는 과정 이해하기</x:v>
      </x:c>
      <x:c r="C38" s="53" t="str">
        <x:v>인제스천(Ingestion)의 의미와 필요성을 학습하고, 매뉴얼·SOP 문서·업무 DB 등 서로 다른 형태의 원천 자료를 지식으로 전환하는 전체 과정을 이해한다. 원천 확보와 보관 → 문서 내용 분석 → 증상·원인·부품·조치·판단 조건 등 지식 후보 추출 → 기존 온톨로지 스키마와 식별자에 매핑 → 원문 근거 대조와 사람 검토 → 승인된 지식 적재 → 그래프 관계·출처 조회의 단계별 역할을 설명한다. LLM의 문서 이해 및 구조화 출력 원리를 소개하고, 추출 과정에서 발생할 수 있는 부정 조건 누락·수치/단위 오류·잘못된 관계 추론·근거 없는 내용 생성의 위험을 배운다. 원문 페이지·문단·인용 구간, 문서 식별자와 개정 이력, 지식 소유 관계 및 변경 추적이 필요한 이유를 설명한다. 검색해 문서를 참고하는 방식과 구조화된 지식으로 등록하는 방식의 차이도 이해한다. 마지막으로 설비의 원인·절차·규칙처럼 상대적으로 안정적인 지식과 센서·재고·운전시간처럼 지속적으로 변하는 값을 구분하고, 실제 값은 업무 DB·시계열 DB 등 원천에서 조회하도록 연결하는 원리를 설명한다.</x:v>
      </x:c>
      <x:c r="D38" s="54" t="n">
        <x:v>40</x:v>
      </x:c>
    </x:row>
    <x:row r="39" ht="112.5" customHeight="1">
      <x:c r="A39" s="72" t="str">
        <x:v>실습</x:v>
      </x:c>
      <x:c r="B39" s="64" t="str">
        <x:v>현장 매뉴얼에서 판단 근거를 추출하고 검증된 지식으로 등록하기</x:v>
      </x:c>
      <x:c r="C39" s="65" t="str">
        <x:v>HYD 포털의 지식 관리에서 제공된 설비 정비 매뉴얼을 등록하고, 원문 보관과 추출 작업 요청부터 진행한다. 추출된 작업 절차·고장 유형·원인·조치 방법·수행 조건·규칙과 원문 구간을 검토한다. 특히 부정 조건·단위·작업 단계 순서·대상 설비를 원문과 비교하여 누락되거나 잘못 해석된 항목을 수정·제외한다. 검토를 통과한 후보가 기존 온톨로지의 어떤 클래스·인스턴스·관계에 연결되는지 확인한 뒤 승인하여 그래프 DB에 등록한다. 지식 지도에서 등록된 조치·원인·근거 문서의 관계를 확인하고, 데이터 연결 화면에서는 정적인 판단 기준과 실제 업무 DB·시계열 DB에서 조회되는 현재값의 차이를 살펴본다.</x:v>
      </x:c>
      <x:c r="D39" s="66" t="n">
        <x:v>70</x:v>
      </x:c>
    </x:row>
    <x:row r="40" ht="96.75" customHeight="1">
      <x:c r="A40" s="72" t="str">
        <x:v>실습</x:v>
      </x:c>
      <x:c r="B40" s="52" t="str">
        <x:v>다양한 현장 문서에서 필요한 지식 자동 추출하기</x:v>
      </x:c>
      <x:c r="C40" s="53" t="str">
        <x:v>VS Code에서 Claude Code를 활용해 랩 전용 기술 매뉴얼과 작업 절차 자료를 분석한다. 문서에 포함된 표·절차 번호·예외 조건·수치·부품 정보·개정 사항을 확인하고, 기존 온톨로지 스키마에 필요한 증상·원인·조치·수행 조건·원문 출처를 구조화하도록 지시한다. 추출 결과에 문서 ID·페이지 또는 구간·원문 인용·지식 후보별 속성값이 포함되도록 구현한다. 원문과 결과를 대조하면서 빠진 조건이나 부정확한 추출을 수정하고, 이후 적재에 활용할 검토용 구조화 데이터를 완성한다.</x:v>
      </x:c>
      <x:c r="D40" s="54" t="n">
        <x:v>50</x:v>
      </x:c>
    </x:row>
    <x:row r="41" ht="96.75" customHeight="1">
      <x:c r="A41" s="72" t="str">
        <x:v>실습</x:v>
      </x:c>
      <x:c r="B41" s="64" t="str">
        <x:v>검토한 문서 지식을 그래프 DB에 반영하고 관계 확인하기</x:v>
      </x:c>
      <x:c r="C41" s="65" t="str">
        <x:v>VS Code에서 앞서 추출한 지식 후보를 원문과 대조해 채택·수정·제외한다. 2일차에 만든 모델과 3일차에 학습한 조치·규칙의 구조를 재사용하여 후보를 해당 클래스·인스턴스·관계에 매핑한다. Claude Code로 기존 식별자를 활용한 그래프 DB 적재 코드를 구현하고, 검토한 항목만 랩 전용 그래프 DB에 반영한다. 이후 고장 유형에서 원인·조치·판단 규칙·원문 출처로 이어지는 관계를 조회하고, 문서에서 추출한 지식이 앞서 만든 그래프에 보강된 결과를 확인한다.</x:v>
      </x:c>
      <x:c r="D41" s="66" t="n">
        <x:v>50</x:v>
      </x:c>
    </x:row>
    <x:row r="42" ht="96.75" customHeight="1">
      <x:c r="A42" s="60" t="str">
        <x:v>이론</x:v>
      </x:c>
      <x:c r="B42" s="52" t="str">
        <x:v>온톨로지 설계부터 지식 활용까지의 전체 과정 정리하기</x:v>
      </x:c>
      <x:c r="C42" s="53" t="str">
        <x:v>1일차 온톨로지의 필요성에서 시작해 2일차 클래스·인스턴스·속성·관계·스키마와 그래프 DB, 3일차 SOP·DMN·BSC/KPI의 조치·판단·성과 체계, 4일차 원천 자료 추출·검토·인제스천·출처 관리를 하나의 흐름으로 복습한다. 각 단계의 입력과 결과물, 지식 구조와 실제 데이터의 차이, 판단 규칙과 근거 문서의 관계를 되짚는다. 이렇게 구축된 지식과 규칙이 이후 에이전트의 업무 판단과 도구 활용에 어떤 역할을 하는지 연결해 설명한다. 새로운 실습은 진행하지 않는다.</x:v>
      </x:c>
      <x:c r="D42" s="54" t="n">
        <x:v>30</x:v>
      </x:c>
    </x:row>
    <x:row r="43" ht="25.5" customHeight="1">
      <x:c r="A43" s="78" t="str">
        <x:v>일차 합계</x:v>
      </x:c>
      <x:c r="B43" s="78"/>
      <x:c r="C43" s="78"/>
      <x:c r="D43" s="84" t="n">
        <x:f>SUM(D38:D42)</x:f>
        <x:v>240</x:v>
      </x:c>
    </x:row>
  </x:sheetData>
  <x:mergeCells>
    <x:mergeCell ref="A1:D1"/>
    <x:mergeCell ref="A2:C2"/>
    <x:mergeCell ref="A4:C4"/>
    <x:mergeCell ref="A13:C13"/>
    <x:mergeCell ref="A15:C15"/>
    <x:mergeCell ref="A24:C24"/>
    <x:mergeCell ref="A26:C26"/>
    <x:mergeCell ref="A34:C34"/>
    <x:mergeCell ref="A36:C36"/>
    <x:mergeCell ref="A43:C43"/>
  </x:mergeCells>
  <x:pageMargins left="0.7" right="0.7" top="0.75" bottom="0.75" header="0.3" footer="0.3"/>
</x:worksheet>
</file>