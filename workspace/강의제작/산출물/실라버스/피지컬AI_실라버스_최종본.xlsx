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통합반 온라인 44H" sheetId="1" state="visible" r:id="rId1"/>
    <sheet xmlns:r="http://schemas.openxmlformats.org/officeDocument/2006/relationships" name="실전반 온라인 32H" sheetId="2" state="visible" r:id="rId2"/>
    <sheet xmlns:r="http://schemas.openxmlformats.org/officeDocument/2006/relationships" name="통합반 오프라인 정규 10회" sheetId="3" state="visible" r:id="rId3"/>
    <sheet xmlns:r="http://schemas.openxmlformats.org/officeDocument/2006/relationships" name="실전반 오프라인 정규 9회" sheetId="4" state="visible" r:id="rId4"/>
  </sheets>
  <definedNames/>
</workbook>
</file>

<file path=xl/styles.xml><?xml version="1.0" encoding="utf-8"?>
<styleSheet xmlns="http://schemas.openxmlformats.org/spreadsheetml/2006/main">
  <numFmts count="0"/>
  <fonts count="21">
    <font>
      <name val="Carlito"/>
      <sz val="11"/>
    </font>
    <font>
      <name val="맑은 고딕"/>
      <color rgb="FF24394C"/>
      <sz val="10.5"/>
    </font>
    <font>
      <name val="맑은 고딕"/>
      <b val="1"/>
      <color rgb="FFFFFFFF"/>
      <sz val="15"/>
    </font>
    <font>
      <name val="맑은 고딕"/>
      <color rgb="FF526A7C"/>
      <sz val="10"/>
    </font>
    <font>
      <name val="맑은 고딕"/>
      <b val="1"/>
      <color rgb="FF173C57"/>
      <sz val="11"/>
    </font>
    <font>
      <name val="맑은 고딕"/>
      <b val="1"/>
      <color rgb="FF173C57"/>
      <sz val="12"/>
    </font>
    <font>
      <name val="맑은 고딕"/>
      <b val="1"/>
      <color rgb="FFFFFFFF"/>
      <sz val="10.5"/>
    </font>
    <font>
      <name val="맑은 고딕"/>
      <b val="1"/>
      <color rgb="FF245D87"/>
      <sz val="10"/>
    </font>
    <font>
      <name val="맑은 고딕"/>
      <b val="1"/>
      <color rgb="FF24394C"/>
      <sz val="10.5"/>
    </font>
    <font>
      <name val="맑은 고딕"/>
      <b val="1"/>
      <color rgb="FF1B694B"/>
      <sz val="10"/>
    </font>
    <font>
      <name val="맑은 고딕"/>
      <b val="1"/>
      <color rgb="FF173C57"/>
      <sz val="10.5"/>
    </font>
    <font>
      <name val="맑은 고딕"/>
      <b val="1"/>
      <color rgb="FFFFFFFF"/>
      <sz val="10"/>
    </font>
    <font>
      <name val="맑은 고딕"/>
      <b val="1"/>
      <color rgb="FF0B3660"/>
      <sz val="10"/>
    </font>
    <font>
      <name val="맑은 고딕"/>
      <color rgb="FF203244"/>
      <sz val="10"/>
    </font>
    <font>
      <name val="맑은 고딕"/>
      <b val="1"/>
      <color rgb="FF203244"/>
      <sz val="10"/>
    </font>
    <font>
      <name val="맑은 고딕"/>
      <color rgb="FF0B3660"/>
      <sz val="10"/>
    </font>
    <font>
      <name val="맑은 고딕"/>
      <color rgb="FF145A46"/>
      <sz val="10"/>
    </font>
    <font>
      <name val="맑은 고딕"/>
      <color rgb="FF536679"/>
      <sz val="10"/>
    </font>
    <font>
      <name val="맑은 고딕"/>
      <color rgb="FF24364B"/>
      <sz val="11"/>
    </font>
    <font>
      <name val="맑은 고딕"/>
      <b val="1"/>
      <color rgb="FFFFFFFF"/>
      <sz val="16"/>
    </font>
    <font>
      <name val="맑은 고딕"/>
      <b val="1"/>
      <color rgb="FFFFFFFF"/>
      <sz val="12"/>
    </font>
  </fonts>
  <fills count="19">
    <fill>
      <patternFill/>
    </fill>
    <fill>
      <patternFill patternType="gray125"/>
    </fill>
    <fill>
      <patternFill patternType="solid">
        <fgColor rgb="FF173C57"/>
      </patternFill>
    </fill>
    <fill>
      <patternFill patternType="solid">
        <fgColor rgb="FFF0F5F9"/>
      </patternFill>
    </fill>
    <fill>
      <patternFill patternType="solid">
        <fgColor rgb="FFDBEAF5"/>
      </patternFill>
    </fill>
    <fill>
      <patternFill patternType="solid">
        <fgColor rgb="FF244E69"/>
      </patternFill>
    </fill>
    <fill>
      <patternFill patternType="solid">
        <fgColor rgb="FFFFFFFF"/>
      </patternFill>
    </fill>
    <fill>
      <patternFill patternType="solid">
        <fgColor rgb="FFE6F0FA"/>
      </patternFill>
    </fill>
    <fill>
      <patternFill patternType="solid">
        <fgColor rgb="FFF6F8FB"/>
      </patternFill>
    </fill>
    <fill>
      <patternFill patternType="solid">
        <fgColor rgb="FFE6F3EA"/>
      </patternFill>
    </fill>
    <fill>
      <patternFill patternType="solid">
        <fgColor rgb="FFE5EFF8"/>
      </patternFill>
    </fill>
    <fill>
      <patternFill patternType="solid">
        <fgColor rgb="FF16273E"/>
      </patternFill>
    </fill>
    <fill>
      <patternFill patternType="solid">
        <fgColor rgb="FFE9F0F7"/>
      </patternFill>
    </fill>
    <fill>
      <patternFill patternType="solid">
        <fgColor rgb="FFFFFFFF"/>
      </patternFill>
    </fill>
    <fill>
      <patternFill patternType="solid">
        <fgColor rgb="FFF3F7FB"/>
      </patternFill>
    </fill>
    <fill>
      <patternFill patternType="solid">
        <fgColor rgb="FF173C57"/>
      </patternFill>
    </fill>
    <fill>
      <patternFill patternType="solid">
        <fgColor rgb="FFE6EFF5"/>
      </patternFill>
    </fill>
    <fill>
      <patternFill patternType="solid">
        <fgColor rgb="FFFFFFFF"/>
      </patternFill>
    </fill>
    <fill>
      <patternFill patternType="solid">
        <fgColor rgb="FFF3F7FA"/>
      </patternFill>
    </fill>
  </fills>
  <borders count="1">
    <border/>
  </borders>
  <cellStyleXfs count="1">
    <xf numFmtId="0" fontId="0" fillId="0" borderId="0"/>
  </cellStyleXfs>
  <cellXfs count="145">
    <xf numFmtId="0" fontId="0" fillId="0" borderId="0" pivotButton="0" quotePrefix="0" xfId="0"/>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2" fillId="2" borderId="0" applyAlignment="1" pivotButton="0" quotePrefix="0" xfId="0">
      <alignment horizontal="left" vertical="center"/>
    </xf>
    <xf numFmtId="0" fontId="1" fillId="3" borderId="0" applyAlignment="1" pivotButton="0" quotePrefix="0" xfId="0">
      <alignment vertical="center"/>
    </xf>
    <xf numFmtId="0" fontId="3" fillId="3" borderId="0" applyAlignment="1" pivotButton="0" quotePrefix="0" xfId="0">
      <alignment vertical="center"/>
    </xf>
    <xf numFmtId="0" fontId="4" fillId="3" borderId="0" applyAlignment="1" pivotButton="0" quotePrefix="0" xfId="0">
      <alignment vertical="center"/>
    </xf>
    <xf numFmtId="0" fontId="4" fillId="3" borderId="0" applyAlignment="1" pivotButton="0" quotePrefix="0" xfId="0">
      <alignment horizontal="center" vertical="center"/>
    </xf>
    <xf numFmtId="0" fontId="1" fillId="4" borderId="0" applyAlignment="1" pivotButton="0" quotePrefix="0" xfId="0">
      <alignment vertical="center"/>
    </xf>
    <xf numFmtId="0" fontId="5" fillId="4" borderId="0" applyAlignment="1" pivotButton="0" quotePrefix="0" xfId="0">
      <alignment vertical="center"/>
    </xf>
    <xf numFmtId="0" fontId="4" fillId="4" borderId="0" applyAlignment="1" pivotButton="0" quotePrefix="0" xfId="0">
      <alignment vertical="center"/>
    </xf>
    <xf numFmtId="0" fontId="4" fillId="4" borderId="0" applyAlignment="1" pivotButton="0" quotePrefix="0" xfId="0">
      <alignment horizontal="center" vertical="center"/>
    </xf>
    <xf numFmtId="0" fontId="1" fillId="5" borderId="0" applyAlignment="1" pivotButton="0" quotePrefix="0" xfId="0">
      <alignment vertical="center"/>
    </xf>
    <xf numFmtId="0" fontId="6" fillId="5" borderId="0" applyAlignment="1" pivotButton="0" quotePrefix="0" xfId="0">
      <alignment vertical="center"/>
    </xf>
    <xf numFmtId="0" fontId="6" fillId="5" borderId="0" applyAlignment="1" pivotButton="0" quotePrefix="0" xfId="0">
      <alignment horizontal="center" vertical="center"/>
    </xf>
    <xf numFmtId="0" fontId="1" fillId="6" borderId="0" applyAlignment="1" pivotButton="0" quotePrefix="0" xfId="0">
      <alignment vertical="center"/>
    </xf>
    <xf numFmtId="0" fontId="1" fillId="6" borderId="0" applyAlignment="1" pivotButton="0" quotePrefix="0" xfId="0">
      <alignment vertical="center" wrapText="1"/>
    </xf>
    <xf numFmtId="0" fontId="1" fillId="7" borderId="0" applyAlignment="1" pivotButton="0" quotePrefix="0" xfId="0">
      <alignment vertical="center" wrapText="1"/>
    </xf>
    <xf numFmtId="0" fontId="7" fillId="7" borderId="0" applyAlignment="1" pivotButton="0" quotePrefix="0" xfId="0">
      <alignment vertical="center" wrapText="1"/>
    </xf>
    <xf numFmtId="0" fontId="7" fillId="7" borderId="0" applyAlignment="1" pivotButton="0" quotePrefix="0" xfId="0">
      <alignment horizontal="center" vertical="center" wrapText="1"/>
    </xf>
    <xf numFmtId="0" fontId="8" fillId="6" borderId="0" applyAlignment="1" pivotButton="0" quotePrefix="0" xfId="0">
      <alignment vertical="center" wrapText="1"/>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1" fillId="8" borderId="0" applyAlignment="1" pivotButton="0" quotePrefix="0" xfId="0">
      <alignment vertical="center"/>
    </xf>
    <xf numFmtId="0" fontId="1" fillId="8" borderId="0" applyAlignment="1" pivotButton="0" quotePrefix="0" xfId="0">
      <alignment vertical="center" wrapText="1"/>
    </xf>
    <xf numFmtId="0" fontId="1" fillId="9" borderId="0" applyAlignment="1" pivotButton="0" quotePrefix="0" xfId="0">
      <alignment vertical="center" wrapText="1"/>
    </xf>
    <xf numFmtId="0" fontId="9" fillId="9" borderId="0" applyAlignment="1" pivotButton="0" quotePrefix="0" xfId="0">
      <alignment vertical="center" wrapText="1"/>
    </xf>
    <xf numFmtId="0" fontId="9" fillId="9" borderId="0" applyAlignment="1" pivotButton="0" quotePrefix="0" xfId="0">
      <alignment horizontal="center" vertical="center" wrapText="1"/>
    </xf>
    <xf numFmtId="0" fontId="8" fillId="8" borderId="0" applyAlignment="1" pivotButton="0" quotePrefix="0" xfId="0">
      <alignment vertical="center" wrapText="1"/>
    </xf>
    <xf numFmtId="0" fontId="4" fillId="8" borderId="0" applyAlignment="1" pivotButton="0" quotePrefix="0" xfId="0">
      <alignment vertical="center" wrapText="1"/>
    </xf>
    <xf numFmtId="0" fontId="4" fillId="8" borderId="0" applyAlignment="1" pivotButton="0" quotePrefix="0" xfId="0">
      <alignment horizontal="center" vertical="center" wrapText="1"/>
    </xf>
    <xf numFmtId="0" fontId="1" fillId="10" borderId="0" applyAlignment="1" pivotButton="0" quotePrefix="0" xfId="0">
      <alignment vertical="center"/>
    </xf>
    <xf numFmtId="0" fontId="10" fillId="10" borderId="0" applyAlignment="1" pivotButton="0" quotePrefix="0" xfId="0">
      <alignment vertical="center"/>
    </xf>
    <xf numFmtId="0" fontId="4" fillId="10" borderId="0" applyAlignment="1" pivotButton="0" quotePrefix="0" xfId="0">
      <alignment vertical="center"/>
    </xf>
    <xf numFmtId="0" fontId="4" fillId="10" borderId="0" applyAlignment="1" pivotButton="0" quotePrefix="0" xfId="0">
      <alignment horizontal="center" vertical="center"/>
    </xf>
    <xf numFmtId="0" fontId="10" fillId="10" borderId="0" applyAlignment="1" pivotButton="0" quotePrefix="0" xfId="0">
      <alignment horizontal="center" vertical="center"/>
    </xf>
    <xf numFmtId="0" fontId="5" fillId="10" borderId="0" applyAlignment="1" pivotButton="0" quotePrefix="0" xfId="0">
      <alignment vertical="center"/>
    </xf>
    <xf numFmtId="0" fontId="0" fillId="11" borderId="0" pivotButton="0" quotePrefix="0" xfId="0"/>
    <xf numFmtId="0" fontId="11" fillId="11" borderId="0" pivotButton="0" quotePrefix="0" xfId="0"/>
    <xf numFmtId="0" fontId="11" fillId="11" borderId="0" applyAlignment="1" pivotButton="0" quotePrefix="0" xfId="0">
      <alignment wrapText="1"/>
    </xf>
    <xf numFmtId="0" fontId="11" fillId="11" borderId="0" applyAlignment="1" pivotButton="0" quotePrefix="0" xfId="0">
      <alignment vertical="center" wrapText="1"/>
    </xf>
    <xf numFmtId="0" fontId="11" fillId="11" borderId="0" applyAlignment="1" pivotButton="0" quotePrefix="0" xfId="0">
      <alignment horizontal="center" vertical="center" wrapText="1"/>
    </xf>
    <xf numFmtId="0" fontId="0" fillId="12" borderId="0" pivotButton="0" quotePrefix="0" xfId="0"/>
    <xf numFmtId="0" fontId="12" fillId="12" borderId="0" pivotButton="0" quotePrefix="0" xfId="0"/>
    <xf numFmtId="0" fontId="12" fillId="12" borderId="0" applyAlignment="1" pivotButton="0" quotePrefix="0" xfId="0">
      <alignment wrapText="1"/>
    </xf>
    <xf numFmtId="0" fontId="12" fillId="12" borderId="0" applyAlignment="1" pivotButton="0" quotePrefix="0" xfId="0">
      <alignment horizontal="center" wrapText="1"/>
    </xf>
    <xf numFmtId="0" fontId="12" fillId="12" borderId="0" applyAlignment="1" pivotButton="0" quotePrefix="0" xfId="0">
      <alignment horizontal="center" vertical="center" wrapText="1"/>
    </xf>
    <xf numFmtId="0" fontId="0" fillId="13" borderId="0" pivotButton="0" quotePrefix="0" xfId="0"/>
    <xf numFmtId="0" fontId="13" fillId="13" borderId="0" pivotButton="0" quotePrefix="0" xfId="0"/>
    <xf numFmtId="0" fontId="13" fillId="13" borderId="0" applyAlignment="1" pivotButton="0" quotePrefix="0" xfId="0">
      <alignment wrapText="1"/>
    </xf>
    <xf numFmtId="0" fontId="13" fillId="13" borderId="0" applyAlignment="1" pivotButton="0" quotePrefix="0" xfId="0">
      <alignment vertical="center" wrapText="1"/>
    </xf>
    <xf numFmtId="0" fontId="13" fillId="13" borderId="0" applyAlignment="1" pivotButton="0" quotePrefix="0" xfId="0">
      <alignment horizontal="center" vertical="center" wrapText="1"/>
    </xf>
    <xf numFmtId="0" fontId="14" fillId="13" borderId="0" applyAlignment="1" pivotButton="0" quotePrefix="0" xfId="0">
      <alignment vertical="center" wrapText="1"/>
    </xf>
    <xf numFmtId="0" fontId="15" fillId="13" borderId="0" applyAlignment="1" pivotButton="0" quotePrefix="0" xfId="0">
      <alignment horizontal="center" vertical="center" wrapText="1"/>
    </xf>
    <xf numFmtId="0" fontId="0" fillId="14" borderId="0" pivotButton="0" quotePrefix="0" xfId="0"/>
    <xf numFmtId="0" fontId="13" fillId="14" borderId="0" pivotButton="0" quotePrefix="0" xfId="0"/>
    <xf numFmtId="0" fontId="13" fillId="14" borderId="0" applyAlignment="1" pivotButton="0" quotePrefix="0" xfId="0">
      <alignment wrapText="1"/>
    </xf>
    <xf numFmtId="0" fontId="13" fillId="14" borderId="0" applyAlignment="1" pivotButton="0" quotePrefix="0" xfId="0">
      <alignment vertical="center" wrapText="1"/>
    </xf>
    <xf numFmtId="0" fontId="13" fillId="14" borderId="0" applyAlignment="1" pivotButton="0" quotePrefix="0" xfId="0">
      <alignment horizontal="center" vertical="center" wrapText="1"/>
    </xf>
    <xf numFmtId="0" fontId="14" fillId="14" borderId="0" applyAlignment="1" pivotButton="0" quotePrefix="0" xfId="0">
      <alignment vertical="center" wrapText="1"/>
    </xf>
    <xf numFmtId="0" fontId="15" fillId="14" borderId="0" applyAlignment="1" pivotButton="0" quotePrefix="0" xfId="0">
      <alignment horizontal="center" vertical="center" wrapText="1"/>
    </xf>
    <xf numFmtId="0" fontId="16" fillId="13" borderId="0" applyAlignment="1" pivotButton="0" quotePrefix="0" xfId="0">
      <alignment horizontal="center" vertical="center" wrapText="1"/>
    </xf>
    <xf numFmtId="0" fontId="16" fillId="14" borderId="0" applyAlignment="1" pivotButton="0" quotePrefix="0" xfId="0">
      <alignment horizontal="center" vertical="center" wrapText="1"/>
    </xf>
    <xf numFmtId="0" fontId="12" fillId="12" borderId="0" applyAlignment="1" pivotButton="0" quotePrefix="0" xfId="0">
      <alignment vertical="center" wrapText="1"/>
    </xf>
    <xf numFmtId="0" fontId="17" fillId="14" borderId="0" pivotButton="0" quotePrefix="0" xfId="0"/>
    <xf numFmtId="0" fontId="17" fillId="14" borderId="0" applyAlignment="1" pivotButton="0" quotePrefix="0" xfId="0">
      <alignment wrapText="1"/>
    </xf>
    <xf numFmtId="0" fontId="17" fillId="14" borderId="0" applyAlignment="1" pivotButton="0" quotePrefix="0" xfId="0">
      <alignment vertical="center" wrapText="1"/>
    </xf>
    <xf numFmtId="0" fontId="2" fillId="13" borderId="0" applyAlignment="1" pivotButton="0" quotePrefix="0" xfId="0">
      <alignment horizontal="left" vertical="center"/>
    </xf>
    <xf numFmtId="0" fontId="3" fillId="13" borderId="0" applyAlignment="1" pivotButton="0" quotePrefix="0" xfId="0">
      <alignment vertical="center"/>
    </xf>
    <xf numFmtId="0" fontId="4" fillId="13" borderId="0" applyAlignment="1" pivotButton="0" quotePrefix="0" xfId="0">
      <alignment horizontal="center" vertical="center"/>
    </xf>
    <xf numFmtId="0" fontId="1" fillId="13" borderId="0" applyAlignment="1" pivotButton="0" quotePrefix="0" xfId="0">
      <alignment vertical="center"/>
    </xf>
    <xf numFmtId="0" fontId="5" fillId="13" borderId="0" applyAlignment="1" pivotButton="0" quotePrefix="0" xfId="0">
      <alignment vertical="center"/>
    </xf>
    <xf numFmtId="0" fontId="6" fillId="13" borderId="0" applyAlignment="1" pivotButton="0" quotePrefix="0" xfId="0">
      <alignment horizontal="center" vertical="center"/>
    </xf>
    <xf numFmtId="0" fontId="7" fillId="13" borderId="0" applyAlignment="1" pivotButton="0" quotePrefix="0" xfId="0">
      <alignment horizontal="center" vertical="center" wrapText="1"/>
    </xf>
    <xf numFmtId="0" fontId="8" fillId="13" borderId="0" applyAlignment="1" pivotButton="0" quotePrefix="0" xfId="0">
      <alignment vertical="center" wrapText="1"/>
    </xf>
    <xf numFmtId="0" fontId="1" fillId="13" borderId="0" applyAlignment="1" pivotButton="0" quotePrefix="0" xfId="0">
      <alignment vertical="center" wrapText="1"/>
    </xf>
    <xf numFmtId="0" fontId="4" fillId="13" borderId="0" applyAlignment="1" pivotButton="0" quotePrefix="0" xfId="0">
      <alignment horizontal="center" vertical="center" wrapText="1"/>
    </xf>
    <xf numFmtId="0" fontId="9" fillId="13" borderId="0" applyAlignment="1" pivotButton="0" quotePrefix="0" xfId="0">
      <alignment horizontal="center" vertical="center" wrapText="1"/>
    </xf>
    <xf numFmtId="0" fontId="10" fillId="13" borderId="0" applyAlignment="1" pivotButton="0" quotePrefix="0" xfId="0">
      <alignment vertical="center"/>
    </xf>
    <xf numFmtId="0" fontId="2" fillId="11" borderId="0" applyAlignment="1" pivotButton="0" quotePrefix="0" xfId="0">
      <alignment horizontal="left" vertical="center"/>
    </xf>
    <xf numFmtId="0" fontId="11" fillId="11" borderId="0" applyAlignment="1" pivotButton="0" quotePrefix="0" xfId="0">
      <alignment horizontal="left" vertical="center"/>
    </xf>
    <xf numFmtId="0" fontId="11" fillId="11" borderId="0" applyAlignment="1" pivotButton="0" quotePrefix="0" xfId="0">
      <alignment horizontal="left" vertical="center" wrapText="1"/>
    </xf>
    <xf numFmtId="0" fontId="3" fillId="12" borderId="0" applyAlignment="1" pivotButton="0" quotePrefix="0" xfId="0">
      <alignment vertical="center"/>
    </xf>
    <xf numFmtId="0" fontId="4" fillId="12" borderId="0" applyAlignment="1" pivotButton="0" quotePrefix="0" xfId="0">
      <alignment horizontal="center" vertical="center"/>
    </xf>
    <xf numFmtId="0" fontId="12" fillId="12" borderId="0" applyAlignment="1" pivotButton="0" quotePrefix="0" xfId="0">
      <alignment vertical="center"/>
    </xf>
    <xf numFmtId="0" fontId="12" fillId="12" borderId="0" applyAlignment="1" pivotButton="0" quotePrefix="0" xfId="0">
      <alignment horizontal="center" vertical="center"/>
    </xf>
    <xf numFmtId="0" fontId="5" fillId="11" borderId="0" applyAlignment="1" pivotButton="0" quotePrefix="0" xfId="0">
      <alignment vertical="center"/>
    </xf>
    <xf numFmtId="0" fontId="4" fillId="11" borderId="0" applyAlignment="1" pivotButton="0" quotePrefix="0" xfId="0">
      <alignment horizontal="center" vertical="center"/>
    </xf>
    <xf numFmtId="0" fontId="11" fillId="11" borderId="0" applyAlignment="1" pivotButton="0" quotePrefix="0" xfId="0">
      <alignment vertical="center"/>
    </xf>
    <xf numFmtId="0" fontId="11" fillId="11" borderId="0" applyAlignment="1" pivotButton="0" quotePrefix="0" xfId="0">
      <alignment horizontal="center" vertical="center"/>
    </xf>
    <xf numFmtId="0" fontId="6" fillId="12" borderId="0" applyAlignment="1" pivotButton="0" quotePrefix="0" xfId="0">
      <alignment horizontal="center" vertical="center"/>
    </xf>
    <xf numFmtId="0" fontId="9" fillId="14" borderId="0" applyAlignment="1" pivotButton="0" quotePrefix="0" xfId="0">
      <alignment horizontal="center" vertical="center" wrapText="1"/>
    </xf>
    <xf numFmtId="0" fontId="8" fillId="14" borderId="0" applyAlignment="1" pivotButton="0" quotePrefix="0" xfId="0">
      <alignment vertical="center" wrapText="1"/>
    </xf>
    <xf numFmtId="0" fontId="1" fillId="14" borderId="0" applyAlignment="1" pivotButton="0" quotePrefix="0" xfId="0">
      <alignment vertical="center" wrapText="1"/>
    </xf>
    <xf numFmtId="0" fontId="4" fillId="14" borderId="0" applyAlignment="1" pivotButton="0" quotePrefix="0" xfId="0">
      <alignment horizontal="center" vertical="center" wrapText="1"/>
    </xf>
    <xf numFmtId="0" fontId="7" fillId="14" borderId="0" applyAlignment="1" pivotButton="0" quotePrefix="0" xfId="0">
      <alignment horizontal="center" vertical="center" wrapText="1"/>
    </xf>
    <xf numFmtId="0" fontId="10" fillId="12" borderId="0" applyAlignment="1" pivotButton="0" quotePrefix="0" xfId="0">
      <alignment vertical="center"/>
    </xf>
    <xf numFmtId="0" fontId="13" fillId="13" borderId="0" applyAlignment="1" pivotButton="0" quotePrefix="0" xfId="0">
      <alignment vertical="center"/>
    </xf>
    <xf numFmtId="0" fontId="13" fillId="13" borderId="0" applyAlignment="1" pivotButton="0" quotePrefix="0" xfId="0">
      <alignment horizontal="center" vertical="center"/>
    </xf>
    <xf numFmtId="0" fontId="1" fillId="12" borderId="0" applyAlignment="1" pivotButton="0" quotePrefix="0" xfId="0">
      <alignment vertical="center"/>
    </xf>
    <xf numFmtId="0" fontId="6" fillId="11" borderId="0" applyAlignment="1" pivotButton="0" quotePrefix="0" xfId="0">
      <alignment horizontal="center" vertical="center"/>
    </xf>
    <xf numFmtId="0" fontId="9" fillId="12" borderId="0" applyAlignment="1" pivotButton="0" quotePrefix="0" xfId="0">
      <alignment horizontal="center" vertical="center" wrapText="1"/>
    </xf>
    <xf numFmtId="0" fontId="8" fillId="12" borderId="0" applyAlignment="1" pivotButton="0" quotePrefix="0" xfId="0">
      <alignment vertical="center" wrapText="1"/>
    </xf>
    <xf numFmtId="0" fontId="1" fillId="12" borderId="0" applyAlignment="1" pivotButton="0" quotePrefix="0" xfId="0">
      <alignment vertical="center" wrapText="1"/>
    </xf>
    <xf numFmtId="0" fontId="4" fillId="12" borderId="0" applyAlignment="1" pivotButton="0" quotePrefix="0" xfId="0">
      <alignment horizontal="center" vertical="center" wrapText="1"/>
    </xf>
    <xf numFmtId="0" fontId="10" fillId="14" borderId="0" applyAlignment="1" pivotButton="0" quotePrefix="0" xfId="0">
      <alignment vertical="center"/>
    </xf>
    <xf numFmtId="0" fontId="4" fillId="14" borderId="0" applyAlignment="1" pivotButton="0" quotePrefix="0" xfId="0">
      <alignment horizontal="center" vertical="center"/>
    </xf>
    <xf numFmtId="0" fontId="13" fillId="14" borderId="0" applyAlignment="1" pivotButton="0" quotePrefix="0" xfId="0">
      <alignment vertical="center"/>
    </xf>
    <xf numFmtId="0" fontId="13" fillId="14" borderId="0" applyAlignment="1" pivotButton="0" quotePrefix="0" xfId="0">
      <alignment horizontal="center" vertical="center"/>
    </xf>
    <xf numFmtId="0" fontId="5" fillId="12" borderId="0" applyAlignment="1" pivotButton="0" quotePrefix="0" xfId="0">
      <alignment vertical="center"/>
    </xf>
    <xf numFmtId="0" fontId="9" fillId="11" borderId="0" applyAlignment="1" pivotButton="0" quotePrefix="0" xfId="0">
      <alignment horizontal="center" vertical="center" wrapText="1"/>
    </xf>
    <xf numFmtId="0" fontId="8" fillId="11" borderId="0" applyAlignment="1" pivotButton="0" quotePrefix="0" xfId="0">
      <alignment vertical="center" wrapText="1"/>
    </xf>
    <xf numFmtId="0" fontId="1" fillId="11" borderId="0" applyAlignment="1" pivotButton="0" quotePrefix="0" xfId="0">
      <alignment vertical="center" wrapText="1"/>
    </xf>
    <xf numFmtId="0" fontId="4" fillId="11" borderId="0" applyAlignment="1" pivotButton="0" quotePrefix="0" xfId="0">
      <alignment horizontal="center" vertical="center" wrapText="1"/>
    </xf>
    <xf numFmtId="0" fontId="1" fillId="14" borderId="0" applyAlignment="1" pivotButton="0" quotePrefix="0" xfId="0">
      <alignment vertical="center"/>
    </xf>
    <xf numFmtId="0" fontId="14" fillId="12" borderId="0" pivotButton="0" quotePrefix="0" xfId="0"/>
    <xf numFmtId="0" fontId="14" fillId="12" borderId="0" applyAlignment="1" pivotButton="0" quotePrefix="0" xfId="0">
      <alignment wrapText="1"/>
    </xf>
    <xf numFmtId="0" fontId="14" fillId="12" borderId="0" applyAlignment="1" pivotButton="0" quotePrefix="0" xfId="0">
      <alignment vertical="center" wrapText="1"/>
    </xf>
    <xf numFmtId="0" fontId="15" fillId="6" borderId="0" applyAlignment="1" pivotButton="0" quotePrefix="0" xfId="0">
      <alignment horizontal="center" vertical="center" wrapText="1"/>
    </xf>
    <xf numFmtId="0" fontId="14" fillId="6" borderId="0" applyAlignment="1" pivotButton="0" quotePrefix="0" xfId="0">
      <alignment vertical="center" wrapText="1"/>
    </xf>
    <xf numFmtId="0" fontId="13" fillId="6" borderId="0" applyAlignment="1" pivotButton="0" quotePrefix="0" xfId="0">
      <alignment vertical="center" wrapText="1"/>
    </xf>
    <xf numFmtId="0" fontId="13" fillId="6" borderId="0" applyAlignment="1" pivotButton="0" quotePrefix="0" xfId="0">
      <alignment horizontal="center" vertical="center" wrapText="1"/>
    </xf>
    <xf numFmtId="0" fontId="15" fillId="6" borderId="0" applyAlignment="1" pivotButton="0" quotePrefix="0" xfId="0">
      <alignment horizontal="center" vertical="center" wrapText="1"/>
    </xf>
    <xf numFmtId="0" fontId="14" fillId="6" borderId="0" applyAlignment="1" pivotButton="0" quotePrefix="0" xfId="0">
      <alignment vertical="center" wrapText="1"/>
    </xf>
    <xf numFmtId="0" fontId="13" fillId="6" borderId="0" applyAlignment="1" pivotButton="0" quotePrefix="0" xfId="0">
      <alignment vertical="center" wrapText="1"/>
    </xf>
    <xf numFmtId="0" fontId="13" fillId="6" borderId="0" applyAlignment="1" pivotButton="0" quotePrefix="0" xfId="0">
      <alignment horizontal="center" vertical="center" wrapText="1"/>
    </xf>
    <xf numFmtId="0" fontId="16" fillId="14" borderId="0" applyAlignment="1" pivotButton="0" quotePrefix="0" xfId="0">
      <alignment horizontal="center" vertical="center" wrapText="1"/>
    </xf>
    <xf numFmtId="0" fontId="14" fillId="14" borderId="0" applyAlignment="1" pivotButton="0" quotePrefix="0" xfId="0">
      <alignment vertical="center" wrapText="1"/>
    </xf>
    <xf numFmtId="0" fontId="13" fillId="14" borderId="0" applyAlignment="1" pivotButton="0" quotePrefix="0" xfId="0">
      <alignment vertical="center" wrapText="1"/>
    </xf>
    <xf numFmtId="0" fontId="13" fillId="14" borderId="0" applyAlignment="1" pivotButton="0" quotePrefix="0" xfId="0">
      <alignment horizontal="center" vertical="center" wrapText="1"/>
    </xf>
    <xf numFmtId="0" fontId="18" fillId="0" borderId="0" pivotButton="0" quotePrefix="0" xfId="0"/>
    <xf numFmtId="0" fontId="18" fillId="0" borderId="0" applyAlignment="1" pivotButton="0" quotePrefix="0" xfId="0">
      <alignment wrapText="1"/>
    </xf>
    <xf numFmtId="0" fontId="18" fillId="0" borderId="0" applyAlignment="1" pivotButton="0" quotePrefix="0" xfId="0">
      <alignment vertical="center" wrapText="1"/>
    </xf>
    <xf numFmtId="0" fontId="18" fillId="15" borderId="0" applyAlignment="1" pivotButton="0" quotePrefix="0" xfId="0">
      <alignment vertical="center" wrapText="1"/>
    </xf>
    <xf numFmtId="0" fontId="19" fillId="15" borderId="0" applyAlignment="1" pivotButton="0" quotePrefix="0" xfId="0">
      <alignment vertical="center" wrapText="1"/>
    </xf>
    <xf numFmtId="0" fontId="20" fillId="15" borderId="0" applyAlignment="1" pivotButton="0" quotePrefix="0" xfId="0">
      <alignment vertical="center" wrapText="1"/>
    </xf>
    <xf numFmtId="0" fontId="18" fillId="16" borderId="0" applyAlignment="1" pivotButton="0" quotePrefix="0" xfId="0">
      <alignment vertical="center" wrapText="1"/>
    </xf>
    <xf numFmtId="0" fontId="4" fillId="16" borderId="0" applyAlignment="1" pivotButton="0" quotePrefix="0" xfId="0">
      <alignment vertical="center" wrapText="1"/>
    </xf>
    <xf numFmtId="0" fontId="18" fillId="17" borderId="0" applyAlignment="1" pivotButton="0" quotePrefix="0" xfId="0">
      <alignment vertical="center" wrapText="1"/>
    </xf>
    <xf numFmtId="0" fontId="18" fillId="17" borderId="0" applyAlignment="1" pivotButton="0" quotePrefix="0" xfId="0">
      <alignment horizontal="center" vertical="center" wrapText="1"/>
    </xf>
    <xf numFmtId="0" fontId="18" fillId="18" borderId="0" applyAlignment="1" pivotButton="0" quotePrefix="0" xfId="0">
      <alignment vertical="center" wrapText="1"/>
    </xf>
    <xf numFmtId="0" fontId="18" fillId="18"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130"/>
  <sheetViews>
    <sheetView workbookViewId="0">
      <pane ySplit="3" topLeftCell="A4" activePane="bottomLeft" state="frozen"/>
      <selection activeCell="A1" sqref="A1"/>
    </sheetView>
  </sheetViews>
  <sheetFormatPr baseColWidth="8" defaultRowHeight="15"/>
  <cols>
    <col width="12" customWidth="1" style="1" min="1" max="1"/>
    <col width="46" customWidth="1" style="1" min="2" max="2"/>
    <col width="108" customWidth="1" style="1" min="3" max="3"/>
    <col width="12" customWidth="1" style="1" min="4" max="4"/>
  </cols>
  <sheetData>
    <row r="1" ht="43" customHeight="1" s="1">
      <c r="A1" s="6" t="inlineStr">
        <is>
          <t>HYD 제조 AI  |  통합반 온라인 44H 상세 실라버스</t>
        </is>
      </c>
    </row>
    <row r="2" ht="36" customHeight="1" s="1">
      <c r="A2" s="8" t="inlineStr">
        <is>
          <t>11회 × 240분 | 회차마다 이론으로 배우고, 포털에서 써 보고, VS Code에서 직접 만들어 본다</t>
        </is>
      </c>
      <c r="D2" s="10">
        <f>SUM(D13,D24,D34,D44,D55,D67,D78,D89,D100,D110,D122)</f>
        <v/>
      </c>
    </row>
    <row r="3" ht="12" customHeight="1" s="1">
      <c r="A3" s="3" t="n"/>
      <c r="B3" s="3" t="n"/>
      <c r="C3" s="3" t="n"/>
      <c r="D3" s="3" t="n"/>
    </row>
    <row r="4" ht="36" customHeight="1" s="1">
      <c r="A4" s="12" t="inlineStr">
        <is>
          <t>01회차  |  설비 데이터가 판단과 조치로 이어지는 전체 흐름 이해하기</t>
        </is>
      </c>
      <c r="D4" s="14" t="inlineStr">
        <is>
          <t>4H</t>
        </is>
      </c>
    </row>
    <row r="5" ht="29" customHeight="1" s="1">
      <c r="A5" s="17" t="inlineStr">
        <is>
          <t>구분</t>
        </is>
      </c>
      <c r="B5" s="17" t="inlineStr">
        <is>
          <t>제목</t>
        </is>
      </c>
      <c r="C5" s="17" t="inlineStr">
        <is>
          <t>상세 교육 내용</t>
        </is>
      </c>
      <c r="D5" s="17" t="inlineStr">
        <is>
          <t>시간</t>
        </is>
      </c>
    </row>
    <row r="6" ht="108" customHeight="1" s="1">
      <c r="A6" s="22" t="inlineStr">
        <is>
          <t>이론</t>
        </is>
      </c>
      <c r="B6" s="23" t="inlineStr">
        <is>
          <t>학습 내용을 지식 자산으로 전환하는 방법 이해하기</t>
        </is>
      </c>
      <c r="C6" s="19" t="inlineStr">
        <is>
          <t>HYD의 전체 흐름을 보고 이후 실습에서 만들 지식·에이전트·업무 연결의 목표를 확인한다. 단순히 내용을 기록하는 것과 나중에 다시 찾아 활용할 수 있는 지식 자산으로 축적하는 것의 차이를 이해한다. 학습한 개념, 핵심 원리, 참고 자료와 출처, 실습 과정 및 결과를 체계적으로 연결해 기록하는 이유를 배운다. Notion을 활용해 수업이 끝난 뒤에도 지식을 검색·보완·재사용할 수 있는 개인 학습 체계를 마련하는 목적을 살펴본다.</t>
        </is>
      </c>
      <c r="D6" s="25" t="n">
        <v>10</v>
      </c>
    </row>
    <row r="7" ht="77.80000305175781" customHeight="1" s="1">
      <c r="A7" s="30" t="inlineStr">
        <is>
          <t>실습(Notion)</t>
        </is>
      </c>
      <c r="B7" s="31" t="inlineStr">
        <is>
          <t>Notion으로 지식 자산화를 위한 학습노트 만들기</t>
        </is>
      </c>
      <c r="C7" s="27" t="inlineStr">
        <is>
          <t>Notion에서 학습노트 홈과 주제별 카드·페이지를 구성한다. 샘플 개념·출처·실습 결과를 연결하고 검색·보완·재사용할 수 있도록 저장·재열기를 확인한다.</t>
        </is>
      </c>
      <c r="D7" s="33" t="n">
        <v>50</v>
      </c>
    </row>
    <row r="8" ht="93.5" customHeight="1" s="1">
      <c r="A8" s="22" t="inlineStr">
        <is>
          <t>이론</t>
        </is>
      </c>
      <c r="B8" s="23" t="inlineStr">
        <is>
          <t>설비 데이터가 판단으로 이어지는 시스템 구조와 데이터 흐름 이해하기</t>
        </is>
      </c>
      <c r="C8" s="19" t="inlineStr">
        <is>
          <t>선행 SCADA 교육에서 다룬 설비·센서·PLC·관제 화면의 역할을 간단히 복습한다. HYD 시스템의 전체 아키텍처와 L1~L9 레이어, OT·DMZ·IT 영역의 구분과 역할을 학습한다. 센서 데이터가 MQTT·메시지 처리·시계열 DB·분석 서비스를 거쳐 화면과 판단 기능에 활용되는 경로를 살펴본다. 데이터 리니지의 개념을 배우고, 원천 데이터·가공 데이터·이상 이벤트·판단 결과가 어떤 구성요소를 거쳐 생성되는지 살펴본다. 분석 결과가 실제 조치로 이어질 때 명령 게이트웨이와 설비 제어 영역이 필요한 이유도 이해한다.</t>
        </is>
      </c>
      <c r="D8" s="25" t="n">
        <v>50</v>
      </c>
    </row>
    <row r="9" ht="108" customHeight="1" s="1">
      <c r="A9" s="30" t="inlineStr">
        <is>
          <t>실습(포털)</t>
        </is>
      </c>
      <c r="B9" s="31" t="inlineStr">
        <is>
          <t>실습 환경을 시작하고 HYD 포털 둘러보기</t>
        </is>
      </c>
      <c r="C9" s="27" t="inlineStr">
        <is>
          <t>GitHub의 프로젝트 소개(README)로 이 시스템이 무엇이고 어떻게 이루어졌는지 본 뒤, 실습에 필요한 도구 여섯 개(Python · Node.js · VS Code · Git · WSL · Docker)가 각각 무슨 일을 맡는지 알고 직접 설치한다. VS Code에는 AI 코딩 도구인 Codex를 연결한다. 강사를 따라 프로젝트 저장소를 내려받고 시작 명령 한 번으로 여러 서비스를 함께 띄워 실행 상태를 확인한 뒤 HYD 포털을 연다. 홈에서 전체 상태와 시스템이 이어진 모습을 보고, 왼쪽의 일곱 메뉴 묶음을 차례로 열어 앞으로 각 화면에서 무엇을 하게 되는지 확인한다.</t>
        </is>
      </c>
      <c r="D9" s="33" t="n">
        <v>30</v>
      </c>
    </row>
    <row r="10" ht="77.80000305175781" customHeight="1" s="1">
      <c r="A10" s="30" t="inlineStr">
        <is>
          <t>실습(포털)</t>
        </is>
      </c>
      <c r="B10" s="23" t="inlineStr">
        <is>
          <t>설비 이상 발생부터 판단·승인·조치까지 전체 과정 경험하기</t>
        </is>
      </c>
      <c r="C10" s="19" t="inlineStr">
        <is>
          <t>강사를 따라 먼저 지식 관리에 설비 매뉴얼을 넣고, 에이전트가 고장 · 원인 · 조치를 추출해 오면 원문과 맞춰 검토한 뒤 지식으로 적재한다. 이어 결함 시뮬레이션에서 쿨러 열화를 직접 일으켜 경보가 뜨고 처리 건이 생기는 것을 본다. AI가 원인을 가리고 조치를 추천하면 내 작업함에서 운전원으로서 추천과 근거를 읽고 승인한 뒤, 시스템이 설비에 명령을 내리고 다시 관측해 정상으로 돌아온 결과와 따로 남은 정비 요청까지 처리 건에서 따라간다. 단계마다 어떤 정보가 쓰였고 무엇이 다음 단계로 넘어갔는지 비교하며, AI의 추천과 사람의 승인 · 실제 조치가 서로 다른 단계임을 확인한다.</t>
        </is>
      </c>
      <c r="D10" s="25" t="n">
        <v>20</v>
      </c>
    </row>
    <row r="11" ht="109.1999969482422" customHeight="1" s="1">
      <c r="A11" s="22" t="inlineStr">
        <is>
          <t>이론</t>
        </is>
      </c>
      <c r="B11" s="31" t="inlineStr">
        <is>
          <t>설비 데이터에 의미와 관계를 부여하는 온톨로지 이해하기</t>
        </is>
      </c>
      <c r="C11" s="27" t="inlineStr">
        <is>
          <t>센서에서 온도가 상승했다는 사실만으로는 어느 부품에 문제가 있는지, 가능한 원인이 무엇인지, 어떤 조치를 취해야 하는지 알기 어려운 이유를 살펴본다. 개별 수치와 데이터, 데이터에 의미를 부여한 정보, 판단에 활용할 수 있는 지식의 차이를 이해한다. 온톨로지가 대상의 종류·속성·관계·제약을 명시적으로 정의해 공통된 의미로 이해하도록 하는 지식 모델임을 배운다. 설비·센서·부품·증상·원인·조치·근거 문서가 어떻게 연결되는지 살펴보고, 단순한 관계 그림이나 그래프 DB 자체가 온톨로지와 동일한 것은 아니라는 점을 구분한다. 이를 통해 이후 원인 탐색과 근거 기반 판단에 온톨로지가 필요한 이유를 이해한다.</t>
        </is>
      </c>
      <c r="D11" s="33" t="n">
        <v>50</v>
      </c>
    </row>
    <row r="12" ht="118" customHeight="1" s="1">
      <c r="A12" s="30" t="inlineStr">
        <is>
          <t>실습(ARROWS)</t>
        </is>
      </c>
      <c r="B12" s="23" t="inlineStr">
        <is>
          <t>설비 이상과 원인·조치의 관계를 시각화하기</t>
        </is>
      </c>
      <c r="C12" s="19" t="inlineStr">
        <is>
          <t>arrows.app의 노드·관계·레이블 작성 방법을 익힌다. 간단한 설비 이상 사례를 바탕으로 설비·센서·증상·원인·조치를 배치하고 각각의 연결 관계를 직접 그린다. 어떤 대상이 다른 대상과 연결되는지, 관계의 방향을 어떻게 표현하는지 살펴본다. 완성한 관계도를 통해 단순히 정보를 나열하는 방식과 관계를 중심으로 표현하는 방식의 차이를 확인한다. 복잡한 온톨로지 스키마와 제약은 다음 학습에서 다룬다. 이 관계를 다음 회차에서 식별자와 속성을 갖춘 모델로 옮겨 실제 질의로 확인한다.</t>
        </is>
      </c>
      <c r="D12" s="25" t="n">
        <v>30</v>
      </c>
    </row>
    <row r="13" ht="32" customHeight="1" s="1">
      <c r="A13" s="35" t="inlineStr">
        <is>
          <t>회차 합계</t>
        </is>
      </c>
      <c r="D13" s="37">
        <f>SUM(D6:D12)</f>
        <v/>
      </c>
    </row>
    <row r="14" ht="13.5" customHeight="1" s="1">
      <c r="A14" s="3" t="n"/>
      <c r="B14" s="3" t="n"/>
      <c r="C14" s="3" t="n"/>
      <c r="D14" s="3" t="n"/>
    </row>
    <row r="15" ht="36" customHeight="1" s="1">
      <c r="A15" s="12" t="inlineStr">
        <is>
          <t>02회차  |  설비와 데이터의 관계를 체계화해 필요한 정보 찾기</t>
        </is>
      </c>
      <c r="D15" s="14" t="inlineStr">
        <is>
          <t>4H</t>
        </is>
      </c>
    </row>
    <row r="16" ht="29" customHeight="1" s="1">
      <c r="A16" s="17" t="inlineStr">
        <is>
          <t>구분</t>
        </is>
      </c>
      <c r="B16" s="17" t="inlineStr">
        <is>
          <t>제목</t>
        </is>
      </c>
      <c r="C16" s="17" t="inlineStr">
        <is>
          <t>상세 교육 내용</t>
        </is>
      </c>
      <c r="D16" s="17" t="inlineStr">
        <is>
          <t>시간</t>
        </is>
      </c>
    </row>
    <row r="17" ht="136" customHeight="1" s="1">
      <c r="A17" s="22" t="inlineStr">
        <is>
          <t>이론</t>
        </is>
      </c>
      <c r="B17" s="31" t="inlineStr">
        <is>
          <t>클래스와 인스턴스를 통해 현장 정보의 구조 이해하기</t>
        </is>
      </c>
      <c r="C17" s="27" t="inlineStr">
        <is>
          <t>앞서 그린 관계도에 같은 대상의 식별 기준을 정하고, 질문에 답할 수 있는 그래프를 만든다. 온톨로지에서 클래스·인스턴스·속성·관계의 정확한 정의와 역할을 학습한다. 클래스가 공통 특성을 가진 대상의 유형을 표현하고, 인스턴스는 그 유형에 속하는 실제 개별 대상을 나타낸다는 점을 살펴본다. 설비·센서·부품과 실제 설비 한 대·온도 센서 하나·쿨러를 비교하며 구분한다. 클래스 계층과 상속의 기초, 데이터 속성과 객체 간 관계의 차이, 속성값과 인스턴스의 구별, 관계 유형·방향·카디널리티(1:1, 1:N, N:M)를 배운다. 언제 새로운 클래스를 정의하고 언제 속성이나 관계로 표현해야 하는지 구체적인 설비 사례로 비교한다.</t>
        </is>
      </c>
      <c r="D17" s="33" t="n">
        <v>50</v>
      </c>
    </row>
    <row r="18" ht="93.5" customHeight="1" s="1">
      <c r="A18" s="22" t="inlineStr">
        <is>
          <t>이론</t>
        </is>
      </c>
      <c r="B18" s="23" t="inlineStr">
        <is>
          <t>일관된 지식 구조를 만들기 위한 온톨로지 스키마 설계 원리 이해하기</t>
        </is>
      </c>
      <c r="C18" s="19" t="inlineStr">
        <is>
          <t>온톨로지 스키마가 클래스 · 속성 · 관계 · 제약을 일관되게 정의하는 구조임을 배운다. 클래스 이름과 의미, 속성명 · 자료형 · 필수 여부, 식별자, 관계의 시작 · 종료 클래스, 카디널리티와 유효한 연결 조건을 살펴본다. 공통 식별자를 활용해 동일한 대상을 구분하는 방법, 스키마와 인스턴스 데이터의 차이, 스키마가 없는 데이터 연결에서 발생할 수 있는 의미 불일치를 살펴본다. 간단한 설비 모델을 스키마 정의로 발전시키는 과정을 단계별로 살펴보고, 실제 설비 지식 모델이 설비 · 진단 · 판단 · 성과 영역의 클래스로 나뉘어 정의된 모습도 본다.</t>
        </is>
      </c>
      <c r="D18" s="25" t="n">
        <v>40</v>
      </c>
    </row>
    <row r="19" ht="77.80000305175781" customHeight="1" s="1">
      <c r="A19" s="22" t="inlineStr">
        <is>
          <t>이론</t>
        </is>
      </c>
      <c r="B19" s="31" t="inlineStr">
        <is>
          <t>그래프 DB를 활용해 연결된 지식을 저장하고 조회하는 방법 이해하기</t>
        </is>
      </c>
      <c r="C19" s="27" t="inlineStr">
        <is>
          <t>그래프 DB의 기본 개념과 노드·관계·속성 구조를 학습하고 관계형 DB의 테이블·행·조인과 비교한다. 온톨로지 스키마와 Neo4j의 레이블·관계 유형·DB 제약 조건을 구분한다. Neo4j Browser의 역할을 살펴보고 Cypher에서 노드와 관계를 표현하는 문법을 살펴본다. MATCH·WHERE·RETURN을 통한 조회, CREATE를 통한 생성, MERGE를 통한 기존 대상 조회 또는 생성을 예제로 학습한다.</t>
        </is>
      </c>
      <c r="D19" s="33" t="n">
        <v>25</v>
      </c>
    </row>
    <row r="20" ht="123" customHeight="1" s="1">
      <c r="A20" s="30" t="inlineStr">
        <is>
          <t>실습(Neo4j)</t>
        </is>
      </c>
      <c r="B20" s="23" t="inlineStr">
        <is>
          <t>Cypher로 그래프를 생성·조회·수정·삭제하고 설비 관계 탐색하기</t>
        </is>
      </c>
      <c r="C20" s="19" t="inlineStr">
        <is>
          <t>Neo4j Browser의 연결·쿼리 실행·그래프와 표 보기 방법을 익힌다. 작은 예제에서 CREATE·MATCH·WHERE·RETURN·MERGE·SET으로 노드와 관계를 생성·조회·수정하고 그래프를 클릭해 속성을 확인한다. RETURN의 대상에 따른 그래프·표 결과를 비교한다. DELETE·DETACH DELETE 후 재조회해 연습 데이터를 정리한다. 이어 제공 설비 예제에서 구성 요소·센서·부품의 연결을 한 단계·여러 단계 경로로 조회하고 조건·집계 결과를 원래 행과 대조한다. 실습용 예제 DB와 포털 기준 DB를 구분한다.</t>
        </is>
      </c>
      <c r="D20" s="25" t="n">
        <v>25</v>
      </c>
    </row>
    <row r="21" ht="65" customHeight="1" s="1">
      <c r="A21" s="30" t="inlineStr">
        <is>
          <t>실습(포털)</t>
        </is>
      </c>
      <c r="B21" s="31" t="inlineStr">
        <is>
          <t>설비 지식의 구조와 연결 관계 탐색하기</t>
        </is>
      </c>
      <c r="C21" s="27" t="inlineStr">
        <is>
          <t>강사를 따라 포털 지식 지도에서 설비를 선택하고 연결된 센서 · 부품을 펼친다. 노드를 눌러 식별자와 속성을 확인하고 관계의 방향을 읽는다. 같은 센서 이름과 서로 다른 식별자를 구분하며, 앞 실습의 Cypher 예제 그래프와 포털의 기준 지도를 비교한다.</t>
        </is>
      </c>
      <c r="D21" s="33" t="n">
        <v>20</v>
      </c>
    </row>
    <row r="22" ht="108" customHeight="1" s="1">
      <c r="A22" s="30" t="inlineStr">
        <is>
          <t>실습(VS Code)</t>
        </is>
      </c>
      <c r="B22" s="23" t="inlineStr">
        <is>
          <t>현장 정보를 체계화하는 온톨로지 직접 설계하기</t>
        </is>
      </c>
      <c r="C22" s="19" t="inlineStr">
        <is>
          <t>제공 설비·센서·부품 원자료를 읽고 설비별 센서와 공용 부품을 찾을 질문을 정한다. VS Code에서 목표·자료·제약·확인 사례를 자기 말로 정리하고 AI와 모델을 설계한다. 같은 센서 이름이 다른 설비에 쓰인 경우, 별칭·중복·누락을 구분하여 고유 ID·단위·관계 방향을 정한다. schema.json과 graph.json을 작성하고 구조 검사와 질문별 원자료 대조를 따로 수행한다.</t>
        </is>
      </c>
      <c r="D22" s="25" t="n">
        <v>40</v>
      </c>
    </row>
    <row r="23" ht="108" customHeight="1" s="1">
      <c r="A23" s="30" t="inlineStr">
        <is>
          <t>실습(VS Code)</t>
        </is>
      </c>
      <c r="B23" s="31" t="inlineStr">
        <is>
          <t>설계한 온톨로지를 그래프 DB에 구현하고 검증하기</t>
        </is>
      </c>
      <c r="C23" s="27" t="inlineStr">
        <is>
          <t>앞 실습에서 설계한 설비 · 센서 · 부품 모델을 그래프 DB에 적재하는 코드와 조회문을 직접 작성한다. 스키마의 식별자와 관계 방향이 그래프의 노드 · 관계로 어떻게 옮겨지는지 다시 짚는다. 별도 랩 DB에서 설비별 센서 · 부품과 공용 부품의 사용 설비를 조회해 원자료와 대조한다. 같은 자료를 다시 적재해도 중복되지 않고 이름이 바뀌어도 같은 ID가 유지되는지 확인한다. 전체 데이터를 지우지 않고 필요한 부분을 수정하며 코드 · 질의 · 확인 결과를 저장한다. 끝으로 직접 만든 모델을 포털의 기준 지도와 비교해 식별자와 관계 방향이 어디서 같고 다른지 확인한다. 다음 회차에는 이 모델에 작업 절차와 판단 조건을 연결한다.</t>
        </is>
      </c>
      <c r="D23" s="33" t="n">
        <v>40</v>
      </c>
    </row>
    <row r="24" ht="32" customHeight="1" s="1">
      <c r="A24" s="35" t="inlineStr">
        <is>
          <t>회차 합계</t>
        </is>
      </c>
      <c r="D24" s="37">
        <f>SUM(D17:D23)</f>
        <v/>
      </c>
    </row>
    <row r="25" ht="13.5" customHeight="1" s="1">
      <c r="A25" s="3" t="n"/>
      <c r="B25" s="3" t="n"/>
      <c r="C25" s="3" t="n"/>
      <c r="D25" s="3" t="n"/>
    </row>
    <row r="26" ht="36" customHeight="1" s="1">
      <c r="A26" s="12" t="inlineStr">
        <is>
          <t>03회차  |  설비 상황에 맞는 안전하고 효과적인 조치 선택하기</t>
        </is>
      </c>
      <c r="D26" s="14" t="inlineStr">
        <is>
          <t>4H</t>
        </is>
      </c>
    </row>
    <row r="27" ht="29" customHeight="1" s="1">
      <c r="A27" s="17" t="inlineStr">
        <is>
          <t>구분</t>
        </is>
      </c>
      <c r="B27" s="17" t="inlineStr">
        <is>
          <t>제목</t>
        </is>
      </c>
      <c r="C27" s="17" t="inlineStr">
        <is>
          <t>상세 교육 내용</t>
        </is>
      </c>
      <c r="D27" s="17" t="inlineStr">
        <is>
          <t>시간</t>
        </is>
      </c>
    </row>
    <row r="28" ht="136" customHeight="1" s="1">
      <c r="A28" s="22" t="inlineStr">
        <is>
          <t>이론</t>
        </is>
      </c>
      <c r="B28" s="23" t="inlineStr">
        <is>
          <t>설비 상태에 맞는 안전한 조치 절차와 수행 기준 이해하기</t>
        </is>
      </c>
      <c r="C28" s="19" t="inlineStr">
        <is>
          <t>설비 관계를 안다는 것만으로 조치를 실행할 수 없으므로, 허용 조건과 선택 근거를 구분한다. 설비 고장 원인을 진단하는 것과 실제 조치 방법을 결정하는 것이 서로 다른 단계임을 이해한다. SOP(Standard Operating Procedure)의 목적과 역할을 배우고, 적용 대상·작업 전제 조건·안전 조건·준비사항·수행 단계·금지 사항·담당 역할·완료 확인 기준 등 SOP의 구성요소를 살펴본다. 작업 절차의 순서와 조건을 구분하고, 동일한 조치도 설비 운전 상태에 따라 수행 가능 여부가 달라지는 이유를 학습한다. 설비 지식 모델에서 고장 유형·원인·조치 방법·작업 단계·근거 매뉴얼이 연결되는 구조와, 즉시 완화·근본 조치·예방 조치의 차이를 살펴본다.</t>
        </is>
      </c>
      <c r="D28" s="25" t="n">
        <v>35</v>
      </c>
    </row>
    <row r="29" ht="109.1999969482422" customHeight="1" s="1">
      <c r="A29" s="22" t="inlineStr">
        <is>
          <t>이론</t>
        </is>
      </c>
      <c r="B29" s="31" t="inlineStr">
        <is>
          <t>업무 조건에 따라 적절한 조치를 선택하는 판단 규칙 이해하기</t>
        </is>
      </c>
      <c r="C29" s="27" t="inlineStr">
        <is>
          <t>DMN(Decision Model and Notation)이 업무 의사결정을 명확하게 정의하기 위한 표준이라는 점을 배우고, SOP와 DMN의 차이를 살펴본다. 판단에 필요한 입력 데이터(InputData), 결정(Decision), 결정표(DecisionTable), 규칙(Rule), 조건과 출력의 관계를 학습한다. 비교 연산자·임계값·범위·복수 조건을 이용해 결정표를 구성하는 원리를 살펴본다. 규칙의 중복·누락·상충이 어떤 문제를 일으키는지 알아보고, 여러 규칙이 일치했을 때 결과를 선택하는 Hit Policy의 기본 개념을 배우고, 여러 규칙이 맞을 때 결과를 하나로 고르는 방식을 이 설비의 예로 이해한다. 설비 상태에 따른 조치 허용·제외·감점과 해당 판단의 근거를 표현하는 방법까지 학습한다.</t>
        </is>
      </c>
      <c r="D29" s="33" t="n">
        <v>40</v>
      </c>
    </row>
    <row r="30" ht="93.5" customHeight="1" s="1">
      <c r="A30" s="22" t="inlineStr">
        <is>
          <t>이론</t>
        </is>
      </c>
      <c r="B30" s="23" t="inlineStr">
        <is>
          <t>조치의 효과를 여러 성과 관점에서 평가하는 방법 이해하기</t>
        </is>
      </c>
      <c r="C30" s="19" t="inlineStr">
        <is>
          <t>BSC(Balanced Scorecard)의 목적과 재무·고객·내부 프로세스·학습과 성장이라는 네 관점을 배운다. 전략 목표와 KPI(Key Performance Indicator)의 차이, 지표의 정의·단위·목표값·측정 주기·실제값·목표 대비 차이를 살펴본다. 전략맵에서 목표 사이의 인과관계를 표현하는 방식과 선행 지표·후행 지표의 차이를 이해한다. 설비 복구 시간·생산 차질·전력비·품질·안전처럼 서로 상충할 수 있는 성과를 비교한다. 조치 가능 여부를 판단하는 규칙과, 허용된 조치의 효과·비용을 평가하는 기준을 구분하고, 가정값을 변경해 결과를 비교하는 What-if 분석의 목적과 한계를 살펴본다.</t>
        </is>
      </c>
      <c r="D30" s="25" t="n">
        <v>35</v>
      </c>
    </row>
    <row r="31" ht="134" customHeight="1" s="1">
      <c r="A31" s="30" t="inlineStr">
        <is>
          <t>실습(포털)</t>
        </is>
      </c>
      <c r="B31" s="31" t="inlineStr">
        <is>
          <t>운전 조건과 성과 기준에 따른 조치 결과 비교하기</t>
        </is>
      </c>
      <c r="C31" s="27" t="inlineStr">
        <is>
          <t>강사를 따라 조치 방법 화면에서 쿨러 조치의 수행 단계 · 담당 · 승인 역할과 연결된 고장 유형을 읽고, 앞 이론에서 배운 SOP의 구성요소가 화면의 어디에 담겼는지 찾는다. 이어 조치 판단 규칙 화면에서 설비와 이상 상황을 고르고 판단을 실행해 입력값 · 적용 규칙 · 조치 후보를 확인한다. 설비 상태나 운전 모드를 바꿔 다시 실행하며 어떤 규칙이 적용되어 어떤 조치가 허용 · 제외되는지 비교한다. 조건별 손익 화면에서 값 하나를 바꿔 다시 계산해 허용된 조치의 예상 손익과 순위가 어떻게 달라지는지 보고, 성과 지표 화면에서 KPI 목표를 바꿔 판정을 시험해 본다. 결과마다 근거와 입력 단위를 확인하고, 시험값을 원래대로 되돌린 뒤 원본 업무 데이터와 지식이 그대로인지 확인해 시험값 변경과 실제 설비 조치를 구분한다.</t>
        </is>
      </c>
      <c r="D31" s="33" t="n">
        <v>40</v>
      </c>
    </row>
    <row r="32" ht="118" customHeight="1" s="1">
      <c r="A32" s="30" t="inlineStr">
        <is>
          <t>실습(VS Code)</t>
        </is>
      </c>
      <c r="B32" s="23" t="inlineStr">
        <is>
          <t>작업 절차와 판단 조건을 연결해 조치 기준 만들기</t>
        </is>
      </c>
      <c r="C32" s="19" t="inlineStr">
        <is>
          <t>VS Code에서 AI와 함께, 작업 조건이 정리된 SOP 자료를 읽는다. 2회차에 만든 설비 모델과 식별자를 재사용하고, 제공된 고장 유형과 조치 방법을 연결한다. SOP와 결정표가 각각 무엇을 담는지 다시 짚은 뒤, 작업의 적용 조건 · 금지 조건 · 수행 단계 · 완료 기준을 구분해 구조화하고, 이를 DMN 형태의 입력 조건과 판단 결과로 구성한다. 조치 방법과 단계, 판단 규칙의 의미적 관계를 정리해 SOP 구조와 결정표 자료를 완성한다. 원문 문서에서 이런 조건을 자동으로 뽑아내는 인제스천은 4회차에 다룬다.</t>
        </is>
      </c>
      <c r="D32" s="25" t="n">
        <v>45</v>
      </c>
    </row>
    <row r="33" ht="108" customHeight="1" s="1">
      <c r="A33" s="30" t="inlineStr">
        <is>
          <t>실습(VS Code)</t>
        </is>
      </c>
      <c r="B33" s="31" t="inlineStr">
        <is>
          <t>설비 조건별 최적의 조치를 비교하는 판단 기능 만들기</t>
        </is>
      </c>
      <c r="C33" s="27" t="inlineStr">
        <is>
          <t>앞 실습의 조건표를 읽는 조치 판정 기능을 작성한다. 적용 대상과 복합 조건을 구분하고 경고 · 감점 · 제외 · 정보 부족을 이유와 함께 반환한다. 허용 후보의 비용 · 생산 · 품질 · 에너지 손실을 주어진 비교 산식으로 계산해 견준다. 정상 · 경계 · 복수 조건 · 모두 제외 · 필수값 누락 사례를 대조한다. 이 비교값은 후보를 견주기 위한 계산이고 포털 성과 지표의 점수와는 다른 것임을 구분한다. 다음 회차에는 조건의 원문 근거를 검토한다.</t>
        </is>
      </c>
      <c r="D33" s="33" t="n">
        <v>45</v>
      </c>
    </row>
    <row r="34" ht="32" customHeight="1" s="1">
      <c r="A34" s="35" t="inlineStr">
        <is>
          <t>회차 합계</t>
        </is>
      </c>
      <c r="D34" s="37">
        <f>SUM(D28:D33)</f>
        <v/>
      </c>
    </row>
    <row r="35" ht="13.5" customHeight="1" s="1">
      <c r="A35" s="3" t="n"/>
      <c r="B35" s="3" t="n"/>
      <c r="C35" s="3" t="n"/>
      <c r="D35" s="3" t="n"/>
    </row>
    <row r="36" ht="36" customHeight="1" s="1">
      <c r="A36" s="12" t="inlineStr">
        <is>
          <t>04회차  |  현장 자료를 검증해 신뢰할 수 있는 판단 근거 만들기</t>
        </is>
      </c>
      <c r="D36" s="14" t="inlineStr">
        <is>
          <t>4H</t>
        </is>
      </c>
    </row>
    <row r="37" ht="29" customHeight="1" s="1">
      <c r="A37" s="17" t="inlineStr">
        <is>
          <t>구분</t>
        </is>
      </c>
      <c r="B37" s="17" t="inlineStr">
        <is>
          <t>제목</t>
        </is>
      </c>
      <c r="C37" s="17" t="inlineStr">
        <is>
          <t>상세 교육 내용</t>
        </is>
      </c>
      <c r="D37" s="17" t="inlineStr">
        <is>
          <t>시간</t>
        </is>
      </c>
    </row>
    <row r="38" ht="208" customHeight="1" s="1">
      <c r="A38" s="22" t="inlineStr">
        <is>
          <t>이론</t>
        </is>
      </c>
      <c r="B38" s="23" t="inlineStr">
        <is>
          <t>현장 자료를 온톨로지 지식으로 전환하는 과정 이해하기</t>
        </is>
      </c>
      <c r="C38" s="19" t="inlineStr">
        <is>
          <t>앞서 사용한 조치 조건을 문서에서 찾아 검토하고, 다시 출처를 확인할 수 있는 지식으로 만든다. 인제스천(Ingestion)의 의미와 필요성을 학습하고, 매뉴얼·SOP 문서·업무 DB 등 서로 다른 형태의 원천 자료를 지식으로 전환하는 전체 과정을 이해한다. 원천 확보와 보관 → 문서 내용 분석 → 증상·원인·부품·조치·판단 조건 등 지식 후보 추출 → 기존 온톨로지 스키마와 식별자에 매핑 → 원문 근거 대조와 사람 검토 → 승인된 지식 적재 → 그래프 관계·출처 조회의 단계별 역할을 살펴본다. LLM의 문서 이해 및 구조화 출력 원리를 살펴보고, 추출 과정에서 발생할 수 있는 부정 조건 누락·수치/단위 오류·잘못된 관계 추론·근거 없는 내용 생성의 위험을 배운다. 원문 페이지·문단·인용 구간, 문서 식별자와 개정 이력, 지식 소유 관계 및 변경 추적이 필요한 이유를 살펴본다. 검색해 문서를 참고하는 방식과 구조화된 지식으로 등록하는 방식의 차이도 이해한다. 마지막으로 설비의 원인·절차·규칙처럼 상대적으로 안정적인 지식과 센서·재고·운전시간처럼 지속적으로 변하는 값을 구분하고, 실제 값은 업무 DB·시계열 DB 등 원천에서 조회하도록 연결하는 원리를 살펴본다.</t>
        </is>
      </c>
      <c r="D38" s="25" t="n">
        <v>40</v>
      </c>
    </row>
    <row r="39" ht="118.5" customHeight="1" s="1">
      <c r="A39" s="30" t="inlineStr">
        <is>
          <t>실습(포털)</t>
        </is>
      </c>
      <c r="B39" s="31" t="inlineStr">
        <is>
          <t>현장 매뉴얼에서 판단 근거를 추출하고 검증된 지식으로 등록하기</t>
        </is>
      </c>
      <c r="C39" s="27" t="inlineStr">
        <is>
          <t>강사를 따라 지식 관리에서 제공된 설비 정비 매뉴얼을 올려 원문을 미리 보고 보관한 뒤, 에이전트에게 추출을 요청해 진행 상태와 결과를 연다. 추출된 작업 절차 · 고장 유형 · 원인 · 조치 방법 · 수행 조건 · 규칙과 원문 구간을 나란히 놓고, 특히 부정 조건 · 단위 · 작업 단계 순서 · 대상 설비를 원문과 비교한다. 잘못 옮겨진 단계는 원문대로 고치고, 원문에 없는 절차는 제외하며, 비어 있는 선택은 원문이 정한 값으로 채운다. 검토를 통과한 후보가 기존 온톨로지의 어떤 클래스 · 인스턴스 · 관계에 연결되는지 확인하고 검토 완료를 표시해 그래프 DB에 적재한다. 지식 지도에서 등록된 조치 · 원인 · 근거 문서의 연결과 원문 출처를 찾는다.</t>
        </is>
      </c>
      <c r="D39" s="33" t="n">
        <v>70</v>
      </c>
    </row>
    <row r="40" ht="87.5" customHeight="1" s="1">
      <c r="A40" s="30" t="inlineStr">
        <is>
          <t>실습(포털)</t>
        </is>
      </c>
      <c r="B40" s="31" t="inlineStr">
        <is>
          <t>업무 DB 구조를 지식에 연결하고 현재값과 구분하기</t>
        </is>
      </c>
      <c r="C40" s="27" t="inlineStr">
        <is>
          <t>강사를 따라 지식 관리의 업무 데이터 연결에서 제공된 옛 설비 DB의 구조 파일을 미리 보고, 표마다 출처 시스템을 정한 뒤 지식에 연결할 열을 골라 적재한다. 데이터 연결 화면에서 그 표 · 열이 어느 클래스에 이어졌는지와 샘플 행을 확인하고, 설비와 질문을 골라 질의를 직접 실행해 문서에서 온 판단 기준과 업무 DB · 시계열 DB에서 조회되는 현재값을 나란히 놓고 어떻게 다른지 확인한다. 연결한 배치를 되돌려 원래 상태로 돌아오는지 본다.</t>
        </is>
      </c>
      <c r="D40" s="33" t="n">
        <v>10</v>
      </c>
    </row>
    <row r="41" ht="128" customHeight="1" s="1">
      <c r="A41" s="30" t="inlineStr">
        <is>
          <t>실습(VS Code)</t>
        </is>
      </c>
      <c r="B41" s="23" t="inlineStr">
        <is>
          <t>문서에서 근거 있는 지식을 추출하는 기능 만들기</t>
        </is>
      </c>
      <c r="C41" s="19" t="inlineStr">
        <is>
          <t>포털에서 본 문서 지식화 과정을 VS Code의 독립 랩으로 구현한다. 원문에서 작업 순서 · 조건 · 단위 · 금지 사항을 추출하고 문서 ID · 절 · 인용을 함께 반환하는 기능을 만든다. 생성된 후보를 원문과 대조하여 채택 · 수정 · 제외 · 보류를 기록한다. 다른 문서에도 적용해 누락과 근거 없는 생성을 확인한다.</t>
        </is>
      </c>
      <c r="D41" s="25" t="n">
        <v>45</v>
      </c>
    </row>
    <row r="42" ht="148" customHeight="1" s="1">
      <c r="A42" s="30" t="inlineStr">
        <is>
          <t>실습(VS Code)</t>
        </is>
      </c>
      <c r="B42" s="31" t="inlineStr">
        <is>
          <t>검토한 문서 지식을 그래프 DB에 반영하고 관계 확인하기</t>
        </is>
      </c>
      <c r="C42" s="27" t="inlineStr">
        <is>
          <t>앞 실습에서 검토해 승인한 후보를 기존 ID와 관계에 연결하는 적재·조회 기능을 작성한다. 처음 정한 질문으로 설비·조치·작업 조건·문서 근거를 조회하고 원문과 대조한다. 보류 후보 제외·반복 적재·다른 문서의 추가 반영을 확인한다. 질문·스키마·원문·추출/검토 기록·적재 코드·조회 결과를 연결해 하나의 온톨로지 구축 결과로 저장한다. 어떤 질문에 답할 수 있고 현재값이나 추가 자료가 필요한 질문은 무엇인지 설명한다. 다음 에이전트 실습이 이 지식과 조회 기능을 활용한다.</t>
        </is>
      </c>
      <c r="D42" s="33" t="n">
        <v>45</v>
      </c>
    </row>
    <row r="43" ht="148" customHeight="1" s="1">
      <c r="A43" s="22" t="inlineStr">
        <is>
          <t>이론</t>
        </is>
      </c>
      <c r="B43" s="23" t="inlineStr">
        <is>
          <t>온톨로지 설계부터 지식 활용까지의 전체 과정 정리하기</t>
        </is>
      </c>
      <c r="C43" s="19" t="inlineStr">
        <is>
          <t>필요한 질문 정의→클래스 · 관계 · 식별자 설계→그래프 구현→SOP · 판단 조건 연결→문서 인제스천→원문 검토 · 적재→근거 조회를 하나의 구축 과정으로 정리한다. 각 단계에서 직접 만든 결과와 설계 이유, 다른 문서를 추가할 때 바꿀 곳을 설명한다. 그래프 DB에 넣었다는 사실만으로 온톨로지의 의미가 옳거나 자동 추론이 완성되는 것은 아님을 구분한다. 온톨로지가 답할 관계 · 조건 · 출처 질문과 현재값 조회 · 판단 규칙 · 사람 확인이 필요한 질문의 경계를 살펴본다. 구축한 지식을 다음 에이전트의 근거로 연결한다.</t>
        </is>
      </c>
      <c r="D43" s="25" t="n">
        <v>30</v>
      </c>
    </row>
    <row r="44" ht="32" customHeight="1" s="1">
      <c r="A44" s="35" t="inlineStr">
        <is>
          <t>회차 합계</t>
        </is>
      </c>
      <c r="D44" s="37">
        <f>SUM(D38:D43)</f>
        <v/>
      </c>
    </row>
    <row r="45" s="1"/>
    <row r="46" ht="39" customHeight="1" s="1">
      <c r="A46" s="43" t="inlineStr">
        <is>
          <t>05회차  |  현장 지식을 활용해 실제 문제를 해결하는 AI 에이전트 만들기</t>
        </is>
      </c>
      <c r="D46" s="44" t="inlineStr">
        <is>
          <t>4H</t>
        </is>
      </c>
    </row>
    <row r="47" ht="29" customHeight="1" s="1">
      <c r="A47" s="49" t="inlineStr">
        <is>
          <t>구분</t>
        </is>
      </c>
      <c r="B47" s="49" t="inlineStr">
        <is>
          <t>제목</t>
        </is>
      </c>
      <c r="C47" s="49" t="inlineStr">
        <is>
          <t>상세 교육 내용</t>
        </is>
      </c>
      <c r="D47" s="49" t="inlineStr">
        <is>
          <t>시간(분)</t>
        </is>
      </c>
    </row>
    <row r="48" ht="148" customHeight="1" s="1">
      <c r="A48" s="56" t="inlineStr">
        <is>
          <t>이론</t>
        </is>
      </c>
      <c r="B48" s="55" t="inlineStr">
        <is>
          <t>질문하는 AI와 일하는 AI의 차이 이해하기</t>
        </is>
      </c>
      <c r="C48" s="53" t="inlineStr">
        <is>
          <t>구축한 온톨로지를 활용하는 원인·점검 에이전트에서 출발해 품질 접수, 데이터 분석·시각화, 회의 후속 업무, 자기 자료 퀴즈, 작성·검토 협업의 서로 다른 목적과 결과를 비교한다. LLM 응답·RAG 근거 검색·Agent의 목표·도구·반복 실행을 구분하고 요청 해석→계획→도구 호출→관찰→종료를 살펴본다. 어떤 작업은 정해진 코드로 충분하고 어떤 작업은 자료 해석과 도구 선택이 필요한지 판단한다. 연결된 도구·자료·권한과 검증 기준이 실제 수행 범위를 결정함을 이해하고 각 활용을 이후 실습에 연결한다.</t>
        </is>
      </c>
      <c r="D48" s="54" t="n">
        <v>40</v>
      </c>
    </row>
    <row r="49" ht="69" customHeight="1" s="1">
      <c r="A49" s="63" t="inlineStr">
        <is>
          <t>이론</t>
        </is>
      </c>
      <c r="B49" s="130" t="inlineStr">
        <is>
          <t>에이전트가 다양한 정보와 도구를 사용하는 원리 이해하기</t>
        </is>
      </c>
      <c r="C49" s="131" t="inlineStr">
        <is>
          <t>온톨로지(설비·증상·원인 관계), 시계열 DB(실제 시각의 측정값), 업무 DB(정비·재고), SOP(작업 방법)의 역할을 구분한다. 지식과 현재값을 혼동하지 않는 방법, 근거 부족과 도구 호출 실패·권한 제한 시 멈춤 조건, 구조화 출력과 실행 기록을 살펴본다.</t>
        </is>
      </c>
      <c r="D49" s="132" t="n">
        <v>40</v>
      </c>
    </row>
    <row r="50" ht="108" customHeight="1" s="1">
      <c r="A50" s="64" t="inlineStr">
        <is>
          <t>실습(포털)</t>
        </is>
      </c>
      <c r="B50" s="55" t="inlineStr">
        <is>
          <t>업무 에이전트를 구성하고 질문의 도구·근거 확인하기</t>
        </is>
      </c>
      <c r="C50" s="53" t="inlineStr">
        <is>
          <t>강사를 따라 에이전트 화면에서 기준 에이전트의 목표 · 지침 · 사용 도구를 읽은 뒤 나의 에이전트를 새로 만든다. 이름 · 역할 · 목표 · 성격을 쓰고, 지식 그래프 · 업무 DB · 판단 도구 가운데 원인 근거를 찾는 데 필요한 도구를 고른다. 에이전트에게 질문 화면에서 강의에서 다룬 쿨러 이상 질문을 직접 물어, 답과 근거, 처리 과정에 남은 도구 호출의 입력 · 결과 · 관측 시각을 대조한다. 같은 질문을 기준 에이전트에게도 물어 설정에 따라 답과 근거가 어떻게 달라지는지 비교하고, 지식에 없는 질문을 던져 지어내지 않고 답할 수 없다고 하는지 확인한다. 답이 길어진 것보다 근거가 확인되고 모르는 항목이 구분되는지를 기준으로 본다.</t>
        </is>
      </c>
      <c r="D50" s="54" t="n">
        <v>30</v>
      </c>
    </row>
    <row r="51" ht="72" customHeight="1" s="1">
      <c r="A51" s="64" t="inlineStr">
        <is>
          <t>실습(포털)</t>
        </is>
      </c>
      <c r="B51" s="55" t="inlineStr">
        <is>
          <t>센서 변화와 경보 시점을 실시간 화면에서 찾기</t>
        </is>
      </c>
      <c r="C51" s="53" t="inlineStr">
        <is>
          <t>강사를 따라 결함 시뮬레이션에서 쿨러 열화를 일으킨 뒤 실시간 모니터링에서 그 설비를 골라 유온 · 냉각 효율 · 이상 점수의 변화를 읽는다. 값이 바뀌기 시작한 시각과 경보가 뜬 시각을 찾아 처리 건에 남은 관측 시각과 맞춰 보고, 이상 확인 · 조치 화면에서 에이전트가 근거로 든 측정값이 같은 구간의 값인지 확인한다. 함께 움직인 값을 곧바로 원인으로 단정하지 않는지 짚는다.</t>
        </is>
      </c>
      <c r="D51" s="54" t="n">
        <v>10</v>
      </c>
    </row>
    <row r="52" ht="108" customHeight="1" s="1">
      <c r="A52" s="129" t="inlineStr">
        <is>
          <t>실습(VS Code)</t>
        </is>
      </c>
      <c r="B52" s="130" t="inlineStr">
        <is>
          <t>설비 이상 원인을 추론하고 다음 점검 작업 결정하기</t>
        </is>
      </c>
      <c r="C52" s="131" t="inlineStr">
        <is>
          <t>포털에서 확인한 도구 호출과 근거 제시를 독립 에이전트로 구현한다. 설비 그래프 조회와 센서 입력을 읽는 함수를 연결하고 요청 해석·도구 선택·결과 확인·답변의 실행 기록을 살펴본다. 원인 후보·증거·다음 점검 순서를 출력하며 오래된 값·표본 부족·도구 오류를 확인 필요로 구분한다. 다른 설비 사례에도 적용해 근거와 가설이 구별되는지 검증한다.</t>
        </is>
      </c>
      <c r="D52" s="132" t="n">
        <v>40</v>
      </c>
    </row>
    <row r="53" ht="128" customHeight="1" s="1">
      <c r="A53" s="64" t="inlineStr">
        <is>
          <t>실습(VS Code)</t>
        </is>
      </c>
      <c r="B53" s="55" t="inlineStr">
        <is>
          <t>품질 불량 접수를 후속 업무로 연결하기</t>
        </is>
      </c>
      <c r="C53" s="53" t="inlineStr">
        <is>
          <t>앞 에이전트의 실행 구조를 재사용하여 품질 접수 업무에 적용한다. 불량 접수 메시지와 분류 기준으로 품질 유형·추가 확인 항목·담당 부서·대응 초안을 구조화한다. 표현이 다른 접수와 정보가 빠진 접수를 비교하고, 미확정 원인을 단정하거나 담당자를 지어내지 않는지 원자료로 확인한다. 품질 대응 카드와 근거를 저장하고 설비 점검과 달라진 입력·판정 기준을 설명한다.</t>
        </is>
      </c>
      <c r="D53" s="54" t="n">
        <v>40</v>
      </c>
    </row>
    <row r="54" ht="108" customHeight="1" s="1">
      <c r="A54" s="129" t="inlineStr">
        <is>
          <t>실습(VS Code)</t>
        </is>
      </c>
      <c r="B54" s="130" t="inlineStr">
        <is>
          <t>여러 센서에서 이상 징후를 찾아 시각화하기</t>
        </is>
      </c>
      <c r="C54" s="131" t="inlineStr">
        <is>
          <t>포털에서 찾은 상승 구간을 이번에는 직접 계산한다. 센서 시계열 DB의 조회 결과나 CSV 파일에서 온도 · 압력 · 시간 변화와 상승 구간을 비교하고 도표를 생성한다. 이상 구간 · 관련 태그 · 조회 기간을 근거와 함께 요약하되 상관관계로 고장 원인을 단정하지 않는 출력을 점검한다. 다음 회차에는 반복하는 작업 방법을 스킬로 정리하고 필요한 도구를 연결한다.</t>
        </is>
      </c>
      <c r="D54" s="132" t="n">
        <v>40</v>
      </c>
    </row>
    <row r="55" ht="29" customHeight="1" s="1">
      <c r="A55" s="66" t="inlineStr">
        <is>
          <t>회차 합계</t>
        </is>
      </c>
      <c r="D55" s="49">
        <f>SUM(D48:D54)</f>
        <v/>
      </c>
    </row>
    <row r="56" s="1"/>
    <row r="57" ht="39" customHeight="1" s="1">
      <c r="A57" s="43" t="inlineStr">
        <is>
          <t>06회차  |  업무 능력을 재사용하고 여러 외부 시스템을 연결하기</t>
        </is>
      </c>
      <c r="D57" s="44" t="inlineStr">
        <is>
          <t>4H</t>
        </is>
      </c>
    </row>
    <row r="58" ht="29" customHeight="1" s="1">
      <c r="A58" s="49" t="inlineStr">
        <is>
          <t>구분</t>
        </is>
      </c>
      <c r="B58" s="49" t="inlineStr">
        <is>
          <t>제목</t>
        </is>
      </c>
      <c r="C58" s="49" t="inlineStr">
        <is>
          <t>상세 교육 내용</t>
        </is>
      </c>
      <c r="D58" s="49" t="inlineStr">
        <is>
          <t>시간(분)</t>
        </is>
      </c>
    </row>
    <row r="59" ht="108" customHeight="1" s="1">
      <c r="A59" s="56" t="inlineStr">
        <is>
          <t>이론</t>
        </is>
      </c>
      <c r="B59" s="55" t="inlineStr">
        <is>
          <t>업무 수행 방법을 재사용 가능한 능력으로 만들기</t>
        </is>
      </c>
      <c r="C59" s="53" t="inlineStr">
        <is>
          <t>앞서 만든 에이전트가 같은 작업을 반복할 수 있도록 지침과 도구의 역할을 구분한다. Agent Skill의 목적, SKILL.md의 작업 목적·호출 조건·입력·출력·순서·예외 지침, SOP의 현장 작업 절차와 에이전트 실행 지침의 차이를 살펴본다. 재사용 지침과 한번의 프롬프트를 구분한다.</t>
        </is>
      </c>
      <c r="D59" s="54" t="n">
        <v>35</v>
      </c>
    </row>
    <row r="60" ht="60" customHeight="1" s="1">
      <c r="A60" s="63" t="inlineStr">
        <is>
          <t>이론</t>
        </is>
      </c>
      <c r="B60" s="130" t="inlineStr">
        <is>
          <t>AI가 여러 시스템의 기능을 사용하는 원리 이해하기</t>
        </is>
      </c>
      <c r="C60" s="131" t="inlineStr">
        <is>
          <t>MCP의 Host·Client·Server·Tool 구성, 도구 목록 발견, 입력 스키마와 응답, stdio·HTTP 연결 방식을 살펴본다. Skill은 수행 방법, MCP는 연결된 실행 도구라는 역할을 명확히 구분한다.</t>
        </is>
      </c>
      <c r="D60" s="132" t="n">
        <v>30</v>
      </c>
    </row>
    <row r="61" ht="108" customHeight="1" s="1">
      <c r="A61" s="56" t="inlineStr">
        <is>
          <t>이론</t>
        </is>
      </c>
      <c r="B61" s="55" t="inlineStr">
        <is>
          <t>여러 도구를 연결할 때 지켜야 할 안전 기준 이해하기</t>
        </is>
      </c>
      <c r="C61" s="53" t="inlineStr">
        <is>
          <t>도구별 읽기 · 쓰기 권한, 파일 접근 범위, 인증 정보, 실패 · 시간 초과와 근거 표시를 살펴본다. 정해진 업무 도구만 고르게 한 포털 환경과, 로컬 VS Code에서 MCP 서버를 직접 연결하는 환경이 권한 · 범위에서 어떻게 다른지 비교한다.</t>
        </is>
      </c>
      <c r="D61" s="54" t="n">
        <v>20</v>
      </c>
    </row>
    <row r="62" ht="87.5" customHeight="1" s="1">
      <c r="A62" s="56" t="inlineStr">
        <is>
          <t>실습(포털)</t>
        </is>
      </c>
      <c r="B62" s="55" t="inlineStr">
        <is>
          <t>포털에서 스킬을 만들어 에이전트에 붙이고 답의 차이 확인하기</t>
        </is>
      </c>
      <c r="C62" s="53" t="inlineStr">
        <is>
          <t>강사를 따라 에이전트 화면의 스킬 탭에서 기준 스킬의 SKILL.md에 적힌 목적 · 호출 조건 · 입력 · 출력 · 순서 · 예외를 읽고, 쿨러 이상 답변에 근거와 확인할 항목을 꼭 남기게 하는 나의 스킬을 새로 쓴다. 5회차에 만든 나의 에이전트에 이 스킬을 붙인 뒤 에이전트에게 질문 화면에서 같은 질문을 다시 물어, 붙이기 전과 후의 답 · 근거 · 처리 과정이 어떻게 달라지는지 비교한다. 스킬을 떼고 다시 물어 그 차이가 스킬에서 왔는지 확인한다.</t>
        </is>
      </c>
      <c r="D62" s="54" t="n">
        <v>15</v>
      </c>
    </row>
    <row r="63" ht="92" customHeight="1" s="1">
      <c r="A63" s="129" t="inlineStr">
        <is>
          <t>실습(포털)</t>
        </is>
      </c>
      <c r="B63" s="130" t="inlineStr">
        <is>
          <t>포털의 업무 도구를 직접 호출하고 에이전트 근거와 대조하기</t>
        </is>
      </c>
      <c r="C63" s="131" t="inlineStr">
        <is>
          <t>강사를 따라 도구 연결 화면에서 지식 그래프 · 업무 DB · 판단 도구 서버의 연결 상태와 도구 목록(이름 · 입력 형식)을 열어 보고, 도구를 직접 시험 호출해 반환값을 확인한다. 이 도구를 쓰는 에이전트에게 질문한 뒤 호출 기록에서 도구 이름 · 입력 · 반환값을 찾아, 설비 지식에서 온 내용과 현재 업무 조회 결과를 구분하고 각 반환값이 답변의 어느 근거에 쓰였는지 대조한다.</t>
        </is>
      </c>
      <c r="D63" s="132" t="n">
        <v>20</v>
      </c>
    </row>
    <row r="64" ht="128" customHeight="1" s="1">
      <c r="A64" s="64" t="inlineStr">
        <is>
          <t>실습(VS Code)</t>
        </is>
      </c>
      <c r="B64" s="55" t="inlineStr">
        <is>
          <t>외부 MCP를 연결하고 내 조회 도구를 만들어 조합하기</t>
        </is>
      </c>
      <c r="C64" s="53" t="inlineStr">
        <is>
          <t>파일 · Git · 시간 MCP의 연결과 접근 범위를 설정하고 각 도구의 입력 · 반환값을 확인한다. MCP의 Server · Tool · 입력 스키마가 무엇이었는지 다시 짚으며, 제공 서버 골격에 점검 자료 조회 함수를 구현하여 MCP 도구로 노출하고 기존 에이전트에서 호출한다. 파일 내용 · 변경 이력 · 기준 시각을 조합한 결과에서 출처와 조회 실패를 확인한다. 직접 만든 서버와 외부 서버를 로컬 VS Code에서 함께 연결해 쓴다. 다음 실습에서는 같은 연결 원리로 자기 Notion 자료를 읽는다.</t>
        </is>
      </c>
      <c r="D64" s="54" t="n">
        <v>40</v>
      </c>
    </row>
    <row r="65" ht="69" customHeight="1" s="1">
      <c r="A65" s="129" t="inlineStr">
        <is>
          <t>실습(VS Code)</t>
        </is>
      </c>
      <c r="B65" s="130" t="inlineStr">
        <is>
          <t>회의 내용을 실제 후속 업무로 전환하기</t>
        </is>
      </c>
      <c r="C65" s="131" t="inlineStr">
        <is>
          <t>포털에서 써 본 스킬과 같은 구조로, 예제 회의록 텍스트를 입력받아 결정사항·담당자·완료 시점을 추출하는 SKILL.md를 작성한다. 담당자와 기한이 없는 항목은 미정으로 표시하고 Markdown/JSON 작업 목록을 생성·검토한다. 회의록 요약만으로 끝내지 않고 다음 행동을 명확히 만든다.</t>
        </is>
      </c>
      <c r="D65" s="132" t="n">
        <v>40</v>
      </c>
    </row>
    <row r="66" ht="168" customHeight="1" s="1">
      <c r="A66" s="64" t="inlineStr">
        <is>
          <t>실습(VS Code)</t>
        </is>
      </c>
      <c r="B66" s="55" t="inlineStr">
        <is>
          <t>내 Notion 학습노트로 출제·채점하는 퀴즈 에이전트 만들기</t>
        </is>
      </c>
      <c r="C66" s="53" t="inlineStr">
        <is>
          <t>1회차부터 자기 Notion에 정리한 학습노트의 페이지를 선택하고 MCP 읽기 연결을 설정한다. 노트에서 문항 · 정답 기준 · 해설 · 원문 근거를 구성하는 퀴즈 에이전트를 만들되, 답하기 전에는 정답과 해설을 숨긴다. 학생 답변을 받아 정답 · 부분 정답 · 오답과 이유를 알려주고 원문을 다시 열어 확인한다. 다음 문항과 틀린 개념 재도전으로 이어가며 풀이 기록을 저장한다. 표현만 다른 정답 · 불완전한 답 · 노트에 없는 질문으로 검증하고, 근거가 부족하면 출제나 채점을 보류한다. 다음 회차에는 이 에이전트들이 멈추고 사람에게 물어야 할 때를 다룬다.</t>
        </is>
      </c>
      <c r="D66" s="54" t="n">
        <v>40</v>
      </c>
    </row>
    <row r="67" ht="29" customHeight="1" s="1">
      <c r="A67" s="66" t="inlineStr">
        <is>
          <t>회차 합계</t>
        </is>
      </c>
      <c r="D67" s="49">
        <f>SUM(D59:D66)</f>
        <v/>
      </c>
    </row>
    <row r="68" s="1"/>
    <row r="69" ht="39" customHeight="1" s="1">
      <c r="A69" s="43" t="inlineStr">
        <is>
          <t>07회차  |  사람의 판단과 명확한 요구사항으로 AI 업무의 신뢰성 높이기</t>
        </is>
      </c>
      <c r="D69" s="44" t="inlineStr">
        <is>
          <t>4H</t>
        </is>
      </c>
    </row>
    <row r="70" ht="29" customHeight="1" s="1">
      <c r="A70" s="49" t="inlineStr">
        <is>
          <t>구분</t>
        </is>
      </c>
      <c r="B70" s="49" t="inlineStr">
        <is>
          <t>제목</t>
        </is>
      </c>
      <c r="C70" s="49" t="inlineStr">
        <is>
          <t>상세 교육 내용</t>
        </is>
      </c>
      <c r="D70" s="49" t="inlineStr">
        <is>
          <t>시간(분)</t>
        </is>
      </c>
    </row>
    <row r="71" ht="108" customHeight="1" s="1">
      <c r="A71" s="56" t="inlineStr">
        <is>
          <t>이론</t>
        </is>
      </c>
      <c r="B71" s="55" t="inlineStr">
        <is>
          <t>AI가 멈추고 사람에게 물어야 하는 상황 이해하기</t>
        </is>
      </c>
      <c r="C71" s="53" t="inlineStr">
        <is>
          <t>앞서 만든 점검 에이전트가 정보 누락이나 새 요구를 만났을 때 지켜야 할 동작을 정한다. HITL의 정의, 자동 처리와 승인·보류·거절의 구분, 승인권자와 권한의 경계, 사람의 책임과 결정 기록을 살펴본다. AI의 자기 검토와 실제 사람 승인 절차는 다른 것임을 구분한다.</t>
        </is>
      </c>
      <c r="D71" s="54" t="n">
        <v>20</v>
      </c>
    </row>
    <row r="72" ht="118.5" customHeight="1" s="1">
      <c r="A72" s="129" t="inlineStr">
        <is>
          <t>실습(포털)</t>
        </is>
      </c>
      <c r="B72" s="130" t="inlineStr">
        <is>
          <t>사람의 확인이 실제 업무 결과를 바꾸는 과정 확인하기</t>
        </is>
      </c>
      <c r="C72" s="131" t="inlineStr">
        <is>
          <t>강사를 따라 결함 시뮬레이션에서 쿨러 열화를 일으켜 승인 대기 건을 만든다. 이상 확인 · 조치 화면에서 이 사건의 분석 근거와 에이전트 분석 기록을 먼저 읽는다. 에이전트 화면의 담당 배정에서 운전원 역할에 사람을 넣고 빼 보며 승인할 수 있는 사람이 어떻게 정해지는지 본 뒤 원래 구성으로 되돌린다. 내 작업함에서 「나」를 바꿔 가며 승인 권한이 있는 담당자에게는 이 작업이 보이고 관계없는 담당자에게는 보이지 않는지, 권한 없는 사람이 승인하려 하면 막히는지 확인한다. 권한 있는 담당자로서 추천 근거를 읽고 거절한 뒤 처리 건 기록에서 설비 명령 없이 결과 보고로 끝났는지 보고, 1회차에 승인했던 처리 건과 비교해 대기 · 완료 상태와 사람의 결정이 실제 업무 결과를 어떻게 바꾸는지 확인한다.</t>
        </is>
      </c>
      <c r="D72" s="132" t="n">
        <v>25</v>
      </c>
    </row>
    <row r="73" ht="128" customHeight="1" s="1">
      <c r="A73" s="64" t="inlineStr">
        <is>
          <t>실습(VS Code)</t>
        </is>
      </c>
      <c r="B73" s="55" t="inlineStr">
        <is>
          <t>정보가 부족하면 질문하고 다시 처리하는 에이전트 만들기</t>
        </is>
      </c>
      <c r="C73" s="53" t="inlineStr">
        <is>
          <t>HITL에서 정한 보류 · 질문의 경계를 다시 짚고, 5회차에서 만든 원인 · 점검 계획을 점검 요청 처리로 이어 간다. 도구로 확인할 수 있는 정보는 먼저 조회하고 부족하거나 충돌하는 정보만 질문하도록 구현한다. 답변을 같은 요청 번호에 연결해 판단을 재개하고, 답변 전후의 근거 · 미확인 · 상태 변화를 비교한다. 다른 요청의 답이 섞이지 않는지 확인하고 정보 답변과 실제 승인을 구분한다. 이 프로젝트를 이후 역할 분담 · 명세 변경 · 검증에 이어 쓴다.</t>
        </is>
      </c>
      <c r="D73" s="54" t="n">
        <v>40</v>
      </c>
    </row>
    <row r="74" ht="108" customHeight="1" s="1">
      <c r="A74" s="129" t="inlineStr">
        <is>
          <t>실습(VS Code)</t>
        </is>
      </c>
      <c r="B74" s="130" t="inlineStr">
        <is>
          <t>서로 다른 에이전트가 제안과 검토를 나눠 수행하기</t>
        </is>
      </c>
      <c r="C74" s="131" t="inlineStr">
        <is>
          <t>같은 점검 요청 프로젝트에 작성자와 검토자 역할을 구현한다. 작성자는 점검 초안을 만들고 검토자는 원자료와 대조해 근거 누락·불일치·추정을 지적한다. 지적에 따라 수정한 내용과 남은 확인을 기록하고, 수정이 끝날 조건을 정한다. 두 AI가 동의한 것과 사람의 최종 승인을 구분한다. 실제 지적이 없을 때 억지 반려를 만들지 않는다.</t>
        </is>
      </c>
      <c r="D74" s="132" t="n">
        <v>45</v>
      </c>
    </row>
    <row r="75" ht="72" customHeight="1" s="1">
      <c r="A75" s="56" t="inlineStr">
        <is>
          <t>이론</t>
        </is>
      </c>
      <c r="B75" s="55" t="inlineStr">
        <is>
          <t>요구사항이 바뀌어도 기존 기능을 지키는 방법 이해하기</t>
        </is>
      </c>
      <c r="C75" s="53" t="inlineStr">
        <is>
          <t>명세 주도 개발(SDD)을 요구사항 · 입력/출력 계약 · 금지 조건 · 수용 기준을 구현 전에 명확하게 하는 방식으로 살펴본다. 바이브 코딩의 모호한 기능 추가가 기존 출력이나 승인 규칙을 흔들 수 있는 예를 보고, 그런 변경이 늘 실패하는 것은 아니지만 무엇이 지켜지는지 보장해 주지 않아, 기능이 늘어날수록 기존 기능이 계속 흔들리고 유지보수가 어려워지는 까닭을 이해한다.</t>
        </is>
      </c>
      <c r="D75" s="54" t="n">
        <v>35</v>
      </c>
    </row>
    <row r="76" ht="108" customHeight="1" s="1">
      <c r="A76" s="129" t="inlineStr">
        <is>
          <t>실습(VS Code)</t>
        </is>
      </c>
      <c r="B76" s="130" t="inlineStr">
        <is>
          <t>모호한 기능 변경이 기존 계약에 미치는 영향 확인하기</t>
        </is>
      </c>
      <c r="C76" s="131" t="inlineStr">
        <is>
          <t>같은 점검 요청 프로젝트에 긴급 표시를 추가하는 요구를 AI에 전달하고 변경된 코드와 실행 결과를 확인한다. 일반 요청 · 정보 누락 · 승인 경계가 유지되는지 기존 계약과 비교하고 실제 차이를 기록한다. 다음 단계에서는 모호했던 입력 · 판정 · 출력 조건을 명세로 고정한다.</t>
        </is>
      </c>
      <c r="D76" s="132" t="n">
        <v>50</v>
      </c>
    </row>
    <row r="77" ht="108" customHeight="1" s="1">
      <c r="A77" s="64" t="inlineStr">
        <is>
          <t>실습(VS Code)</t>
        </is>
      </c>
      <c r="B77" s="55" t="inlineStr">
        <is>
          <t>새로운 요구사항을 추가해도 기존 기능 유지하기</t>
        </is>
      </c>
      <c r="C77" s="53" t="inlineStr">
        <is>
          <t>같은 점검 요청의 spec.md에 일반 · 긴급 조건, 필수 정보 누락 시 보류, 승인 없이 확정 금지, 출력 형식과 수용 기준을 작성한다. 긴급 판정에 쓰는 센서 조건의 시간 구간 · 단위 · 경계값을 명시하고 구현한다. 일반 · 긴급 · 누락 입력의 실제 결과를 명세와 대조해 바뀐 기능과 보존된 기능을 설명한다. 이 명세와 사례를 다음 회차의 실행 가능한 검증에 사용한다.</t>
        </is>
      </c>
      <c r="D77" s="54" t="n">
        <v>25</v>
      </c>
    </row>
    <row r="78" ht="29" customHeight="1" s="1">
      <c r="A78" s="66" t="inlineStr">
        <is>
          <t>회차 합계</t>
        </is>
      </c>
      <c r="D78" s="49">
        <f>SUM(D71:D77)</f>
        <v/>
      </c>
    </row>
    <row r="79" s="1"/>
    <row r="80" ht="39" customHeight="1" s="1">
      <c r="A80" s="43" t="inlineStr">
        <is>
          <t>08회차  |  요구가 바뀌어도 믿고 사용할 수 있는 에이전트 완성하기</t>
        </is>
      </c>
      <c r="D80" s="44" t="inlineStr">
        <is>
          <t>4H</t>
        </is>
      </c>
    </row>
    <row r="81" ht="29" customHeight="1" s="1">
      <c r="A81" s="49" t="inlineStr">
        <is>
          <t>구분</t>
        </is>
      </c>
      <c r="B81" s="49" t="inlineStr">
        <is>
          <t>제목</t>
        </is>
      </c>
      <c r="C81" s="49" t="inlineStr">
        <is>
          <t>상세 교육 내용</t>
        </is>
      </c>
      <c r="D81" s="49" t="inlineStr">
        <is>
          <t>시간(분)</t>
        </is>
      </c>
    </row>
    <row r="82" ht="108" customHeight="1" s="1">
      <c r="A82" s="56" t="inlineStr">
        <is>
          <t>이론</t>
        </is>
      </c>
      <c r="B82" s="55" t="inlineStr">
        <is>
          <t>기대한 행동을 실제로 검증하는 방법 이해하기</t>
        </is>
      </c>
      <c r="C82" s="53" t="inlineStr">
        <is>
          <t>앞서 정한 명세가 실제 출력에서도 지켜지는지 확인하고 여러 출처를 연결한 결과를 검증한다. 행동 주도 개발(BDD)의 Given/When/Then 구조와 명세 주도 개발(SDD)과의 차이, 정상·경계·예외·회귀 테스트를 살펴본다. 자연어 시나리오가 실행 가능한 검증 입력·기대 결과와 연결돼야 하는 이유를 살펴본다.</t>
        </is>
      </c>
      <c r="D82" s="54" t="n">
        <v>40</v>
      </c>
    </row>
    <row r="83" ht="87.5" customHeight="1" s="1">
      <c r="A83" s="56" t="inlineStr">
        <is>
          <t>실습(포털)</t>
        </is>
      </c>
      <c r="B83" s="55" t="inlineStr">
        <is>
          <t>같은 입력으로 에이전트 판단을 비교하고 기대 결과로 채점하기</t>
        </is>
      </c>
      <c r="C83" s="53" t="inlineStr">
        <is>
          <t>강사를 따라 시험 비교 화면에서 같은 쿨러 이상 입력으로 기준 에이전트와 나의 에이전트를 함께 실행하고, 도구나 스킬을 하나 뺀 변형도 돌려 두 결과의 판단 · 근거 · 도구 호출을 나란히 비교한다. 판단 채점 화면에서 이 설비의 기대 판단을 정답표 항목으로 적고 채점을 여러 번 실행해, 기대와 다르게 나온 항목과 그 까닭을 실행 기록에서 찾고 결과가 매번 같은지 본다. 이 비교와 채점이 처리 건이나 설비 명령을 만들지 않는 시험이라는 것을 확인한다.</t>
        </is>
      </c>
      <c r="D83" s="54" t="n">
        <v>15</v>
      </c>
    </row>
    <row r="84" ht="108" customHeight="1" s="1">
      <c r="A84" s="129" t="inlineStr">
        <is>
          <t>실습(VS Code)</t>
        </is>
      </c>
      <c r="B84" s="130" t="inlineStr">
        <is>
          <t>새로운 기능과 기존 기능의 행동 기준 정하기</t>
        </is>
      </c>
      <c r="C84" s="131" t="inlineStr">
        <is>
          <t>7회차의 spec.md와 같은 점검 요청 프로젝트를 이어서 쓴다. 일반 · 긴급 · 정보 누락 · 승인 거절 · 도구 오류의 Given · When · Then을 쓰고 입력 · 기대 상태 · 필수 출력 근거를 정한다. 구현이 낸 답을 그대로 기대값으로 복사하지 않고 요구와 원자료에서 판정 기준을 도출한다.</t>
        </is>
      </c>
      <c r="D84" s="132" t="n">
        <v>35</v>
      </c>
    </row>
    <row r="85" ht="108" customHeight="1" s="1">
      <c r="A85" s="64" t="inlineStr">
        <is>
          <t>실습(VS Code)</t>
        </is>
      </c>
      <c r="B85" s="55" t="inlineStr">
        <is>
          <t>에이전트의 동작을 반복 검증하기</t>
        </is>
      </c>
      <c r="C85" s="53" t="inlineStr">
        <is>
          <t>실행 환경과 제공 테스트 골격에 자신이 정한 입력 · 기대 결과 · 판정 코드를 연결한다. 실제 에이전트 결과를 비교하여 필수 근거 · 상태 · 승인 조건의 위반을 찾는다. 모델의 표현 차이와 내용 오류를 구분하고, 반복 실행 결과와 실패 원인을 기록한다.</t>
        </is>
      </c>
      <c r="D85" s="54" t="n">
        <v>45</v>
      </c>
    </row>
    <row r="86" ht="60" customHeight="1" s="1">
      <c r="A86" s="129" t="inlineStr">
        <is>
          <t>실습(VS Code)</t>
        </is>
      </c>
      <c r="B86" s="130" t="inlineStr">
        <is>
          <t>오류를 수정하고 기존 기능이 유지되는지 확인하기</t>
        </is>
      </c>
      <c r="C86" s="131" t="inlineStr">
        <is>
          <t>실제로 실패한 시나리오만 원인을 추적해 프롬프트·명세·코드 중 수정 대상 구분 후 재실행한다. 긴급 조건이 동작하는 동시에 기존 일반 요청·보류·거절 조건이 유지되는지 전체 회귀 검증으로 확인한다.</t>
        </is>
      </c>
      <c r="D86" s="132" t="n">
        <v>35</v>
      </c>
    </row>
    <row r="87" ht="128" customHeight="1" s="1">
      <c r="A87" s="64" t="inlineStr">
        <is>
          <t>실습(VS Code)</t>
        </is>
      </c>
      <c r="B87" s="55" t="inlineStr">
        <is>
          <t>서로 다른 업무 데이터를 연결해 인수인계 자료 만들기</t>
        </is>
      </c>
      <c r="C87" s="53" t="inlineStr">
        <is>
          <t>앞에서 만든 조회 도구 · 출력 계약 · 검증 방식을 재사용해 설비 이벤트 · 정비 이력 · 부품 자료를 연결하는 인수인계 기능을 구현한다. 같은 대상 · 시점의 자료인지 대조하고 완료 · 미완료 · 주의 · 근거 시각을 출력한다. 자료 없음 · 조회 실패 · 서로 다른 기록을 구분하는 사례로 검증한다. 저장한 결과에서 원자료를 다시 찾을 수 있게 하고, 각 내용이 실제 조회에서 왔는지 파일 자료에서 왔는지 표시한다. 마지막 회차에는 같은 인수인계를 포털의 지식 · 에이전트 · 업무 흐름으로 완성한다.</t>
        </is>
      </c>
      <c r="D87" s="54" t="n">
        <v>40</v>
      </c>
    </row>
    <row r="88" ht="148" customHeight="1" s="1">
      <c r="A88" s="63" t="inlineStr">
        <is>
          <t>이론</t>
        </is>
      </c>
      <c r="B88" s="130" t="inlineStr">
        <is>
          <t>에이전트 제작부터 검증까지 전체 과정 정리하기 — Wrap-up</t>
        </is>
      </c>
      <c r="C88" s="131" t="inlineStr">
        <is>
          <t>원인 점검 · 품질 접수 · 분석 시각화 · 회의 스킬 · 자기 자료 퀴즈 · 협업 검토 · 자료 통합에서 달랐던 목표 · 입력 · 도구 · 결과 판정을 비교한다. 같은 실행 구조를 재사용한 곳과 새로 구현한 능력을 구분한다. 새 업무를 맡길 때 필요한 자료 · 도구 · 완료 조건 · 사람 확인을 어떻게 정할지 설명한다. Skill · MCP · HITL · SDD · BDD가 각각 해결한 문제를 결과와 연결하며, 다음 회차에는 검증한 작업을 사람 승인과 함께 BPMN 흐름으로 표현한다.</t>
        </is>
      </c>
      <c r="D88" s="132" t="n">
        <v>30</v>
      </c>
    </row>
    <row r="89" ht="29" customHeight="1" s="1">
      <c r="A89" s="66" t="inlineStr">
        <is>
          <t>회차 합계</t>
        </is>
      </c>
      <c r="D89" s="49">
        <f>SUM(D82:D88)</f>
        <v/>
      </c>
    </row>
    <row r="90" s="1"/>
    <row r="91" ht="39" customHeight="1" s="1">
      <c r="A91" s="43" t="inlineStr">
        <is>
          <t>09회차  |  AI와 사람이 함께 일하는 업무 프로세스를 직접 설계하고 실행하기</t>
        </is>
      </c>
      <c r="D91" s="44" t="inlineStr">
        <is>
          <t>4H</t>
        </is>
      </c>
    </row>
    <row r="92" ht="29" customHeight="1" s="1">
      <c r="A92" s="49" t="inlineStr">
        <is>
          <t>구분</t>
        </is>
      </c>
      <c r="B92" s="49" t="inlineStr">
        <is>
          <t>제목</t>
        </is>
      </c>
      <c r="C92" s="49" t="inlineStr">
        <is>
          <t>상세 교육 내용</t>
        </is>
      </c>
      <c r="D92" s="49" t="inlineStr">
        <is>
          <t>시간(분)</t>
        </is>
      </c>
    </row>
    <row r="93" ht="108" customHeight="1" s="1">
      <c r="A93" s="56" t="inlineStr">
        <is>
          <t>이론</t>
        </is>
      </c>
      <c r="B93" s="55" t="inlineStr">
        <is>
          <t>개별 작업을 하나의 비즈니스 프로세스로 관리하는 이유 이해하기</t>
        </is>
      </c>
      <c r="C93" s="53" t="inlineStr">
        <is>
          <t>개별 에이전트의 답을 넘어서 작업 순서·담당자·승인·완료를 하나의 흐름으로 표현한다. 비즈니스 프로세스의 정의, Task와 End-to-End의 차이, 시작 조건·입력·출력·책임자·완료 조건을 살펴본다. BPM의 분석→설계→실행→모니터링→개선과 AS-IS/TO-BE를 다루고 에이전트만으로 전체 업무 순서와 책임이 보장되지 않는 이유를 연결한다.</t>
        </is>
      </c>
      <c r="D93" s="54" t="n">
        <v>35</v>
      </c>
    </row>
    <row r="94" ht="82" customHeight="1" s="1">
      <c r="A94" s="63" t="inlineStr">
        <is>
          <t>이론</t>
        </is>
      </c>
      <c r="B94" s="130" t="inlineStr">
        <is>
          <t>복잡한 업무를 공통된 그림으로 표현하는 방법 이해하기</t>
        </is>
      </c>
      <c r="C94" s="131" t="inlineStr">
        <is>
          <t>BPMN 2.0의 Start/End Event, Activity/Task, Gateway, Sequence Flow, Pool · Lane, Message Flow, Timer · Boundary Event를 구분한다. 승인 · 거절과 분기, 사람 · 에이전트 · 시스템의 책임 배치를 설비 조치 예제로 살펴본다. 병렬 · 하위 프로세스는 개념으로 살펴본다.</t>
        </is>
      </c>
      <c r="D94" s="132" t="n">
        <v>25</v>
      </c>
    </row>
    <row r="95" ht="92" customHeight="1" s="1">
      <c r="A95" s="56" t="inlineStr">
        <is>
          <t>이론</t>
        </is>
      </c>
      <c r="B95" s="55" t="inlineStr">
        <is>
          <t>설계한 업무가 실제로 실행되는 프로세스 오케스트레이션 이해하기</t>
        </is>
      </c>
      <c r="C95" s="53" t="inlineStr">
        <is>
          <t>프로세스 정의와 인스턴스, Token의 진행 개념, 변수와 결과 전달, 사람 작업·시스템 작업과 에이전트 작업, 실행 상태·승인 대기·배포 버전·감사 기록을 살펴본다. 온톨로지·DB·SOP를 쓰는 에이전트의 결과가 BPMN에서 어떤 순서로 전달되는지 확인한다.</t>
        </is>
      </c>
      <c r="D95" s="54" t="n">
        <v>25</v>
      </c>
    </row>
    <row r="96" ht="69" customHeight="1" s="1">
      <c r="A96" s="129" t="inlineStr">
        <is>
          <t>실습(bpmn.io)</t>
        </is>
      </c>
      <c r="B96" s="130" t="inlineStr">
        <is>
          <t>업무 흐름을 그리는 도구로 간단한 승인 절차 작성하기</t>
        </is>
      </c>
      <c r="C96" s="131" t="inlineStr">
        <is>
          <t>bpmn.io의 팔레트·요소 배치·연결·속성·저장·열기 조작을 익힌 뒤 '정비 요청→담당자 확인→승인 여부→승인/거절 종료'를 직접 작도한다. Gateway의 각 분기와 End Event 연결을 확인해 .bpmn 파일을 만든다.</t>
        </is>
      </c>
      <c r="D96" s="132" t="n">
        <v>35</v>
      </c>
    </row>
    <row r="97" ht="69" customHeight="1" s="1">
      <c r="A97" s="64" t="inlineStr">
        <is>
          <t>실습(bpmn.io)</t>
        </is>
      </c>
      <c r="B97" s="55" t="inlineStr">
        <is>
          <t>설비 이상 대응의 역할과 승인 조건을 갖춘 업무 흐름 만들기</t>
        </is>
      </c>
      <c r="C97" s="53" t="inlineStr">
        <is>
          <t>bpmn.io에서 쿨러 열화 시작→에이전트 진단·조치 제안→운전원 승인→PLC 명령→효과 재확인→결과 보고를 작업별 Lane으로 작도한다. 승인/거절 분기, 정상/거절 종료와 승인을 중단하지 않는 지연 알림 Timer를 포함해 파일로 저장한다.</t>
        </is>
      </c>
      <c r="D97" s="54" t="n">
        <v>40</v>
      </c>
    </row>
    <row r="98" ht="87.5" customHeight="1" s="1">
      <c r="A98" s="129" t="inlineStr">
        <is>
          <t>실습(포털 · bpmn.io)</t>
        </is>
      </c>
      <c r="B98" s="130" t="inlineStr">
        <is>
          <t>작성한 BPMN과 등록된 실행 흐름의 연결 비교하기</t>
        </is>
      </c>
      <c r="C98" s="131" t="inlineStr">
        <is>
          <t>강사를 따라 포털 흐름 가져오기 화면에서 등록된 냉각 대응 흐름의 매핑을 열어, 쿨러 경보 시작 조건과 진단 · 조치 제안 작업의 에이전트, 승인 작업의 운전원 역할, 설비 명령 · 재관측 · 결과 보고 작업의 시스템 기능, 승인 · 거절 분기 조건이 어떻게 연결돼 있는지 확인한다. bpmn.io에서 그린 자신의 흐름과 나란히 놓고 각 작업이 어떤 실행 기능에 대응하는지 표시해, 빠진 연결이 있으면 그림을 고치고 그림 파일과 실행 정의가 어떻게 다른지 확인한다.</t>
        </is>
      </c>
      <c r="D98" s="132" t="n">
        <v>40</v>
      </c>
    </row>
    <row r="99" ht="118.5" customHeight="1" s="1">
      <c r="A99" s="64" t="inlineStr">
        <is>
          <t>실습(포털)</t>
        </is>
      </c>
      <c r="B99" s="55" t="inlineStr">
        <is>
          <t>실제 설비 이벤트로 프로세스를 실행하고 처리 이력 확인하기</t>
        </is>
      </c>
      <c r="C99" s="53" t="inlineStr">
        <is>
          <t>강사를 따라 결함 시뮬레이션에서 쿨러 열화를 일으켜 처리 건을 만들고, 같은 처리 건의 판단→운전원 승인→명령→재관측→보고를 처리 건 화면에서 따라간다. 처리 건이 어느 흐름 · 판본으로 열렸는지 확인하고, 승인 대기 · 정상 종료 · 거절로 끝난 처리 건을 구분해 비교한다. 명령 처리와 온도 회복, 작업지시 등록과 정비 완료를 따로 확인한다. 작성한 BPMN에서 해당 작업을 찾고 실제 정의 · 판본 · 처리 건과 결과를 기록한다. 처리 기록에서 단계를 펼쳐 도구 호출 원문을 다시 읽고, 다시 수행의 영향 확인으로 어느 단계부터 다시 돌리면 무엇이 바뀌는지 미리 본다. 다음 회차에는 같은 설계 원리를 정비와 구매 업무에 적용한다.</t>
        </is>
      </c>
      <c r="D99" s="54" t="n">
        <v>40</v>
      </c>
    </row>
    <row r="100" ht="29" customHeight="1" s="1">
      <c r="A100" s="66" t="inlineStr">
        <is>
          <t>회차 합계</t>
        </is>
      </c>
      <c r="D100" s="49">
        <f>SUM(D93:D99)</f>
        <v/>
      </c>
    </row>
    <row r="101" s="1"/>
    <row r="102" ht="39" customHeight="1" s="1">
      <c r="A102" s="43" t="inlineStr">
        <is>
          <t>10회차  |  설비 대응을 넘어 정비와 구매 업무까지 자동으로 연결하기</t>
        </is>
      </c>
      <c r="D102" s="44" t="inlineStr">
        <is>
          <t>4H</t>
        </is>
      </c>
    </row>
    <row r="103" ht="29" customHeight="1" s="1">
      <c r="A103" s="49" t="inlineStr">
        <is>
          <t>구분</t>
        </is>
      </c>
      <c r="B103" s="49" t="inlineStr">
        <is>
          <t>제목</t>
        </is>
      </c>
      <c r="C103" s="49" t="inlineStr">
        <is>
          <t>상세 교육 내용</t>
        </is>
      </c>
      <c r="D103" s="49" t="inlineStr">
        <is>
          <t>시간(분)</t>
        </is>
      </c>
    </row>
    <row r="104" ht="108" customHeight="1" s="1">
      <c r="A104" s="56" t="inlineStr">
        <is>
          <t>이론</t>
        </is>
      </c>
      <c r="B104" s="55" t="inlineStr">
        <is>
          <t>다양한 업무를 하나의 프로세스 설계 원리로 관리하기</t>
        </is>
      </c>
      <c r="C104" s="53" t="inlineStr">
        <is>
          <t>앞서 익힌 승인 흐름을 정비와 구매에 적용하며 시작 조건과 처리 결과의 차이를 비교한다. 설비 경보, 정기 점검 도래, 재고 부족이라는 시작 조건과 에이전트·승인자·실행 시스템의 차이를 비교한다. 프로세스 정의·인스턴스·배포, 대기와 완료 상태, 실행 기록·모니터링·병목·지표를 설명하고 같은 BPMN 패턴의 재사용 원리를 정리한다.</t>
        </is>
      </c>
      <c r="D104" s="54" t="n">
        <v>35</v>
      </c>
    </row>
    <row r="105" ht="69" customHeight="1" s="1">
      <c r="A105" s="129" t="inlineStr">
        <is>
          <t>실습(bpmn.io)</t>
        </is>
      </c>
      <c r="B105" s="130" t="inlineStr">
        <is>
          <t>정기 점검부터 작업지시까지 이어지는 업무 흐름 설계하기</t>
        </is>
      </c>
      <c r="C105" s="131" t="inlineStr">
        <is>
          <t>bpmn.io에서 정기 점검 도래→정비 계획 에이전트→설비보전팀장 승인/거절→CMMS 정비 오더→생산팀 공지→결과 보고를 작도한다. 9회차의 Task·Lane·Gateway·Timer 패턴을 재사용하고 승인·거절 경로를 구분한다.</t>
        </is>
      </c>
      <c r="D105" s="132" t="n">
        <v>45</v>
      </c>
    </row>
    <row r="106" ht="108" customHeight="1" s="1">
      <c r="A106" s="64" t="inlineStr">
        <is>
          <t>실습(포털)</t>
        </is>
      </c>
      <c r="B106" s="55" t="inlineStr">
        <is>
          <t>정기 점검 프로세스를 실제 업무로 실행하기</t>
        </is>
      </c>
      <c r="C106" s="53" t="inlineStr">
        <is>
          <t>강사를 따라 정기 점검 도래를 일으켜 등록된 정비 흐름으로 처리 건을 시작하고, 점검 시점 제안과 근거를 읽은 뒤 설비보전팀장으로 결정한다. 승인했을 때 같은 처리 건의 보고와, 승인과 실행 화면의 기업 시스템 현황 · 실행 이력에 남은 작업지시 · 부품 예약 · 생산 공지의 변경 전 · 후를 대조하고, 거절했을 때 오더가 만들어지지 않는 것과 비교한다. 오더 등록과 실제 정비 완료를 구분하고, 실행 결과를 앞에서 그린 정비 BPMN의 작업과 연결해 저장한다.</t>
        </is>
      </c>
      <c r="D106" s="54" t="n">
        <v>45</v>
      </c>
    </row>
    <row r="107" ht="92" customHeight="1" s="1">
      <c r="A107" s="129" t="inlineStr">
        <is>
          <t>실습(bpmn.io)</t>
        </is>
      </c>
      <c r="B107" s="130" t="inlineStr">
        <is>
          <t>재고 부족부터 구매·입고까지 이어지는 업무 흐름 설계하기</t>
        </is>
      </c>
      <c r="C107" s="131" t="inlineStr">
        <is>
          <t>bpmn.io에서 재고 부족→구매 에이전트의 수량·공급사 제안→구매 담당자 승인/거절→ERP 발주→공급사 통지→입고·재고 반영→결과 보고를 작도한다. 발주·통지·입고가 업무 시스템에서 이어지는 구조를 확인한다.</t>
        </is>
      </c>
      <c r="D107" s="132" t="n">
        <v>45</v>
      </c>
    </row>
    <row r="108" ht="108" customHeight="1" s="1">
      <c r="A108" s="64" t="inlineStr">
        <is>
          <t>실습(포털)</t>
        </is>
      </c>
      <c r="B108" s="55" t="inlineStr">
        <is>
          <t>구매 프로세스를 실제 업무로 실행하기</t>
        </is>
      </c>
      <c r="C108" s="53" t="inlineStr">
        <is>
          <t>강사를 따라 재고 보충을 일으켜 등록된 구매 흐름으로 처리 건을 시작하고, 공급사 · 수량의 제안 근거와 승인 조건을 확인한 뒤 구매 담당자로 결정한다. 승인했을 때 승인과 실행 화면의 기업 시스템 현황 · 실행 이력에서 발주 · 통지 · 입고 · 재고 반영을 각각 찾아 시작 재고 · 예약 · 발주 중 수량과 비교하고, 거절했을 때 발주가 막히는 것과 비교한다. 시스템에서 바로 반영되는 입고와 실제 배송 · 도착을 구분하고, 앞에서 그린 구매 BPMN의 작업과 실제 결과를 연결한다.</t>
        </is>
      </c>
      <c r="D108" s="54" t="n">
        <v>40</v>
      </c>
    </row>
    <row r="109" ht="108" customHeight="1" s="1">
      <c r="A109" s="63" t="inlineStr">
        <is>
          <t>이론</t>
        </is>
      </c>
      <c r="B109" s="130" t="inlineStr">
        <is>
          <t>AI와 사람이 함께 수행하는 전체 업무 흐름 정리하기 — Wrap-up</t>
        </is>
      </c>
      <c r="C109" s="131" t="inlineStr">
        <is>
          <t>설비 조치 · 정기 점검 · 재고 보충의 시작 이벤트, 에이전트 판단, 사람 승인 · 거절, 시스템 처리와 종료 기록을 되짚는다. 온톨로지→에이전트→프로세스의 연결을 복습한다. 다음 회차에는 설비 · 정비 · 재고 기록을 교대 인계안으로 묶고 사람이 검토 · 확인하는 흐름을 완성한다.</t>
        </is>
      </c>
      <c r="D109" s="132" t="n">
        <v>30</v>
      </c>
    </row>
    <row r="110" ht="29" customHeight="1" s="1">
      <c r="A110" s="66" t="inlineStr">
        <is>
          <t>회차 합계</t>
        </is>
      </c>
      <c r="D110" s="49">
        <f>SUM(D104:D109)</f>
        <v/>
      </c>
    </row>
    <row r="111" s="1"/>
    <row r="112" ht="39" customHeight="1" s="1">
      <c r="A112" s="43" t="inlineStr">
        <is>
          <t>11회차  |  추가 지식과 에이전트로 교대 인수인계 완성하기</t>
        </is>
      </c>
      <c r="D112" s="44" t="inlineStr">
        <is>
          <t>4H</t>
        </is>
      </c>
    </row>
    <row r="113" ht="29" customHeight="1" s="1">
      <c r="A113" s="49" t="inlineStr">
        <is>
          <t>구분</t>
        </is>
      </c>
      <c r="B113" s="49" t="inlineStr">
        <is>
          <t>제목</t>
        </is>
      </c>
      <c r="C113" s="49" t="inlineStr">
        <is>
          <t>상세 교육 내용</t>
        </is>
      </c>
      <c r="D113" s="49" t="inlineStr">
        <is>
          <t>시간(분)</t>
        </is>
      </c>
    </row>
    <row r="114" ht="108" customHeight="1" s="1">
      <c r="A114" s="56" t="inlineStr">
        <is>
          <t>이론</t>
        </is>
      </c>
      <c r="B114" s="55" t="inlineStr">
        <is>
          <t>현장 지식이 AI의 판단 근거가 되는 과정 복습하기</t>
        </is>
      </c>
      <c r="C114" s="53" t="inlineStr">
        <is>
          <t>그동안 만든 지식 · 에이전트 · 업무 흐름을 교대 인수인계 한 건에 연결한다. 설비 · 센서 · 고장 관계를 정의하는 클래스 · 인스턴스 · 스키마, 그래프 질의, SOP · DMN · BSC/KPI, 문서 인제스천과 출처, 정적 지식과 현재 DB 값의 구분을 되짚되, 각 지식이 에이전트의 입력으로 어떻게 연결되는지를 중심으로 정리한다.</t>
        </is>
      </c>
      <c r="D114" s="54" t="n">
        <v>30</v>
      </c>
    </row>
    <row r="115" ht="60" customHeight="1" s="1">
      <c r="A115" s="63" t="inlineStr">
        <is>
          <t>이론</t>
        </is>
      </c>
      <c r="B115" s="130" t="inlineStr">
        <is>
          <t>에이전트의 결과가 업무 완료로 이어지는 전체 구조 복습하기</t>
        </is>
      </c>
      <c r="C115" s="131" t="inlineStr">
        <is>
          <t>에이전트 실행·Skill·MCP·HITL·SDD·BDD와 BPMN 정의·인스턴스·승인·시스템 실행의 역할 차이를 정리한다. 개별 제안이 실제 처리 건에서 누구의 승인과 어떤 업무 시스템 실행을 거쳐 종료되는지 살펴본다.</t>
        </is>
      </c>
      <c r="D115" s="132" t="n">
        <v>30</v>
      </c>
    </row>
    <row r="116" ht="87.5" customHeight="1" s="1">
      <c r="A116" s="64" t="inlineStr">
        <is>
          <t>실습(포털)</t>
        </is>
      </c>
      <c r="B116" s="55" t="inlineStr">
        <is>
          <t>교대 인수인계의 입력과 완료 조건 정의하기</t>
        </is>
      </c>
      <c r="C116" s="53" t="inlineStr">
        <is>
          <t>강사를 따라 포털 흐름 가져오기 화면에서 교대 인수인계 흐름의 시작 입력 항목(설비 · 교대 · 기준 시각 · 작업 메모)을 열어 보고, 이 항목을 인계의 입력으로 정한다. 설비 상태, 미완료 작업지시, 부품 대기 정보를 대조하여 다음 근무자의 확인 사항을 인계한다. 인계는 조치 · 정비 · 구매를 새로 실행하는 일이 아니라 그 기록을 이어받아 확인하는 일이므로, 인계자 검토와 인수자 확인을 완료 조건으로 정한다.</t>
        </is>
      </c>
      <c r="D116" s="54" t="n">
        <v>30</v>
      </c>
    </row>
    <row r="117" ht="108" customHeight="1" s="1">
      <c r="A117" s="129" t="inlineStr">
        <is>
          <t>실습(포털)</t>
        </is>
      </c>
      <c r="B117" s="130" t="inlineStr">
        <is>
          <t>보충 매뉴얼을 추출 · 검토하여 기존 지식에 추가하기</t>
        </is>
      </c>
      <c r="C117" s="131" t="inlineStr">
        <is>
          <t>강사를 따라 지식 관리에서 제공된 교대 점검 보충 매뉴얼을 올려 원문을 미리 보고 에이전트에게 추출을 요청한다. 추출된 절차 · 조건 · 근거를 원문과 대조해 고치거나 제외한 뒤 새 문서로 적재하고, 앞서 적재한 제조 지식이 그대로 남아 있는지 확인한다. 지식 지도에서 새 항목의 식별자와 문서 · 판본 · 절 연결을 찾아 이후 인계안의 확인 기준으로 사용한다.</t>
        </is>
      </c>
      <c r="D117" s="132" t="n">
        <v>30</v>
      </c>
    </row>
    <row r="118" ht="60" customHeight="1" s="1">
      <c r="A118" s="64" t="inlineStr">
        <is>
          <t>실습(포털)</t>
        </is>
      </c>
      <c r="B118" s="55" t="inlineStr">
        <is>
          <t>설비·정비·ERP를 대조하는 인수인계 에이전트 만들기</t>
        </is>
      </c>
      <c r="C118" s="53" t="inlineStr">
        <is>
          <t>강사를 따라 에이전트 화면에서 교대 인수인계 스킬을 새로 만들어 확인할 항목과 대조 규칙을 적는다 — 작업 메모는 주장이므로 실제 설비 상태 · 열린 작업지시 · 재고와 입고 예정을 각각 조회하고, 자료가 없으면 확인 필요로 남긴다. 이 스킬을 쓰고 지식 그래프 · 업무 DB · 판단 도구를 고른 인수인계 에이전트를 만든 뒤, 완료 메모와 열린 작업지시 또는 입고 예정과 실제 재고가 다를 때 확인 사항으로 남기는지 결과와 원천을 대조한다.</t>
        </is>
      </c>
      <c r="D118" s="54" t="n">
        <v>30</v>
      </c>
    </row>
    <row r="119" ht="92" customHeight="1" s="1">
      <c r="A119" s="129" t="inlineStr">
        <is>
          <t>실습(bpmn.io · 포털)</t>
        </is>
      </c>
      <c r="B119" s="130" t="inlineStr">
        <is>
          <t>교대 인수인계 BPMN을 등록하고 검토·확인 흐름 실행하기</t>
        </is>
      </c>
      <c r="C119" s="131" t="inlineStr">
        <is>
          <t>강사를 따라 제공 교대 BPMN을 bpmn.io에서 열어 작업 이름과 배치를 정리한다. 시작 입력 · 검토 · 보완 분기를 유지한 채 포털 흐름 가져오기 화면으로 가져와 세 초안 단계에 앞에서 만든 인수인계 에이전트를 배정하고 검사해 별도 판본으로 등록한다. 설비 · 교대 정보를 입력해 인계안 작성→인계자 검토→인수자 보완 요청→재검토→인수 확인을 수행하고 근거와 완료 기록을 확인한다.</t>
        </is>
      </c>
      <c r="D119" s="132" t="n">
        <v>30</v>
      </c>
    </row>
    <row r="120" ht="60" customHeight="1" s="1">
      <c r="A120" s="129" t="inlineStr">
        <is>
          <t>실습(ProcessGPT 시연)</t>
        </is>
      </c>
      <c r="B120" s="130" t="inlineStr">
        <is>
          <t>ProcessGPT 시연으로 지식·에이전트·프로세스의 연결 확인하기</t>
        </is>
      </c>
      <c r="C120" s="131" t="inlineStr">
        <is>
          <t>ProcessGPT 시연을 보며 지금까지 만든 지식 · 에이전트 · 프로세스가 실제 제품의 업무 흐름에 어떻게 연결되는지 살펴본다. 프로세스 정의 · 실행 인스턴스 · 작업함 · 에이전트 활동을 HYD 포털에서 해 본 것과 비교하고, 기업 업무에 적용할 때 필요한 권한 · 승인 · 실행 기록을 확인한다.</t>
        </is>
      </c>
      <c r="D120" s="132" t="n">
        <v>40</v>
      </c>
    </row>
    <row r="121" ht="108" customHeight="1" s="1">
      <c r="A121" s="129" t="inlineStr">
        <is>
          <t>실습(Notion)</t>
        </is>
      </c>
      <c r="B121" s="130" t="inlineStr">
        <is>
          <t>학습 내용과 제작 결과를 개인 지식 자산으로 정리하기</t>
        </is>
      </c>
      <c r="C121" s="131" t="inlineStr">
        <is>
          <t>1회차에 만든 Notion 학습노트에 개념 · 참고 자료 · 실습 산출물 · 검증 결과를 연결해 기록한다. MCP로 Notion에 기록을 남기는 방법을 살펴보고, 정리한 Markdown을 노트에 옮긴다. 관계 모델 · 판단 근거 · 명세 · 검증 결과 · 인계 기록을 함께 찾아볼 수 있게 정리하며 과정을 마친다.</t>
        </is>
      </c>
      <c r="D121" s="132" t="n">
        <v>20</v>
      </c>
    </row>
    <row r="122" ht="29" customHeight="1" s="1">
      <c r="A122" s="66" t="inlineStr">
        <is>
          <t>회차 합계</t>
        </is>
      </c>
      <c r="D122" s="49">
        <f>SUM(D114:D121)</f>
        <v/>
      </c>
    </row>
    <row r="123" s="1"/>
    <row r="124" ht="36" customHeight="1" s="1">
      <c r="A124" s="43" t="inlineStr">
        <is>
          <t>전체 온라인 강의 합계</t>
        </is>
      </c>
      <c r="D124" s="44">
        <f>SUM(D13,D24,D34,D44,D55,D67,D78,D89,D100,D110,D122)</f>
        <v/>
      </c>
    </row>
    <row r="125" s="1"/>
    <row r="126" ht="50" customHeight="1" s="1">
      <c r="A126" s="69" t="n"/>
    </row>
    <row r="127" s="1"/>
    <row r="128" ht="50" customHeight="1" s="1">
      <c r="A128" s="69" t="n"/>
    </row>
    <row r="129" s="1"/>
    <row r="130" ht="50" customHeight="1" s="1">
      <c r="A130" s="69" t="n"/>
    </row>
  </sheetData>
  <mergeCells count="28">
    <mergeCell ref="A80:C80"/>
    <mergeCell ref="A126:D126"/>
    <mergeCell ref="A46:C46"/>
    <mergeCell ref="A89:C89"/>
    <mergeCell ref="A55:C55"/>
    <mergeCell ref="A57:C57"/>
    <mergeCell ref="A26:C26"/>
    <mergeCell ref="A2:C2"/>
    <mergeCell ref="A130:D130"/>
    <mergeCell ref="A100:C100"/>
    <mergeCell ref="A122:C122"/>
    <mergeCell ref="A91:C91"/>
    <mergeCell ref="A4:C4"/>
    <mergeCell ref="A1:D1"/>
    <mergeCell ref="A112:C112"/>
    <mergeCell ref="A13:C13"/>
    <mergeCell ref="A44:C44"/>
    <mergeCell ref="A102:C102"/>
    <mergeCell ref="A67:C67"/>
    <mergeCell ref="A128:D128"/>
    <mergeCell ref="A34:C34"/>
    <mergeCell ref="A15:C15"/>
    <mergeCell ref="A24:C24"/>
    <mergeCell ref="A36:C36"/>
    <mergeCell ref="A110:C110"/>
    <mergeCell ref="A78:C78"/>
    <mergeCell ref="A124:C124"/>
    <mergeCell ref="A69:C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74"/>
  <sheetViews>
    <sheetView workbookViewId="0">
      <pane ySplit="3" topLeftCell="A4" activePane="bottomLeft" state="frozen"/>
      <selection activeCell="A1" sqref="A1"/>
    </sheetView>
  </sheetViews>
  <sheetFormatPr baseColWidth="8" defaultRowHeight="15"/>
  <cols>
    <col width="12" customWidth="1" style="1" min="1" max="1"/>
    <col width="46" customWidth="1" style="1" min="2" max="2"/>
    <col width="108" customWidth="1" style="1" min="3" max="3"/>
    <col width="12" customWidth="1" style="1" min="4" max="4"/>
  </cols>
  <sheetData>
    <row r="1" ht="46" customHeight="1" s="1">
      <c r="A1" s="84" t="inlineStr">
        <is>
          <t>HYD 제조 AI  |  실전반 온라인 32H 상세 실라버스</t>
        </is>
      </c>
      <c r="D1" s="84" t="n"/>
    </row>
    <row r="2" ht="36" customHeight="1" s="1">
      <c r="A2" s="66" t="inlineStr">
        <is>
          <t>8회 × 240분 | 회차마다 이론으로 배우고, 포털에서 써 보고, VS Code에서 직접 만들어 본다</t>
        </is>
      </c>
      <c r="D2" s="49">
        <f>SUM(D13,D27,D39,D52,D65,D79,D89,D101)</f>
        <v/>
      </c>
    </row>
    <row r="3" ht="12" customHeight="1" s="1">
      <c r="A3" s="73" t="n"/>
      <c r="B3" s="73" t="n"/>
      <c r="C3" s="73" t="n"/>
      <c r="D3" s="73" t="n"/>
    </row>
    <row r="4" ht="39" customHeight="1" s="1">
      <c r="A4" s="43" t="inlineStr">
        <is>
          <t>01회차  |  설비 데이터가 판단과 조치로 이어지는 전체 흐름 이해하기</t>
        </is>
      </c>
      <c r="D4" s="44" t="inlineStr">
        <is>
          <t>4H</t>
        </is>
      </c>
    </row>
    <row r="5" ht="29" customHeight="1" s="1">
      <c r="A5" s="49" t="inlineStr">
        <is>
          <t>구분</t>
        </is>
      </c>
      <c r="B5" s="49" t="inlineStr">
        <is>
          <t>제목</t>
        </is>
      </c>
      <c r="C5" s="49" t="inlineStr">
        <is>
          <t>상세 교육 내용</t>
        </is>
      </c>
      <c r="D5" s="49" t="inlineStr">
        <is>
          <t>시간(분)</t>
        </is>
      </c>
    </row>
    <row r="6" ht="108" customHeight="1" s="1">
      <c r="A6" s="56" t="inlineStr">
        <is>
          <t>이론</t>
        </is>
      </c>
      <c r="B6" s="55" t="inlineStr">
        <is>
          <t>학습 내용을 지식 자산으로 전환하는 방법 이해하기</t>
        </is>
      </c>
      <c r="C6" s="53" t="inlineStr">
        <is>
          <t>HYD의 전체 흐름을 보고 이후 실습에서 만들 지식·에이전트·업무 연결의 목표를 확인한다. 단순히 내용을 기록하는 것과 나중에 다시 찾아 활용할 수 있는 지식 자산으로 축적하는 것의 차이를 이해한다. 학습한 개념, 핵심 원리, 참고 자료와 출처, 실습 과정 및 결과를 체계적으로 연결해 기록하는 이유를 배운다. Notion을 활용해 수업이 끝난 뒤에도 지식을 검색·보완·재사용할 수 있는 개인 학습 체계를 마련하는 목적을 살펴본다.</t>
        </is>
      </c>
      <c r="D6" s="54" t="n">
        <v>10</v>
      </c>
    </row>
    <row r="7" ht="60" customHeight="1" s="1">
      <c r="A7" s="129" t="inlineStr">
        <is>
          <t>실습(Notion)</t>
        </is>
      </c>
      <c r="B7" s="130" t="inlineStr">
        <is>
          <t>Notion으로 지식 자산화를 위한 학습노트 만들기</t>
        </is>
      </c>
      <c r="C7" s="131" t="inlineStr">
        <is>
          <t>Notion에서 학습노트 홈과 주제별 카드·페이지를 구성한다. 샘플 개념·출처·실습 결과를 연결하고 검색·보완·재사용할 수 있도록 저장·재열기를 확인한다.</t>
        </is>
      </c>
      <c r="D7" s="132" t="n">
        <v>50</v>
      </c>
    </row>
    <row r="8" ht="60" customHeight="1" s="1">
      <c r="A8" s="56" t="inlineStr">
        <is>
          <t>이론</t>
        </is>
      </c>
      <c r="B8" s="55" t="inlineStr">
        <is>
          <t>설비 데이터가 판단으로 이어지는 시스템 구조와 데이터 흐름 이해하기</t>
        </is>
      </c>
      <c r="C8" s="53" t="inlineStr">
        <is>
          <t>선행 SCADA 교육에서 다룬 설비·센서·PLC·관제 화면의 역할을 간단히 복습한다. HYD 시스템의 전체 아키텍처와 L1~L9 레이어, OT·DMZ·IT 영역의 구분과 역할을 학습한다. 센서 데이터가 MQTT·메시지 처리·시계열 DB·분석 서비스를 거쳐 화면과 판단 기능에 활용되는 경로를 살펴본다. 데이터 리니지의 개념을 배우고, 원천 데이터·가공 데이터·이상 이벤트·판단 결과가 어떤 구성요소를 거쳐 생성되는지 살펴본다. 분석 결과가 실제 조치로 이어질 때 명령 게이트웨이와 설비 제어 영역이 필요한 이유도 이해한다.</t>
        </is>
      </c>
      <c r="D8" s="54" t="n">
        <v>50</v>
      </c>
    </row>
    <row r="9" ht="108" customHeight="1" s="1">
      <c r="A9" s="129" t="inlineStr">
        <is>
          <t>실습(포털)</t>
        </is>
      </c>
      <c r="B9" s="130" t="inlineStr">
        <is>
          <t>실습 환경을 시작하고 HYD 포털 둘러보기</t>
        </is>
      </c>
      <c r="C9" s="131" t="inlineStr">
        <is>
          <t>GitHub의 프로젝트 소개(README)로 이 시스템이 무엇이고 어떻게 이루어졌는지 본 뒤, 실습에 필요한 도구 여섯 개(Python · Node.js · VS Code · Git · WSL · Docker)가 각각 무슨 일을 맡는지 알고 직접 설치한다. VS Code에는 AI 코딩 도구인 Codex를 연결한다. 강사를 따라 프로젝트 저장소를 내려받고 시작 명령 한 번으로 여러 서비스를 함께 띄워 실행 상태를 확인한 뒤 HYD 포털을 연다. 홈에서 전체 상태와 시스템이 이어진 모습을 보고, 왼쪽의 일곱 메뉴 묶음을 차례로 열어 앞으로 각 화면에서 무엇을 하게 되는지 확인한다.</t>
        </is>
      </c>
      <c r="D9" s="132" t="n">
        <v>30</v>
      </c>
    </row>
    <row r="10" ht="60" customHeight="1" s="1">
      <c r="A10" s="64" t="inlineStr">
        <is>
          <t>실습(포털)</t>
        </is>
      </c>
      <c r="B10" s="55" t="inlineStr">
        <is>
          <t>설비 이상 발생부터 판단·승인·조치까지 전체 과정 경험하기</t>
        </is>
      </c>
      <c r="C10" s="53" t="inlineStr">
        <is>
          <t>강사를 따라 먼저 지식 관리에 설비 매뉴얼을 넣고, 에이전트가 고장 · 원인 · 조치를 추출해 오면 원문과 맞춰 검토한 뒤 지식으로 적재한다. 이어 결함 시뮬레이션에서 쿨러 열화를 직접 일으켜 경보가 뜨고 처리 건이 생기는 것을 본다. AI가 원인을 가리고 조치를 추천하면 내 작업함에서 운전원으로서 추천과 근거를 읽고 승인한 뒤, 시스템이 설비에 명령을 내리고 다시 관측해 정상으로 돌아온 결과와 따로 남은 정비 요청까지 처리 건에서 따라간다. 단계마다 어떤 정보가 쓰였고 무엇이 다음 단계로 넘어갔는지 비교하며, AI의 추천과 사람의 승인 · 실제 조치가 서로 다른 단계임을 확인한다.</t>
        </is>
      </c>
      <c r="D10" s="54" t="n">
        <v>20</v>
      </c>
    </row>
    <row r="11" ht="60" customHeight="1" s="1">
      <c r="A11" s="63" t="inlineStr">
        <is>
          <t>이론</t>
        </is>
      </c>
      <c r="B11" s="130" t="inlineStr">
        <is>
          <t>설비 데이터에 의미와 관계를 부여하는 온톨로지 이해하기</t>
        </is>
      </c>
      <c r="C11" s="131" t="inlineStr">
        <is>
          <t>센서에서 온도가 상승했다는 사실만으로는 어느 부품에 문제가 있는지, 가능한 원인이 무엇인지, 어떤 조치를 취해야 하는지 알기 어려운 이유를 살펴본다. 개별 수치와 데이터, 데이터에 의미를 부여한 정보, 판단에 활용할 수 있는 지식의 차이를 이해한다. 온톨로지가 대상의 종류·속성·관계·제약을 명시적으로 정의해 공통된 의미로 이해하도록 하는 지식 모델임을 배운다. 설비·센서·부품·증상·원인·조치·근거 문서가 어떻게 연결되는지 살펴보고, 단순한 관계 그림이나 그래프 DB 자체가 온톨로지와 동일한 것은 아니라는 점을 구분한다. 이를 통해 이후 원인 탐색과 근거 기반 판단에 온톨로지가 필요한 이유를 이해한다.</t>
        </is>
      </c>
      <c r="D11" s="132" t="n">
        <v>50</v>
      </c>
    </row>
    <row r="12" ht="118" customHeight="1" s="1">
      <c r="A12" s="64" t="inlineStr">
        <is>
          <t>실습(ARROWS)</t>
        </is>
      </c>
      <c r="B12" s="55" t="inlineStr">
        <is>
          <t>설비 이상과 원인·조치의 관계를 시각화하기</t>
        </is>
      </c>
      <c r="C12" s="53" t="inlineStr">
        <is>
          <t>arrows.app의 노드·관계·레이블 작성 방법을 익힌다. 간단한 설비 이상 사례를 바탕으로 설비·센서·증상·원인·조치를 배치하고 각각의 연결 관계를 직접 그린다. 어떤 대상이 다른 대상과 연결되는지, 관계의 방향을 어떻게 표현하는지 살펴본다. 완성한 관계도를 통해 단순히 정보를 나열하는 방식과 관계를 중심으로 표현하는 방식의 차이를 확인한다. 복잡한 온톨로지 스키마와 제약은 다음 학습에서 다룬다. 이 관계를 다음 회차에서 식별자와 속성을 갖춘 모델로 옮겨 실제 질의로 확인한다.</t>
        </is>
      </c>
      <c r="D12" s="54" t="n">
        <v>30</v>
      </c>
    </row>
    <row r="13" ht="29" customHeight="1" s="1">
      <c r="A13" s="66" t="inlineStr">
        <is>
          <t>회차 합계</t>
        </is>
      </c>
      <c r="D13" s="49">
        <f>SUM(D6:D12)</f>
        <v/>
      </c>
    </row>
    <row r="14">
      <c r="A14" s="73" t="n"/>
      <c r="B14" s="73" t="n"/>
      <c r="C14" s="73" t="n"/>
      <c r="D14" s="73" t="n"/>
    </row>
    <row r="15" ht="39" customHeight="1" s="1">
      <c r="A15" s="43" t="inlineStr">
        <is>
          <t>02회차  |  설비의 지식 구조를 만들고 안전한 조치 기준 마련하기</t>
        </is>
      </c>
      <c r="D15" s="44" t="inlineStr">
        <is>
          <t>4H</t>
        </is>
      </c>
    </row>
    <row r="16" ht="29" customHeight="1" s="1">
      <c r="A16" s="49" t="inlineStr">
        <is>
          <t>구분</t>
        </is>
      </c>
      <c r="B16" s="49" t="inlineStr">
        <is>
          <t>제목</t>
        </is>
      </c>
      <c r="C16" s="49" t="inlineStr">
        <is>
          <t>상세 교육 내용</t>
        </is>
      </c>
      <c r="D16" s="49" t="inlineStr">
        <is>
          <t>시간(분)</t>
        </is>
      </c>
    </row>
    <row r="17" ht="108" customHeight="1" s="1">
      <c r="A17" s="56" t="inlineStr">
        <is>
          <t>이론</t>
        </is>
      </c>
      <c r="B17" s="55" t="inlineStr">
        <is>
          <t>클래스와 인스턴스를 구분해 현장 정보의 구조 이해하기</t>
        </is>
      </c>
      <c r="C17" s="53" t="inlineStr">
        <is>
          <t>1회차에 그린 관계도를 식별자와 속성을 갖춘 구조로 옮기는 데 필요한 개념을 배운다. 클래스·인스턴스·속성·관계, 관계 방향, 카디널리티를 HYD 설비와 센서 실례로 살펴본다. 같은 종류의 설비와 실제 설비 1대를 구별한다.</t>
        </is>
      </c>
      <c r="D17" s="54" t="n">
        <v>25</v>
      </c>
    </row>
    <row r="18" ht="108" customHeight="1" s="1">
      <c r="A18" s="63" t="inlineStr">
        <is>
          <t>이론</t>
        </is>
      </c>
      <c r="B18" s="130" t="inlineStr">
        <is>
          <t>일관된 지식 구조를 만들기 위한 스키마 설계 원리 이해하기</t>
        </is>
      </c>
      <c r="C18" s="131" t="inlineStr">
        <is>
          <t>고유 식별자, 자료형, 필수값, 레이블, 노드 간 관계·제약, 스키마와 인스턴스의 역할 차이를 살펴본다. 중복 부품 명칭과 고유 식별자로 대상을 구분한 결과를 비교한다.</t>
        </is>
      </c>
      <c r="D18" s="132" t="n">
        <v>20</v>
      </c>
    </row>
    <row r="19" ht="60" customHeight="1" s="1">
      <c r="A19" s="56" t="inlineStr">
        <is>
          <t>이론</t>
        </is>
      </c>
      <c r="B19" s="55" t="inlineStr">
        <is>
          <t>그래프 DB에서 연결 관계를 조회하는 방법 이해하기</t>
        </is>
      </c>
      <c r="C19" s="53" t="inlineStr">
        <is>
          <t>Neo4j의 노드·관계·속성과 Cypher의 MATCH·WHERE·RETURN·CREATE·MERGE의 목적을 살펴본다. 구조 조회와 실제 데이터 적재를 구분한다.</t>
        </is>
      </c>
      <c r="D19" s="54" t="n">
        <v>15</v>
      </c>
    </row>
    <row r="20" ht="123" customHeight="1" s="1">
      <c r="A20" s="129" t="inlineStr">
        <is>
          <t>실습(Neo4j)</t>
        </is>
      </c>
      <c r="B20" s="130" t="inlineStr">
        <is>
          <t>Cypher로 그래프를 다루고 설비 조회 결과 해석하기</t>
        </is>
      </c>
      <c r="C20" s="131" t="inlineStr">
        <is>
          <t>Neo4j Browser의 연결·쿼리 실행·그래프와 표 보기 방법을 익힌다. 작은 예제에서 CREATE·MATCH·WHERE·RETURN·MERGE·SET으로 노드와 관계를 생성·조회·수정하고 그래프를 클릭해 속성을 확인한다. RETURN의 대상에 따른 그래프·표 결과를 비교한다. DELETE·DETACH DELETE 후 재조회해 연습 데이터를 정리한다. 이어 제공 설비 예제에서 구성 요소·센서·부품의 연결을 한 단계·여러 단계 경로로 조회하고 조건·집계 결과를 원래 행과 대조한다. 실습용 예제 DB와 포털 기준 DB를 구분한다.</t>
        </is>
      </c>
      <c r="D20" s="132" t="n">
        <v>15</v>
      </c>
    </row>
    <row r="21" ht="108" customHeight="1" s="1">
      <c r="A21" s="64" t="inlineStr">
        <is>
          <t>실습(포털)</t>
        </is>
      </c>
      <c r="B21" s="55" t="inlineStr">
        <is>
          <t>기준 설비 지식의 실제 연결 구조 확인하기</t>
        </is>
      </c>
      <c r="C21" s="53" t="inlineStr">
        <is>
          <t>강사를 따라 포털 지식 지도에서 설비 · 구성 요소 · 부품 · 문서의 연결을 펼치고 노드의 ID · 속성과 관계 방향을 확인한다. 한 부품을 사용하는 설비를 찾고, 연결이 있다는 사실과 실제 재고 · 공급 조건이 확보됐다는 판단을 구분한다.</t>
        </is>
      </c>
      <c r="D21" s="54" t="n">
        <v>10</v>
      </c>
    </row>
    <row r="22" ht="108" customHeight="1" s="1">
      <c r="A22" s="129" t="inlineStr">
        <is>
          <t>실습(VS Code)</t>
        </is>
      </c>
      <c r="B22" s="130" t="inlineStr">
        <is>
          <t>설비·부품·공급 정보를 연결하는 온톨로지 설계하기</t>
        </is>
      </c>
      <c r="C22" s="131" t="inlineStr">
        <is>
          <t>포털에서 본 부품 · 설비 연결에 공급 조건을 더해, 제공된 설비 · 부품 모델을 확장한다. 부품별 사용 설비와 공급사별 승인 여부 · 단가 · 불량률 · 납기를 찾을 질문을 정한다. 공용 부품을 설비별로 중복 생성하지 않고 단위와 출처를 보존한다. AI와 작성한 모델을 원자료의 품번 · 공급사 · 조건에 대조한다. 이 모델은 공급사를 골라 주는 판단이 아니라 고를 때 필요한 정보를 찾아 주는 구조임을 구분한다.</t>
        </is>
      </c>
      <c r="D22" s="132" t="n">
        <v>35</v>
      </c>
    </row>
    <row r="23" ht="108" customHeight="1" s="1">
      <c r="A23" s="64" t="inlineStr">
        <is>
          <t>실습(VS Code)</t>
        </is>
      </c>
      <c r="B23" s="55" t="inlineStr">
        <is>
          <t>부품의 사용 설비와 공급 정보를 조회하는 그래프 구현하기</t>
        </is>
      </c>
      <c r="C23" s="53" t="inlineStr">
        <is>
          <t>앞 실습의 확장 모델로 부품별 사용 설비와 공급 조건을 반환하는 적재 · 조회문을 작성한다. 스키마의 식별자와 관계 방향이 그래프의 노드 · 관계로 어떻게 옮겨지는지 다시 짚는다. 세 설비가 함께 쓰는 펌프 씰 부품의 사용 설비와 공급 조건 3행을 원자료와 대조한다. 다른 품번과 없는 품번도 확인하고, 비승인 공급사를 승인 상태와 함께 구별한다. 반복 적재의 중복 여부를 검사하고 질의 · 결과 · 남은 확인 사항을 저장한다.</t>
        </is>
      </c>
      <c r="D23" s="54" t="n">
        <v>35</v>
      </c>
    </row>
    <row r="24" ht="60" customHeight="1" s="1">
      <c r="A24" s="63" t="inlineStr">
        <is>
          <t>이론</t>
        </is>
      </c>
      <c r="B24" s="130" t="inlineStr">
        <is>
          <t>작업 절차와 판단 조건이 다른 이유 이해하기</t>
        </is>
      </c>
      <c r="C24" s="131" t="inlineStr">
        <is>
          <t>SOP의 단계·안전 전제·금지 조건과 DMN의 입력 조건·결정표·출력 판단을 비교한다. 절차를 모두 규칙으로 대체할 수 없다는 점을 살펴본다.</t>
        </is>
      </c>
      <c r="D24" s="132" t="n">
        <v>35</v>
      </c>
    </row>
    <row r="25" ht="72" customHeight="1" s="1">
      <c r="A25" s="63" t="inlineStr">
        <is>
          <t>실습(포털)</t>
        </is>
      </c>
      <c r="B25" s="130" t="inlineStr">
        <is>
          <t>포털에서 절차와 판단 조건이 나뉘어 쓰이는 모습 확인하기</t>
        </is>
      </c>
      <c r="C25" s="131" t="inlineStr">
        <is>
          <t>강사를 따라 조치 방법 화면에서 쿨러 조치의 수행 단계 · 담당 · 승인 역할과 연결된 고장 유형을 읽는다. 이어 조치 판단 규칙 화면에서 같은 설비와 이상 패턴을 골라 판단을 실행하고, 입력값 · 적용된 규칙 · 허용 또는 제외된 조치 후보를 SOP의 금지 조건과 대조해 절차가 정하는 것과 판단 규칙이 정하는 것을 구분한다.</t>
        </is>
      </c>
      <c r="D25" s="132" t="n">
        <v>15</v>
      </c>
    </row>
    <row r="26" ht="108" customHeight="1" s="1">
      <c r="A26" s="64" t="inlineStr">
        <is>
          <t>실습(VS Code)</t>
        </is>
      </c>
      <c r="B26" s="55" t="inlineStr">
        <is>
          <t>작업 기준의 복합 조건과 예외를 조치 조건표로 표현하기</t>
        </is>
      </c>
      <c r="C26" s="53" t="inlineStr">
        <is>
          <t>포털에서 본 허용 · 제외의 근거를 이번에는 제공 SOP에서 직접 뽑아, 경고·감점·제외를 구분해 입력·단위·연산자·경계·출력·출처를 조건표로 작성한다. 복수 사유를 함께 남기고, 입력 누락이 있어도 확인된 제외 근거는 보존한다. 후보 유지와 실행 승인을 구별한다. 다음 회차에는 이 조건표로 조치 검토 결과를 만들고 매뉴얼 근거를 연결한다.</t>
        </is>
      </c>
      <c r="D26" s="54" t="n">
        <v>35</v>
      </c>
    </row>
    <row r="27" ht="29" customHeight="1" s="1">
      <c r="A27" s="66" t="inlineStr">
        <is>
          <t>회차 합계</t>
        </is>
      </c>
      <c r="D27" s="49">
        <f>SUM(D17:D26)</f>
        <v/>
      </c>
    </row>
    <row r="28" s="1">
      <c r="A28" s="73" t="n"/>
      <c r="B28" s="73" t="n"/>
      <c r="C28" s="73" t="n"/>
      <c r="D28" s="73" t="n"/>
    </row>
    <row r="29" ht="39" customHeight="1" s="1">
      <c r="A29" s="43" t="inlineStr">
        <is>
          <t>03회차  |  조치의 성과를 비교하고 현장 자료를 판단 근거로 전환하기</t>
        </is>
      </c>
      <c r="D29" s="44" t="inlineStr">
        <is>
          <t>4H</t>
        </is>
      </c>
    </row>
    <row r="30" ht="29" customHeight="1" s="1">
      <c r="A30" s="49" t="inlineStr">
        <is>
          <t>구분</t>
        </is>
      </c>
      <c r="B30" s="49" t="inlineStr">
        <is>
          <t>제목</t>
        </is>
      </c>
      <c r="C30" s="49" t="inlineStr">
        <is>
          <t>상세 교육 내용</t>
        </is>
      </c>
      <c r="D30" s="49" t="inlineStr">
        <is>
          <t>시간(분)</t>
        </is>
      </c>
    </row>
    <row r="31" ht="108" customHeight="1" s="1">
      <c r="A31" s="56" t="inlineStr">
        <is>
          <t>이론</t>
        </is>
      </c>
      <c r="B31" s="55" t="inlineStr">
        <is>
          <t>조치의 효과를 비용과 성과 관점에서 평가하는 기준 이해하기</t>
        </is>
      </c>
      <c r="C31" s="53" t="inlineStr">
        <is>
          <t>조건표를 통과한 조치 후보를 무엇으로 견줄지, 성과 관점의 평가 기준을 배운다. BSC 4관점과 전략 목표·KPI의 역할, 안전을 만족한 후보 사이에서 예상 비용·생산 영향·품질·에너지 측면을 비교하는 이유, What-if 분석의 개념을 살펴본다.</t>
        </is>
      </c>
      <c r="D31" s="54" t="n">
        <v>20</v>
      </c>
    </row>
    <row r="32" ht="60" customHeight="1" s="1">
      <c r="A32" s="129" t="inlineStr">
        <is>
          <t>실습(포털)</t>
        </is>
      </c>
      <c r="B32" s="130" t="inlineStr">
        <is>
          <t>운전 조건을 바꿔 조치의 우선순위와 성과 비교하기</t>
        </is>
      </c>
      <c r="C32" s="131" t="inlineStr">
        <is>
          <t>강사를 따라 조치 판단 규칙 화면에서 같은 설비의 설비 상태 · 운전 모드를 바꿔 판단을 다시 실행하며 적용 규칙 · 허용 또는 제외된 조치 · 순위를 비교한다. 조건별 손익과 성과 지표 화면에서 값과 KPI 목표를 바꿔 예상 성과와 판정이 어떻게 달라지는지 보고, 결과의 근거와 입력 단위를 확인한다. 순위가 높은 후보라도 금지 조건에 해당하면 선택할 수 없는 이유를 결과에서 찾고, 시험값을 되돌려 원본이 그대로인지 확인해 시험값 변경과 실제 설비 조치를 구분한다.</t>
        </is>
      </c>
      <c r="D32" s="132" t="n">
        <v>15</v>
      </c>
    </row>
    <row r="33" ht="108" customHeight="1" s="1">
      <c r="A33" s="64" t="inlineStr">
        <is>
          <t>실습(VS Code)</t>
        </is>
      </c>
      <c r="B33" s="55" t="inlineStr">
        <is>
          <t>판정·성과 비교를 조치 검토 결과로 완성하기</t>
        </is>
      </c>
      <c r="C33" s="53" t="inlineStr">
        <is>
          <t>앞 회차 조건표를 읽어 후보별 판정과 조치 검토 결과를 만드는 기능을 작성한다. 경고 · 감점 · 제외 · 정보 부족을 구분하고, 허용 후보만 주어진 비용 · 생산 · 품질 · 에너지 비교 산식으로 견준다. 검토 결과에 후보별 이유 · 원문 출처 · 추가로 확인할 값을 함께 표시한다. 경계값, 제외 사유와 누락이 겹친 입력, 모두 제외된 입력으로 확인한다. 비교 순위와 실제 실행 승인은 구분한다.</t>
        </is>
      </c>
      <c r="D33" s="54" t="n">
        <v>35</v>
      </c>
    </row>
    <row r="34" ht="60" customHeight="1" s="1">
      <c r="A34" s="63" t="inlineStr">
        <is>
          <t>이론</t>
        </is>
      </c>
      <c r="B34" s="130" t="inlineStr">
        <is>
          <t>현장 문서를 검토 가능한 지식으로 전환하는 전체 과정 이해하기</t>
        </is>
      </c>
      <c r="C34" s="131" t="inlineStr">
        <is>
          <t>원본 문서 확보→추출→클래스·관계 매핑→원문 대조·검토→승인→그래프 적재→조회, 출처·개정 기록의 원리를 살펴본다. 2회차 샘플 인스턴스 적재와 본격 문서 인제스천의 차이를 구분한다.</t>
        </is>
      </c>
      <c r="D34" s="132" t="n">
        <v>30</v>
      </c>
    </row>
    <row r="35" ht="118.5" customHeight="1" s="1">
      <c r="A35" s="64" t="inlineStr">
        <is>
          <t>실습(포털)</t>
        </is>
      </c>
      <c r="B35" s="55" t="inlineStr">
        <is>
          <t>현장 매뉴얼을 검토해 근거 있는 지식으로 등록하기</t>
        </is>
      </c>
      <c r="C35" s="53" t="inlineStr">
        <is>
          <t>강사를 따라 지식 관리에서 제공된 설비 정비 매뉴얼을 올려 원문을 미리 보고 보관한 뒤, 에이전트에게 추출을 요청해 결과를 연다. 추출된 작업 절차 · 고장 유형 · 원인 · 조치 방법 · 수행 조건과 원문 구간을 나란히 놓고, 부정 조건 · 단위 · 작업 단계 순서 · 대상 설비를 원문과 비교해 잘못 옮겨진 단계는 고치고 원문에 없는 절차는 제외한다. 검토를 통과한 후보가 기존 온톨로지의 어떤 클래스 · 인스턴스 · 관계에 연결되는지 확인하고 적재한 뒤, 지식 지도에서 팬 운전과 핀 세척의 적용 조건 · 금지 사항 · 완료 기준이 어느 원문 절에 연결됐는지 찾아 작업 전에 확인해야 할 항목을 정리한다. 데이터 연결 화면에서 설비와 질문을 골라 질의를 직접 실행해, 현재 값을 문서의 기준값과 나란히 놓고 구분한다.</t>
        </is>
      </c>
      <c r="D35" s="54" t="n">
        <v>35</v>
      </c>
    </row>
    <row r="36" ht="148" customHeight="1" s="1">
      <c r="A36" s="129" t="inlineStr">
        <is>
          <t>실습(VS Code)</t>
        </is>
      </c>
      <c r="B36" s="130" t="inlineStr">
        <is>
          <t>문서에서 작업 조건과 근거를 추출하는 기능 만들기</t>
        </is>
      </c>
      <c r="C36" s="131" t="inlineStr">
        <is>
          <t>포털에서 본 문서 지식화 과정을 VS Code의 독립 랩으로 구현한다. 원문에서 작업 순서 · 조건 · 단위 · 금지 사항을 추출하고 문서 ID · 절 · 인용을 함께 반환하는 기능을 만든다. 생성된 후보를 원문과 대조하여 채택 · 수정 · 제외 · 보류를 기록한다. 다른 문서에도 적용해 누락과 근거 없는 생성을 확인한다. 선택한 작업의 준비 · 금지 · 완료 조건을 추출하여 다음 실습의 작업 확인 카드에 연결한다.</t>
        </is>
      </c>
      <c r="D36" s="132" t="n">
        <v>40</v>
      </c>
    </row>
    <row r="37" ht="148" customHeight="1" s="1">
      <c r="A37" s="64" t="inlineStr">
        <is>
          <t>실습(VS Code)</t>
        </is>
      </c>
      <c r="B37" s="55" t="inlineStr">
        <is>
          <t>검토 지식으로 작업 확인 카드 만들기</t>
        </is>
      </c>
      <c r="C37" s="53" t="inlineStr">
        <is>
          <t>앞 실습에서 검토해 승인한 지식을 별도 랩 DB의 기존 ID·관계에 연결한다. 선택한 작업의 준비·금지·완료 조건과 원문 출처를 모아 작업 확인 카드를 생성한다. 다른 작업·미제공 절·반복 적재를 확인하고 남은 질문을 표시한다. 질문·모델·문서·추출/검토·적재·조회 결과를 연결해 온톨로지 구축 결과로 저장한다. 공급 정보와 작업 조건을 어디까지 답할 수 있는지, 현재값·승인 없이 결정할 수 없는 것은 무엇인지 설명한다. 다음 회차에는 이 지식으로 점검 요청을 만든다.</t>
        </is>
      </c>
      <c r="D37" s="54" t="n">
        <v>35</v>
      </c>
    </row>
    <row r="38" ht="108" customHeight="1" s="1">
      <c r="A38" s="63" t="inlineStr">
        <is>
          <t>이론</t>
        </is>
      </c>
      <c r="B38" s="130" t="inlineStr">
        <is>
          <t>온톨로지 설계부터 지식 활용까지 전체 과정 정리하기 — Wrap-up</t>
        </is>
      </c>
      <c r="C38" s="131" t="inlineStr">
        <is>
          <t>온톨로지 WHY→클래스 · 스키마→그래프 DB→SOP · DMN→BSC · KPI→매뉴얼 인제스천의 역할과 다음 에이전트 학습으로 이어지는 지식 자산을 복습한다. 검토한 근거와 확인 항목은 다음 회차 점검 요청을 작성하는 에이전트의 입력으로 활용한다.</t>
        </is>
      </c>
      <c r="D38" s="132" t="n">
        <v>30</v>
      </c>
    </row>
    <row r="39" ht="29" customHeight="1" s="1">
      <c r="A39" s="66" t="inlineStr">
        <is>
          <t>회차 합계</t>
        </is>
      </c>
      <c r="D39" s="49">
        <f>SUM(D31:D38)</f>
        <v/>
      </c>
    </row>
    <row r="40" s="1">
      <c r="A40" s="50" t="n"/>
      <c r="B40" s="50" t="n"/>
      <c r="C40" s="50" t="n"/>
      <c r="D40" s="50" t="n"/>
    </row>
    <row r="41" ht="39" customHeight="1" s="1">
      <c r="A41" s="43" t="inlineStr">
        <is>
          <t>04회차  |  업무를 수행하는 AI를 만들고 다양한 도구 연결하기</t>
        </is>
      </c>
      <c r="D41" s="44" t="inlineStr">
        <is>
          <t>4H</t>
        </is>
      </c>
    </row>
    <row r="42" ht="29" customHeight="1" s="1">
      <c r="A42" s="49" t="inlineStr">
        <is>
          <t>구분</t>
        </is>
      </c>
      <c r="B42" s="49" t="inlineStr">
        <is>
          <t>제목</t>
        </is>
      </c>
      <c r="C42" s="49" t="inlineStr">
        <is>
          <t>상세 교육 내용</t>
        </is>
      </c>
      <c r="D42" s="49" t="inlineStr">
        <is>
          <t>시간(분)</t>
        </is>
      </c>
    </row>
    <row r="43" ht="148" customHeight="1" s="1">
      <c r="A43" s="56" t="inlineStr">
        <is>
          <t>이론</t>
        </is>
      </c>
      <c r="B43" s="55" t="inlineStr">
        <is>
          <t>실제 업무를 수행하는 AI의 구조 이해하기</t>
        </is>
      </c>
      <c r="C43" s="53" t="inlineStr">
        <is>
          <t>온톨로지 구축 결과를 점검 요청에 활용하는 사례에서 출발해 분석·시각화, 회의 후속 업무, 자기 자료 학습, 작성·검토 협업으로 에이전트의 활용 범위를 살펴본다. LLM·RAG·Agent의 목표·근거·도구·반복 실행 차이를 비교하고, 작업마다 필요한 입력·결과·검증이 달라짐을 이해한다. 무엇이든 자동 수행한다고 가정하지 않고 연결된 기능·권한·종료 조건과 사람의 판단을 구분한다.</t>
        </is>
      </c>
      <c r="D43" s="54" t="n">
        <v>25</v>
      </c>
    </row>
    <row r="44" ht="108" customHeight="1" s="1">
      <c r="A44" s="129" t="inlineStr">
        <is>
          <t>실습(포털)</t>
        </is>
      </c>
      <c r="B44" s="130" t="inlineStr">
        <is>
          <t>업무 에이전트를 구성하고 질문의 도구·근거 확인하기</t>
        </is>
      </c>
      <c r="C44" s="131" t="inlineStr">
        <is>
          <t>강사를 따라 에이전트 화면에서 기준 에이전트의 목표 · 지침 · 사용 도구를 읽고 나의 에이전트를 만든다. 원인 근거와 추가 확인을 정리하도록 역할 · 목표 · 성격을 쓰고 지식 그래프 · 업무 DB · 판단 도구 가운데 필요한 것을 고른다. 강의에서 다룬 쿨러 이상 질문을 직접 물어 실제 호출 입력 · 결과 · 관측 시각을 대조하고, 같은 질문에 대한 기준 에이전트의 답과 비교해 목표 · 지침을 바꾸면 답의 범위와 근거가 어떻게 달라지는지 확인한다. 지식에 없는 질문에는 답할 수 없다고 하는지 보고, 답이 길어진 것보다 근거가 확인되고 모르는 항목이 구분되는지를 기준으로 본다.</t>
        </is>
      </c>
      <c r="D44" s="132" t="n">
        <v>25</v>
      </c>
    </row>
    <row r="45" ht="128" customHeight="1" s="1">
      <c r="A45" s="64" t="inlineStr">
        <is>
          <t>실습(VS Code)</t>
        </is>
      </c>
      <c r="B45" s="55" t="inlineStr">
        <is>
          <t>원인 분석을 점검 요청 초안으로 연결하기</t>
        </is>
      </c>
      <c r="C45" s="53" t="inlineStr">
        <is>
          <t>포털에서 본 조회·판단을 독립 에이전트로 구현한다. 설비 그래프와 사례 입력을 읽는 도구를 연결하고 호출 기록에서 선택한 도구·입력·결과를 확인한다. 원인 후보·근거·추가 확인을 대상 설비·부품·관측 시각·확인 항목이 있는 점검 요청 초안으로 바꾼다. 오래된 값·표본 부족·복수 원인과 문서 기준의 차이를 대조한다. 다른 대상에도 적용하고 가설을 확정 원인으로 쓰거나 작업지시를 발행한 것처럼 표시하지 않는지 검증한다.</t>
        </is>
      </c>
      <c r="D45" s="54" t="n">
        <v>40</v>
      </c>
    </row>
    <row r="46" ht="60" customHeight="1" s="1">
      <c r="A46" s="63" t="inlineStr">
        <is>
          <t>이론</t>
        </is>
      </c>
      <c r="B46" s="130" t="inlineStr">
        <is>
          <t>반복 업무를 재사용 가능한 능력으로 만들기</t>
        </is>
      </c>
      <c r="C46" s="131" t="inlineStr">
        <is>
          <t>SKILL.md의 목표·호출 조건·입출력·절차, 현장 SOP와 Agent Skill의 차이를 학습한다. 여러 업무에 같은 지침을 재사용하는 이유를 살펴본다.</t>
        </is>
      </c>
      <c r="D46" s="132" t="n">
        <v>25</v>
      </c>
    </row>
    <row r="47" ht="56.5" customHeight="1" s="1">
      <c r="A47" s="63" t="inlineStr">
        <is>
          <t>실습(포털)</t>
        </is>
      </c>
      <c r="B47" s="130" t="inlineStr">
        <is>
          <t>포털에서 스킬을 만들어 에이전트에 붙여 보기</t>
        </is>
      </c>
      <c r="C47" s="131" t="inlineStr">
        <is>
          <t>강사를 따라 에이전트 화면의 스킬 탭에서 기준 스킬의 목적 · 호출 조건 · 입력 · 출력 · 순서를 읽고, 점검 요청에 확인할 항목과 근거를 꼭 남기게 하는 나의 스킬을 쓴다. 앞에서 만든 나의 에이전트에 붙여 같은 쿨러 이상 질문을 다시 묻고, 붙이기 전과 후의 답 · 근거가 어떻게 달라지는지 비교한다.</t>
        </is>
      </c>
      <c r="D47" s="132" t="n">
        <v>10</v>
      </c>
    </row>
    <row r="48" ht="108" customHeight="1" s="1">
      <c r="A48" s="64" t="inlineStr">
        <is>
          <t>실습(VS Code)</t>
        </is>
      </c>
      <c r="B48" s="55" t="inlineStr">
        <is>
          <t>회의 결정과 후속 업무를 추출하는 스킬 만들기</t>
        </is>
      </c>
      <c r="C48" s="53" t="inlineStr">
        <is>
          <t>포털에서 써 본 스킬의 구조로, 제공된 두 회의록에서 결정·제안·조건부 작업·담당 미정을 구분하는 스킬을 작성한다. 이전 결정과 후속 확인을 연결하여 전달 완료와 발주 완료, 설비별 점검 상태를 구별한다. 각 미결 항목에 다음 협의에서 확인할 질문과 원문 근거를 남기도록 지침을 보완한다. 두 원문에 다시 적용해 특정 이름·날짜에만 맞춘 결과가 아닌지 확인한다.</t>
        </is>
      </c>
      <c r="D48" s="54" t="n">
        <v>40</v>
      </c>
    </row>
    <row r="49" ht="60" customHeight="1" s="1">
      <c r="A49" s="63" t="inlineStr">
        <is>
          <t>이론</t>
        </is>
      </c>
      <c r="B49" s="130" t="inlineStr">
        <is>
          <t>외부 시스템과 안전하게 연결하는 방법 이해하기</t>
        </is>
      </c>
      <c r="C49" s="131" t="inlineStr">
        <is>
          <t>MCP Host·Client·Server·Tool, stdio·HTTP, 입력 스키마·출력, 읽기/쓰기 권한·호출 실패, HYD 포털과 로컬 MCP 설정의 차이를 살펴본다.</t>
        </is>
      </c>
      <c r="D49" s="132" t="n">
        <v>25</v>
      </c>
    </row>
    <row r="50" ht="56.5" customHeight="1" s="1">
      <c r="A50" s="63" t="inlineStr">
        <is>
          <t>실습(포털)</t>
        </is>
      </c>
      <c r="B50" s="130" t="inlineStr">
        <is>
          <t>포털의 업무 도구를 직접 호출하고 에이전트 근거와 대조하기</t>
        </is>
      </c>
      <c r="C50" s="131" t="inlineStr">
        <is>
          <t>강사를 따라 도구 연결 화면에서 지식 그래프 · 업무 DB · 판단 도구 서버의 연결 상태와 도구 목록(이름 · 입력 형식)을 열고, 도구 하나를 직접 불러 반환값을 확인한다. 나의 에이전트에 질문한 뒤 호출 기록에서 같은 도구의 입력 · 반환값을 찾아 답의 어느 근거에 쓰였는지 대조한다.</t>
        </is>
      </c>
      <c r="D50" s="132" t="n">
        <v>10</v>
      </c>
    </row>
    <row r="51" ht="148" customHeight="1" s="1">
      <c r="A51" s="64" t="inlineStr">
        <is>
          <t>실습(VS Code)</t>
        </is>
      </c>
      <c r="B51" s="55" t="inlineStr">
        <is>
          <t>외부 MCP와 내 도구로 다음 협의 안건 만들기</t>
        </is>
      </c>
      <c r="C51" s="53" t="inlineStr">
        <is>
          <t>포털에서 불러 본 도구와 같은 원리로, 자기가 정리한 Notion 회의 · 학습 기록의 읽기 연결과 파일 · Git · 시간 MCP를 설정한다. 제공 서버 골격에 점검 메모 조회 함수를 구현하고 외부 도구와 조합한다. 앞 회의 스킬을 재사용해 결정할 질문 · 확인된 사실 · 남은 확인 · 페이지나 파일 근거를 담은 다음 협의 안건을 만든다. 서로 다른 회의와 후속 변경을 대조하여 결정이 사라지거나 중복되지 않는지 확인한다. 접근 실패를 업무 없음으로 처리하지 않는다. 다음 회차에는 점검 요청을 사람이 판단해야 할 때와 새 요구를 명세 · 검증으로 반영하는 법을 다룬다.</t>
        </is>
      </c>
      <c r="D51" s="54" t="n">
        <v>40</v>
      </c>
    </row>
    <row r="52" ht="29" customHeight="1" s="1">
      <c r="A52" s="66" t="inlineStr">
        <is>
          <t>회차 합계</t>
        </is>
      </c>
      <c r="D52" s="49">
        <f>SUM(D43:D51)</f>
        <v/>
      </c>
    </row>
    <row r="53" s="1">
      <c r="A53" s="50" t="n"/>
      <c r="B53" s="50" t="n"/>
      <c r="C53" s="50" t="n"/>
      <c r="D53" s="50" t="n"/>
    </row>
    <row r="54" ht="39" customHeight="1" s="1">
      <c r="A54" s="43" t="inlineStr">
        <is>
          <t>05회차  |  사람과 협업하고 변경된 기능까지 검증하기</t>
        </is>
      </c>
      <c r="D54" s="44" t="inlineStr">
        <is>
          <t>4H</t>
        </is>
      </c>
    </row>
    <row r="55" ht="29" customHeight="1" s="1">
      <c r="A55" s="49" t="inlineStr">
        <is>
          <t>구분</t>
        </is>
      </c>
      <c r="B55" s="49" t="inlineStr">
        <is>
          <t>제목</t>
        </is>
      </c>
      <c r="C55" s="49" t="inlineStr">
        <is>
          <t>상세 교육 내용</t>
        </is>
      </c>
      <c r="D55" s="49" t="inlineStr">
        <is>
          <t>시간(분)</t>
        </is>
      </c>
    </row>
    <row r="56" ht="108" customHeight="1" s="1">
      <c r="A56" s="56" t="inlineStr">
        <is>
          <t>이론</t>
        </is>
      </c>
      <c r="B56" s="55" t="inlineStr">
        <is>
          <t>사람이 최종 판단해야 하는 상황 이해하기</t>
        </is>
      </c>
      <c r="C56" s="53" t="inlineStr">
        <is>
          <t>점검 요청을 바로 확정할 수 없는 경우를 구분하고, 새 요구를 반영해도 기존 조건을 지키게 한다. HITL의 승인·보류·거절, 역할별 책임·감사 기록, AI의 자체 검토와 사람 결정의 차이를 살펴본다.</t>
        </is>
      </c>
      <c r="D56" s="54" t="n">
        <v>20</v>
      </c>
    </row>
    <row r="57" ht="103" customHeight="1" s="1">
      <c r="A57" s="129" t="inlineStr">
        <is>
          <t>실습(포털)</t>
        </is>
      </c>
      <c r="B57" s="130" t="inlineStr">
        <is>
          <t>사람 승인에 따라 업무가 달라지는 과정 확인하기</t>
        </is>
      </c>
      <c r="C57" s="131" t="inlineStr">
        <is>
          <t>강사를 따라 쿨러 열화로 승인 대기 건을 만든다. 이상 확인 · 조치 화면에서 이 사건의 분석 근거와 에이전트 분석 기록을 먼저 읽는다. 에이전트 화면의 담당 배정에서 운전원 역할에 사람을 넣고 빼 보며 승인할 수 있는 사람이 어떻게 정해지는지 본 뒤 원래 구성으로 되돌린다. 이어 내 작업함에서 「나」를 바꿔 가며 권한 있는 담당자에게만 작업이 보이고 권한 없는 사람의 승인은 막히는지 확인한다. 권한 있는 담당자로서 추천 근거를 읽고 거절해 설비 명령 없이 결과 보고로 끝나는 것을 처리 건 기록에서 보고, 승인했던 처리 건과 비교해 대기 · 완료 상태와 사람의 결정이 결과를 어떻게 바꾸는지 확인한다.</t>
        </is>
      </c>
      <c r="D57" s="132" t="n">
        <v>20</v>
      </c>
    </row>
    <row r="58" ht="108" customHeight="1" s="1">
      <c r="A58" s="64" t="inlineStr">
        <is>
          <t>실습(VS Code)</t>
        </is>
      </c>
      <c r="B58" s="55" t="inlineStr">
        <is>
          <t>점검 요청의 부족한 정보를 질문하고 재개하기</t>
        </is>
      </c>
      <c r="C58" s="53" t="inlineStr">
        <is>
          <t>HITL의 보류 · 질문 경계를 다시 짚고, 4회차의 점검 요청 초안 기능을 이어 간다. 요청의 설비 · 경보 · 사례를 기존 자료로 먼저 확인하고 부족하거나 충돌한 정보만 질문하도록 확장한다. 답변을 같은 요청 번호에 연결해 다시 판단하며, 다른 요청의 답이 섞이지 않는지 대조한다. 초안의 확인 항목이 답변 전후에 어떻게 바뀌었는지 기록하고 정보 답변과 실제 승인을 구분한다.</t>
        </is>
      </c>
      <c r="D58" s="54" t="n">
        <v>30</v>
      </c>
    </row>
    <row r="59" ht="60" customHeight="1" s="1">
      <c r="A59" s="63" t="inlineStr">
        <is>
          <t>이론</t>
        </is>
      </c>
      <c r="B59" s="130" t="inlineStr">
        <is>
          <t>기존 기능을 보존하면서 요구사항 확장하기</t>
        </is>
      </c>
      <c r="C59" s="131" t="inlineStr">
        <is>
          <t>명세 주도 개발(SDD)의 입력/출력 계약·제약·수용 기준과 모호한 바이브 코딩 변경이 쌓이면 기능이 늘어날수록 기존 기능이 계속 흔들려 유지보수가 어려워지는 위험을 살펴본다. spec.md에 지켜야 할 일반 업무 기능과 긴급 요청의 차이를 명시하는 이유를 연결한다.</t>
        </is>
      </c>
      <c r="D59" s="132" t="n">
        <v>30</v>
      </c>
    </row>
    <row r="60" ht="108" customHeight="1" s="1">
      <c r="A60" s="64" t="inlineStr">
        <is>
          <t>실습(VS Code)</t>
        </is>
      </c>
      <c r="B60" s="55" t="inlineStr">
        <is>
          <t>내 활용 기능의 요구 변경을 명세하고 구현하기</t>
        </is>
      </c>
      <c r="C60" s="53" t="inlineStr">
        <is>
          <t>점검 요청에 긴급 확인 표시를 추가하는 요구를 명세한다. 쿨러 경보이면서 유효한 온도 센서의 120초 평균이 60도 이상일 때를 긴급 조건으로 적용하고, 값 누락 · 신선도 실패 · 표본 부족은 미판정으로 남긴다. 기존 요청의 출력과 질문 · 승인 조건을 보존하면서 구현한다. 요청 초안에서 긴급 표시의 이유와 확인할 항목을 읽을 수 있는지 대조한다.</t>
        </is>
      </c>
      <c r="D60" s="54" t="n">
        <v>45</v>
      </c>
    </row>
    <row r="61" ht="60" customHeight="1" s="1">
      <c r="A61" s="63" t="inlineStr">
        <is>
          <t>이론</t>
        </is>
      </c>
      <c r="B61" s="130" t="inlineStr">
        <is>
          <t>에이전트의 행동을 시나리오로 검증하기</t>
        </is>
      </c>
      <c r="C61" s="131" t="inlineStr">
        <is>
          <t>행동 주도 개발(BDD)의 Given/When/Then, SDD와의 차이, 정상·누락·거절·경계 조건 및 회귀 검증을 살펴본다.</t>
        </is>
      </c>
      <c r="D61" s="132" t="n">
        <v>20</v>
      </c>
    </row>
    <row r="62" ht="56.5" customHeight="1" s="1">
      <c r="A62" s="63" t="inlineStr">
        <is>
          <t>실습(포털)</t>
        </is>
      </c>
      <c r="B62" s="130" t="inlineStr">
        <is>
          <t>같은 입력으로 판단을 비교하고 기대 결과로 채점하기</t>
        </is>
      </c>
      <c r="C62" s="131" t="inlineStr">
        <is>
          <t>강사를 따라 시험 비교 화면에서 같은 쿨러 이상 입력으로 기준 에이전트와 나의 에이전트를 함께 실행해 판단 · 근거 · 도구 호출을 나란히 비교한다. 판단 채점 화면에서 기대 판단을 정답표 항목으로 적고 채점을 여러 번 실행해, 기대와 다른 항목과 그 까닭을 실행 기록에서 찾고 결과가 매번 같은지 본다.</t>
        </is>
      </c>
      <c r="D62" s="132" t="n">
        <v>10</v>
      </c>
    </row>
    <row r="63" ht="108" customHeight="1" s="1">
      <c r="A63" s="64" t="inlineStr">
        <is>
          <t>실습(VS Code)</t>
        </is>
      </c>
      <c r="B63" s="55" t="inlineStr">
        <is>
          <t>직접 정한 기대 결과로 활용 기능 검증하기</t>
        </is>
      </c>
      <c r="C63" s="53" t="inlineStr">
        <is>
          <t>일반·긴급·경계값·정보 누락·거절·도구 오류의 기대 결과를 명세와 원자료에서 먼저 작성한다. 테스트 골격에 판정 코드를 구현하여 점검 요청의 긴급 표시·근거·미확인·기존 출력 계약을 검사한다. 실제 오류의 원인을 고친 뒤 기존 사례도 재실행한다. 모델 표현 차이와 계약 위반을 구분하고, 새 대상에 적용한 결과와 재사용할 명세·검증 기록을 저장한다.</t>
        </is>
      </c>
      <c r="D63" s="54" t="n">
        <v>35</v>
      </c>
    </row>
    <row r="64" ht="108" customHeight="1" s="1">
      <c r="A64" s="63" t="inlineStr">
        <is>
          <t>이론</t>
        </is>
      </c>
      <c r="B64" s="130" t="inlineStr">
        <is>
          <t>업무 에이전트의 제작과 검증 과정 정리하기 — Wrap-up</t>
        </is>
      </c>
      <c r="C64" s="131" t="inlineStr">
        <is>
          <t>Agent · Skill · MCP · HITL · SDD · BDD가 각각 해결하는 문제와 구현 산출물을 복습한다. 검증한 개별 작업을 다음 회차에서 사람의 승인과 연결한 BPMN 흐름으로 표현한다.</t>
        </is>
      </c>
      <c r="D64" s="132" t="n">
        <v>30</v>
      </c>
    </row>
    <row r="65" ht="29" customHeight="1" s="1">
      <c r="A65" s="66" t="inlineStr">
        <is>
          <t>회차 합계</t>
        </is>
      </c>
      <c r="D65" s="49">
        <f>SUM(D56:D64)</f>
        <v/>
      </c>
    </row>
    <row r="66" s="1">
      <c r="A66" s="50" t="n"/>
      <c r="B66" s="50" t="n"/>
      <c r="C66" s="50" t="n"/>
      <c r="D66" s="50" t="n"/>
    </row>
    <row r="67" ht="39" customHeight="1" s="1">
      <c r="A67" s="43" t="inlineStr">
        <is>
          <t>06회차  |  설비 이상 대응을 안전하게 실행하는 프로세스 완성하기</t>
        </is>
      </c>
      <c r="D67" s="44" t="inlineStr">
        <is>
          <t>4H</t>
        </is>
      </c>
    </row>
    <row r="68" ht="29" customHeight="1" s="1">
      <c r="A68" s="49" t="inlineStr">
        <is>
          <t>구분</t>
        </is>
      </c>
      <c r="B68" s="49" t="inlineStr">
        <is>
          <t>제목</t>
        </is>
      </c>
      <c r="C68" s="49" t="inlineStr">
        <is>
          <t>상세 교육 내용</t>
        </is>
      </c>
      <c r="D68" s="49" t="inlineStr">
        <is>
          <t>시간(분)</t>
        </is>
      </c>
    </row>
    <row r="69" ht="108" customHeight="1" s="1">
      <c r="A69" s="56" t="inlineStr">
        <is>
          <t>이론</t>
        </is>
      </c>
      <c r="B69" s="55" t="inlineStr">
        <is>
          <t>AI 작업과 비즈니스 프로세스의 차이 이해하기</t>
        </is>
      </c>
      <c r="C69" s="53" t="inlineStr">
        <is>
          <t>개별 판단이 실제 조치로 이어지려면 어떤 역할·승인·실행 연결이 필요한지 흐름과 기록을 대조한다. End-to-End 업무, 시작·입력·담당·완료와 BPM의 분석·설계·실행·모니터링·개선, 에이전트의 단일 작업과 오케스트레이션의 전체 흐름 책임을 살펴본다.</t>
        </is>
      </c>
      <c r="D69" s="54" t="n">
        <v>20</v>
      </c>
    </row>
    <row r="70" ht="60" customHeight="1" s="1">
      <c r="A70" s="63" t="inlineStr">
        <is>
          <t>이론</t>
        </is>
      </c>
      <c r="B70" s="130" t="inlineStr">
        <is>
          <t>업무 흐름을 표현하는 공통 규칙 이해하기</t>
        </is>
      </c>
      <c r="C70" s="131" t="inlineStr">
        <is>
          <t>BPMN의 Event·Task·Gateway·Lane·Sequence Flow·Message Flow, 승인·거절·Timer·Boundary Event를 설비 이상 대응을 통해 살펴본다.</t>
        </is>
      </c>
      <c r="D70" s="132" t="n">
        <v>20</v>
      </c>
    </row>
    <row r="71" ht="60" customHeight="1" s="1">
      <c r="A71" s="56" t="inlineStr">
        <is>
          <t>이론</t>
        </is>
      </c>
      <c r="B71" s="55" t="inlineStr">
        <is>
          <t>프로세스의 실행과 통제 구조 이해하기</t>
        </is>
      </c>
      <c r="C71" s="53" t="inlineStr">
        <is>
          <t>정의·인스턴스·프로세스 변수·Token, 프로세스 엔진, User/Service/Agent 작업, 상태·권한·배포·감사 기록의 의미를 살펴본다.</t>
        </is>
      </c>
      <c r="D71" s="54" t="n">
        <v>20</v>
      </c>
    </row>
    <row r="72" ht="60" customHeight="1" s="1">
      <c r="A72" s="129" t="inlineStr">
        <is>
          <t>실습(bpmn.io)</t>
        </is>
      </c>
      <c r="B72" s="130" t="inlineStr">
        <is>
          <t>업무 설계 도구의 기본 사용법 익히기</t>
        </is>
      </c>
      <c r="C72" s="131" t="inlineStr">
        <is>
          <t>bpmn.io에서 요소 배치·연결·수정·속성 확인, .bpmn 저장·불러오기를 직접 실행한다.</t>
        </is>
      </c>
      <c r="D72" s="132" t="n">
        <v>20</v>
      </c>
    </row>
    <row r="73" ht="60" customHeight="1" s="1">
      <c r="A73" s="64" t="inlineStr">
        <is>
          <t>실습(bpmn.io)</t>
        </is>
      </c>
      <c r="B73" s="55" t="inlineStr">
        <is>
          <t>간단한 승인 업무 흐름 그려보기</t>
        </is>
      </c>
      <c r="C73" s="53" t="inlineStr">
        <is>
          <t>시작→요청 확인→승인 여부→승인/거절 종료를 그려 Event·Task·Gateway와 각 경로 연결을 확인한다.</t>
        </is>
      </c>
      <c r="D73" s="54" t="n">
        <v>15</v>
      </c>
    </row>
    <row r="74" ht="60" customHeight="1" s="1">
      <c r="A74" s="129" t="inlineStr">
        <is>
          <t>실습(bpmn.io)</t>
        </is>
      </c>
      <c r="B74" s="130" t="inlineStr">
        <is>
          <t>설비 이상을 조치까지 연결하는 흐름 설계하기</t>
        </is>
      </c>
      <c r="C74" s="131" t="inlineStr">
        <is>
          <t>쿨러 경보→진단·조치 제안 에이전트→운전원 승인→PLC 명령→효과 재확인→보고를 bpmn.io에서 작성하고 역할별 Lane을 구성한다.</t>
        </is>
      </c>
      <c r="D74" s="132" t="n">
        <v>35</v>
      </c>
    </row>
    <row r="75" ht="60" customHeight="1" s="1">
      <c r="A75" s="64" t="inlineStr">
        <is>
          <t>실습(bpmn.io)</t>
        </is>
      </c>
      <c r="B75" s="55" t="inlineStr">
        <is>
          <t>승인 조건과 예외를 반영해 안전한 흐름 만들기</t>
        </is>
      </c>
      <c r="C75" s="53" t="inlineStr">
        <is>
          <t>승인·거절 분기, 거절 종료, 승인 지연 알림 Timer를 구성한다. 거절 시 명령이 실행되지 않으며 알림이 사람 작업을 취소하지 않는 구조를 확인한다.</t>
        </is>
      </c>
      <c r="D75" s="54" t="n">
        <v>30</v>
      </c>
    </row>
    <row r="76" ht="92" customHeight="1" s="1">
      <c r="A76" s="129" t="inlineStr">
        <is>
          <t>실습(포털 · bpmn.io)</t>
        </is>
      </c>
      <c r="B76" s="130" t="inlineStr">
        <is>
          <t>작성한 BPMN과 등록된 작업의 실행 연결 비교하기</t>
        </is>
      </c>
      <c r="C76" s="131" t="inlineStr">
        <is>
          <t>강사를 따라 포털 흐름 가져오기 화면에서 등록된 냉각 대응 흐름의 매핑을 열어, 쿨러 경보 시작 조건 · 진단 · 조치 제안 에이전트 · 운전원 승인 역할 · 설비 명령 · 재관측 · 결과 보고 작업과 승인 · 거절 분기 조건이 어떻게 연결돼 있는지 확인한다. bpmn.io에서 그린 자신의 흐름과 나란히 놓고 각 작업이 어떤 실행 기능에 대응하는지 표시해 빠진 연결을 찾는다.</t>
        </is>
      </c>
      <c r="D76" s="132" t="n">
        <v>30</v>
      </c>
    </row>
    <row r="77" ht="92" customHeight="1" s="1">
      <c r="A77" s="64" t="inlineStr">
        <is>
          <t>실습(bpmn.io)</t>
        </is>
      </c>
      <c r="B77" s="55" t="inlineStr">
        <is>
          <t>BPMN의 역할·분기·종료 연결 검사하고 수정하기</t>
        </is>
      </c>
      <c r="C77" s="53" t="inlineStr">
        <is>
          <t>등록된 기준 흐름의 승인 · 거절 경로와 종료 연결을 따라가며, 자신의 BPMN에서 작업 담당 역할 · 실행 기능 · 분기 조건 · 종료가 빠지거나 어긋난 곳을 찾아 고친다. 고친 그림을 다시 기준 흐름과 대조해 모든 경로가 끝까지 이어지는지 확인한다.</t>
        </is>
      </c>
      <c r="D77" s="54" t="n">
        <v>25</v>
      </c>
    </row>
    <row r="78" ht="118.5" customHeight="1" s="1">
      <c r="A78" s="129" t="inlineStr">
        <is>
          <t>실습(포털)</t>
        </is>
      </c>
      <c r="B78" s="130" t="inlineStr">
        <is>
          <t>실제 설비 이벤트로 프로세스의 처리 결과 검증하기</t>
        </is>
      </c>
      <c r="C78" s="131" t="inlineStr">
        <is>
          <t>강사를 따라 쿨러 열화를 일으켜 처리 건을 만들고, 같은 처리 건의 판단→운전원 승인→명령→재관측→보고를 처리 건 화면에서 따라간다. 처리 건이 어느 흐름 · 판본으로 열렸는지 확인하고, 승인 대기 · 정상 종료 · 거절로 끝난 처리 건을 구분해 비교한다. 명령 처리와 온도 회복, 작업지시 등록과 정비 완료를 따로 확인한다. 다음 담당자가 계속 확인할 일이 무엇인지 근거와 함께 설명한다. 작성한 BPMN에서 해당 작업을 찾고 실제 정의 · 판본 · 처리 건과 결과를 기록한다. 처리 기록에서 단계를 펼쳐 도구 호출 원문을 다시 읽고, 다시 수행의 영향 확인으로 어느 단계부터 다시 돌리면 무엇이 바뀌는지 미리 본다. 다음 회차에는 같은 설계 원리를 정비와 구매 업무에 적용한다.</t>
        </is>
      </c>
      <c r="D78" s="132" t="n">
        <v>25</v>
      </c>
    </row>
    <row r="79" ht="29" customHeight="1" s="1">
      <c r="A79" s="66" t="inlineStr">
        <is>
          <t>회차 합계</t>
        </is>
      </c>
      <c r="D79" s="49">
        <f>SUM(D69:D78)</f>
        <v/>
      </c>
    </row>
    <row r="80" s="1">
      <c r="A80" s="50" t="n"/>
      <c r="B80" s="50" t="n"/>
      <c r="C80" s="50" t="n"/>
      <c r="D80" s="50" t="n"/>
    </row>
    <row r="81" ht="39" customHeight="1" s="1">
      <c r="A81" s="43" t="inlineStr">
        <is>
          <t>07회차  |  정비와 구매 업무를 연결하고 프로세스의 실행 결과 검증하기</t>
        </is>
      </c>
      <c r="D81" s="44" t="inlineStr">
        <is>
          <t>4H</t>
        </is>
      </c>
    </row>
    <row r="82" ht="29" customHeight="1" s="1">
      <c r="A82" s="49" t="inlineStr">
        <is>
          <t>구분</t>
        </is>
      </c>
      <c r="B82" s="49" t="inlineStr">
        <is>
          <t>제목</t>
        </is>
      </c>
      <c r="C82" s="49" t="inlineStr">
        <is>
          <t>상세 교육 내용</t>
        </is>
      </c>
      <c r="D82" s="49" t="inlineStr">
        <is>
          <t>시간(분)</t>
        </is>
      </c>
    </row>
    <row r="83" ht="108" customHeight="1" s="1">
      <c r="A83" s="56" t="inlineStr">
        <is>
          <t>이론</t>
        </is>
      </c>
      <c r="B83" s="55" t="inlineStr">
        <is>
          <t>여러 업무의 시작 조건과 실행 결과를 일관되게 관리하기</t>
        </is>
      </c>
      <c r="C83" s="53" t="inlineStr">
        <is>
          <t>설비 제어와 정비·구매 처리가 끝나는 지점을 구분하고 각 결과를 실행 기록에서 확인한다. 정기 점검 도래와 재고 부족 시작 이벤트, 승인자·시스템 차이, 프로세스 정의 재사용·인스턴스 상태·배포·오류·거절 기록을 사례로 살펴본다.</t>
        </is>
      </c>
      <c r="D83" s="54" t="n">
        <v>20</v>
      </c>
    </row>
    <row r="84" ht="60" customHeight="1" s="1">
      <c r="A84" s="129" t="inlineStr">
        <is>
          <t>실습(bpmn.io)</t>
        </is>
      </c>
      <c r="B84" s="130" t="inlineStr">
        <is>
          <t>정기 점검부터 작업지시까지 이어지는 프로세스 설계하기</t>
        </is>
      </c>
      <c r="C84" s="131" t="inlineStr">
        <is>
          <t>bpmn.io에서 정기 점검 도래→정비 계획 에이전트→설비보전팀장 승인·거절→CMMS 오더→생산팀 공지→종료를 그린다. 공통 역할·승인 구조에 기반해 작업과 분기 조건을 완성한다.</t>
        </is>
      </c>
      <c r="D84" s="132" t="n">
        <v>50</v>
      </c>
    </row>
    <row r="85" ht="108" customHeight="1" s="1">
      <c r="A85" s="64" t="inlineStr">
        <is>
          <t>실습(포털)</t>
        </is>
      </c>
      <c r="B85" s="55" t="inlineStr">
        <is>
          <t>정비 프로세스를 실행하고 승인 조건 검증하기</t>
        </is>
      </c>
      <c r="C85" s="53" t="inlineStr">
        <is>
          <t>강사를 따라 정기 점검 도래를 일으켜 등록된 정비 흐름으로 처리 건을 시작하고, 점검 시점 제안과 근거를 읽은 뒤 설비보전팀장으로 결정한다. 승인했을 때 승인과 실행 화면의 기업 시스템 현황 · 실행 이력에서 작업지시 · 부품 예약 · 생산 공지의 변경 전 · 후와 보고를, 거절했을 때 오더가 만들어지지 않는 것을 비교하고, 오더 등록과 실제 정비 완료를 구분해 결과를 자신의 BPMN 작업과 연결한다. 이 결과로 다음 교대가 무엇을 이어받아 확인해야 하는지 근거와 함께 정리한다.</t>
        </is>
      </c>
      <c r="D85" s="54" t="n">
        <v>45</v>
      </c>
    </row>
    <row r="86" ht="60" customHeight="1" s="1">
      <c r="A86" s="129" t="inlineStr">
        <is>
          <t>실습(bpmn.io)</t>
        </is>
      </c>
      <c r="B86" s="130" t="inlineStr">
        <is>
          <t>재고 부족부터 발주·입고까지 이어지는 프로세스 설계하기</t>
        </is>
      </c>
      <c r="C86" s="131" t="inlineStr">
        <is>
          <t>bpmn.io에서 재고 부족→기존 구매 에이전트→구매 담당자 승인·거절→ERP 발주→공급사 통지→즉시 입고 반영→종료를 작성한다.</t>
        </is>
      </c>
      <c r="D86" s="132" t="n">
        <v>50</v>
      </c>
    </row>
    <row r="87" ht="108" customHeight="1" s="1">
      <c r="A87" s="64" t="inlineStr">
        <is>
          <t>실습(포털)</t>
        </is>
      </c>
      <c r="B87" s="55" t="inlineStr">
        <is>
          <t>구매 프로세스를 실행하고 처리 결과 검증하기</t>
        </is>
      </c>
      <c r="C87" s="53" t="inlineStr">
        <is>
          <t>강사를 따라 재고 보충을 일으켜 등록된 구매 흐름으로 처리 건을 시작하고, 공급사 · 수량의 제안 근거와 승인 조건을 확인한 뒤 구매 담당자로 결정한다. 승인했을 때 승인과 실행 화면의 기업 시스템 현황 · 실행 이력에서 발주 · 통지 · 입고 · 재고 반영을, 거절했을 때 발주가 막히는 것을 비교하고, 바로 반영되는 입고와 실제 배송 · 도착을 구분해 결과를 자신의 BPMN 작업과 연결한다. 발주 중과 입고 완료를 구분해 다음 교대에 전달할 수량과 남은 확인을 정리한다.</t>
        </is>
      </c>
      <c r="D87" s="54" t="n">
        <v>45</v>
      </c>
    </row>
    <row r="88" ht="108" customHeight="1" s="1">
      <c r="A88" s="63" t="inlineStr">
        <is>
          <t>이론</t>
        </is>
      </c>
      <c r="B88" s="130" t="inlineStr">
        <is>
          <t>프로세스 설계·실행·검증 과정 정리하기 — Wrap-up</t>
        </is>
      </c>
      <c r="C88" s="131" t="inlineStr">
        <is>
          <t>BPMN 모델, 엔진의 정의 · 인스턴스, 이벤트 · 에이전트 · 사람 · 시스템의 역할과 온톨로지부터 프로세스까지의 학습 연결을 복습한다. 다음 회차에는 이 기록의 미완료 · 불일치를 인계안으로 모아 사람의 검토 · 확인까지 연결한다.</t>
        </is>
      </c>
      <c r="D88" s="132" t="n">
        <v>30</v>
      </c>
    </row>
    <row r="89" ht="29" customHeight="1" s="1">
      <c r="A89" s="66" t="inlineStr">
        <is>
          <t>회차 합계</t>
        </is>
      </c>
      <c r="D89" s="49">
        <f>SUM(D83:D88)</f>
        <v/>
      </c>
    </row>
    <row r="90" s="1">
      <c r="A90" s="50" t="n"/>
      <c r="B90" s="50" t="n"/>
      <c r="C90" s="50" t="n"/>
      <c r="D90" s="50" t="n"/>
    </row>
    <row r="91" ht="39" customHeight="1" s="1">
      <c r="A91" s="43" t="inlineStr">
        <is>
          <t>08회차  |  추가 지식과 에이전트로 교대 인수인계 완성하기</t>
        </is>
      </c>
      <c r="D91" s="44" t="inlineStr">
        <is>
          <t>4H</t>
        </is>
      </c>
    </row>
    <row r="92" ht="29" customHeight="1" s="1">
      <c r="A92" s="49" t="inlineStr">
        <is>
          <t>구분</t>
        </is>
      </c>
      <c r="B92" s="49" t="inlineStr">
        <is>
          <t>제목</t>
        </is>
      </c>
      <c r="C92" s="49" t="inlineStr">
        <is>
          <t>상세 교육 내용</t>
        </is>
      </c>
      <c r="D92" s="49" t="inlineStr">
        <is>
          <t>시간(분)</t>
        </is>
      </c>
    </row>
    <row r="93" ht="108" customHeight="1" s="1">
      <c r="A93" s="56" t="inlineStr">
        <is>
          <t>이론</t>
        </is>
      </c>
      <c r="B93" s="55" t="inlineStr">
        <is>
          <t>현장 지식이 AI의 판단 근거가 되는 과정 복습하기</t>
        </is>
      </c>
      <c r="C93" s="53" t="inlineStr">
        <is>
          <t>지식·도구·에이전트·승인 흐름을 교대 인수인계 한 건에 연결하여 결과와 근거를 확인한다. 온톨로지·스키마·그래프·SOP·DMN·BSC/KPI·매뉴얼 인제스천에서 만든 공용 지식이 에이전트 도구 조회로 어떻게 쓰이는지 되짚는다.</t>
        </is>
      </c>
      <c r="D93" s="54" t="n">
        <v>30</v>
      </c>
    </row>
    <row r="94" ht="60" customHeight="1" s="1">
      <c r="A94" s="63" t="inlineStr">
        <is>
          <t>이론</t>
        </is>
      </c>
      <c r="B94" s="130" t="inlineStr">
        <is>
          <t>에이전트가 사람과 시스템을 통해 업무를 완료하는 구조 복습하기</t>
        </is>
      </c>
      <c r="C94" s="131" t="inlineStr">
        <is>
          <t>Agent·Skill·MCP·HITL·SDD·BDD, BPMN 정의·인스턴스·작업 담당·승인·시스템 작업의 차이를 전체 처리 건 시나리오로 연결한다.</t>
        </is>
      </c>
      <c r="D94" s="132" t="n">
        <v>30</v>
      </c>
    </row>
    <row r="95" ht="108" customHeight="1" s="1">
      <c r="A95" s="64" t="inlineStr">
        <is>
          <t>실습(포털)</t>
        </is>
      </c>
      <c r="B95" s="55" t="inlineStr">
        <is>
          <t>교대 인수인계의 입력과 완료 조건 정의하기</t>
        </is>
      </c>
      <c r="C95" s="53" t="inlineStr">
        <is>
          <t>강사를 따라 포털 흐름 가져오기 화면에서 교대 인수인계 흐름의 시작 입력 항목(설비 · 교대 · 기준 시각 · 작업 메모)을 열어 본다. 앞 회차에서 처리한 조치 · 정비 · 구매 기록을 이어받아, 다음 담당자가 설비 상태 · 열린 작업 · 부품 · 작업 메모를 이어 확인할 교대 인수인계 문제를 정한다. 교대 점검 보충 매뉴얼의 기준에 맞춰 대상 · 교대 · 기준 시각 · 메모를 정리한다. 인계안의 각 주장에 근거가 있고, 불일치와 확인할 일이 남으며, 인계자 검토와 인수자 확인이 기록되는 것을 완료 조건으로 정한다.</t>
        </is>
      </c>
      <c r="D95" s="54" t="n">
        <v>30</v>
      </c>
    </row>
    <row r="96" ht="108" customHeight="1" s="1">
      <c r="A96" s="129" t="inlineStr">
        <is>
          <t>실습(포털)</t>
        </is>
      </c>
      <c r="B96" s="130" t="inlineStr">
        <is>
          <t>보충 매뉴얼을 추출 · 검토하여 기존 지식에 추가하기</t>
        </is>
      </c>
      <c r="C96" s="131" t="inlineStr">
        <is>
          <t>강사를 따라 지식 관리에서 제공된 교대 점검 보충 매뉴얼을 올려 원문을 미리 보고 에이전트에게 추출을 요청한다. 추출된 절차 · 조건 · 근거를 원문과 대조해 고치거나 제외한 뒤 새 문서로 적재하고, 앞서 적재한 제조 지식이 그대로 남아 있는지 확인한다. 지식 지도에서 새 항목의 식별자와 문서 · 판본 · 절 연결을 찾아 이후 인계안의 확인 기준으로 사용한다.</t>
        </is>
      </c>
      <c r="D96" s="132" t="n">
        <v>30</v>
      </c>
    </row>
    <row r="97" ht="108" customHeight="1" s="1">
      <c r="A97" s="64" t="inlineStr">
        <is>
          <t>실습(포털)</t>
        </is>
      </c>
      <c r="B97" s="55" t="inlineStr">
        <is>
          <t>설비·정비·ERP를 대조하는 인수인계 에이전트 만들기</t>
        </is>
      </c>
      <c r="C97" s="53" t="inlineStr">
        <is>
          <t>강사를 따라 에이전트 화면에서 교대 인수인계 스킬과 에이전트를 만들고 지식 그래프 · 업무 DB · 판단 도구를 고른다. 설비 관측 시각, 열린 작업지시, 재고 · 예약 · 발주 중 수량, 작업 메모를 대조하도록 요구한다. 완료 주장과 원천 상태가 다르면 두 근거와 확인할 질문을 남기게 한다. 결과의 각 문장을 원천 기록과 비교하고 지침을 보완한다. VS Code 랩에서 익힌 출처 · 질문 · 검증 방법을 지침에 반영한다.</t>
        </is>
      </c>
      <c r="D97" s="54" t="n">
        <v>30</v>
      </c>
    </row>
    <row r="98" ht="108" customHeight="1" s="1">
      <c r="A98" s="129" t="inlineStr">
        <is>
          <t>실습(bpmn.io · 포털)</t>
        </is>
      </c>
      <c r="B98" s="130" t="inlineStr">
        <is>
          <t>교대 인수인계 BPMN을 등록하고 검토·확인 흐름 실행하기</t>
        </is>
      </c>
      <c r="C98" s="131" t="inlineStr">
        <is>
          <t>강사를 따라 제공 교대 BPMN을 bpmn.io에서 열어 시작 입력 · 검토 · 보완 흐름을 유지한 채 표시 이름 · 배치를 정리하고 포털 흐름 가져오기 화면으로 가져온다. 세 초안 단계에 작성한 에이전트를 배정해 판본을 등록한다. 인계안을 원천과 대조하고 인수자에게 근거와 남은 일을 설명한다. 실제 보완 요청이 있으면 같은 처리 건에서 반영해 재검토 · 인수 확인한다. 인수 확인을 정비 · 발주 완료로 바꾸지 않고 최종 인계안 · 근거 · 확인 기록을 저장한다.</t>
        </is>
      </c>
      <c r="D98" s="132" t="n">
        <v>30</v>
      </c>
    </row>
    <row r="99" ht="60" customHeight="1" s="1">
      <c r="A99" s="129" t="inlineStr">
        <is>
          <t>실습(ProcessGPT 시연)</t>
        </is>
      </c>
      <c r="B99" s="130" t="inlineStr">
        <is>
          <t>ProcessGPT 시연으로 지식·에이전트·프로세스의 연결 확인하기</t>
        </is>
      </c>
      <c r="C99" s="131" t="inlineStr">
        <is>
          <t>ProcessGPT 시연을 보며 지식 조회 · 에이전트 판단 · 사람 작업 · 프로세스 실행이 연결되는 모습을 확인한다. 프로세스 정의 · 실행 인스턴스 · 작업함을 HYD 포털에서 해 본 것과 비교하고, 실제 제품의 업무 통제와 실행 기록을 살펴본다.</t>
        </is>
      </c>
      <c r="D99" s="132" t="n">
        <v>40</v>
      </c>
    </row>
    <row r="100" ht="108" customHeight="1" s="1">
      <c r="A100" s="129" t="inlineStr">
        <is>
          <t>실습(Notion)</t>
        </is>
      </c>
      <c r="B100" s="130" t="inlineStr">
        <is>
          <t>제작 결과를 Notion 학습노트에 기록하기</t>
        </is>
      </c>
      <c r="C100" s="131" t="inlineStr">
        <is>
          <t>Notion 학습노트에 핵심 개념 · 실습 결과 · 참고 출처를 연결한다. MCP로 Notion에 기록을 남기는 방법을 살펴보고, 작성한 Markdown을 노트에 옮겨 학습노트를 완성한다. 조회 · 판단 · 검토 · 실행 확인에 사용한 자료와 산출물을 연결해 이후에도 다시 활용할 수 있게 정리한다.</t>
        </is>
      </c>
      <c r="D100" s="132" t="n">
        <v>20</v>
      </c>
    </row>
    <row r="101" ht="29" customHeight="1" s="1">
      <c r="A101" s="66" t="inlineStr">
        <is>
          <t>회차 합계</t>
        </is>
      </c>
      <c r="D101" s="49">
        <f>SUM(D93:D100)</f>
        <v/>
      </c>
    </row>
    <row r="102" s="1">
      <c r="A102" s="50" t="n"/>
      <c r="B102" s="50" t="n"/>
      <c r="C102" s="50" t="n"/>
      <c r="D102" s="50" t="n"/>
    </row>
    <row r="103" ht="36" customHeight="1" s="1">
      <c r="A103" s="43" t="inlineStr">
        <is>
          <t>전체 온라인 강의 합계</t>
        </is>
      </c>
      <c r="D103" s="44">
        <f>SUM(D13,D27,D39,D52,D65,D79,D89,D101)</f>
        <v/>
      </c>
    </row>
    <row r="104" s="1">
      <c r="A104" s="50" t="n"/>
      <c r="B104" s="50" t="n"/>
      <c r="C104" s="50" t="n"/>
      <c r="D104" s="50" t="n"/>
    </row>
    <row r="105" ht="50" customHeight="1" s="1">
      <c r="A105" s="69" t="n"/>
    </row>
    <row r="106" s="1">
      <c r="A106" s="50" t="n"/>
      <c r="B106" s="50" t="n"/>
      <c r="C106" s="50" t="n"/>
      <c r="D106" s="50" t="n"/>
    </row>
    <row r="107" ht="50" customHeight="1" s="1">
      <c r="A107" s="69" t="n"/>
    </row>
    <row r="108" s="1">
      <c r="A108" s="50" t="n"/>
      <c r="B108" s="50" t="n"/>
      <c r="C108" s="50" t="n"/>
      <c r="D108" s="50" t="n"/>
    </row>
    <row r="109" ht="50" customHeight="1" s="1">
      <c r="A109" s="69" t="n"/>
    </row>
    <row r="110" s="1">
      <c r="A110" s="50" t="n"/>
      <c r="B110" s="50" t="n"/>
      <c r="C110" s="50" t="n"/>
      <c r="D110" s="50" t="n"/>
    </row>
    <row r="111" s="1">
      <c r="A111" s="50" t="n"/>
      <c r="B111" s="50" t="n"/>
      <c r="C111" s="50" t="n"/>
      <c r="D111" s="50" t="n"/>
    </row>
    <row r="112" s="1">
      <c r="A112" s="50" t="n"/>
      <c r="B112" s="50" t="n"/>
      <c r="C112" s="50" t="n"/>
      <c r="D112" s="50" t="n"/>
    </row>
    <row r="113" s="1">
      <c r="A113" s="50" t="n"/>
      <c r="B113" s="50" t="n"/>
      <c r="C113" s="50" t="n"/>
      <c r="D113" s="50" t="n"/>
    </row>
    <row r="114" s="1">
      <c r="A114" s="50" t="n"/>
      <c r="B114" s="50" t="n"/>
      <c r="C114" s="50" t="n"/>
      <c r="D114" s="50" t="n"/>
    </row>
    <row r="115" s="1">
      <c r="A115" s="50" t="n"/>
      <c r="B115" s="50" t="n"/>
      <c r="C115" s="50" t="n"/>
      <c r="D115" s="50" t="n"/>
    </row>
    <row r="116" s="1">
      <c r="A116" s="50" t="n"/>
      <c r="B116" s="50" t="n"/>
      <c r="C116" s="50" t="n"/>
      <c r="D116" s="50" t="n"/>
    </row>
    <row r="117" s="1">
      <c r="A117" s="50" t="n"/>
      <c r="B117" s="50" t="n"/>
      <c r="C117" s="50" t="n"/>
      <c r="D117" s="50" t="n"/>
    </row>
    <row r="118" s="1">
      <c r="A118" s="50" t="n"/>
      <c r="B118" s="50" t="n"/>
      <c r="C118" s="50" t="n"/>
      <c r="D118" s="50" t="n"/>
    </row>
    <row r="119" s="1">
      <c r="A119" s="50" t="n"/>
      <c r="B119" s="50" t="n"/>
      <c r="C119" s="50" t="n"/>
      <c r="D119" s="50" t="n"/>
    </row>
    <row r="120" s="1">
      <c r="A120" s="50" t="n"/>
      <c r="B120" s="50" t="n"/>
      <c r="C120" s="50" t="n"/>
      <c r="D120" s="50" t="n"/>
    </row>
    <row r="121" s="1">
      <c r="A121" s="50" t="n"/>
      <c r="B121" s="50" t="n"/>
      <c r="C121" s="50" t="n"/>
      <c r="D121" s="50" t="n"/>
    </row>
    <row r="122" s="1">
      <c r="A122" s="50" t="n"/>
      <c r="B122" s="50" t="n"/>
      <c r="C122" s="50" t="n"/>
      <c r="D122" s="50" t="n"/>
    </row>
    <row r="123" s="1">
      <c r="A123" s="50" t="n"/>
      <c r="B123" s="50" t="n"/>
      <c r="C123" s="50" t="n"/>
      <c r="D123" s="50" t="n"/>
    </row>
    <row r="124" s="1">
      <c r="A124" s="50" t="n"/>
      <c r="B124" s="50" t="n"/>
      <c r="C124" s="50" t="n"/>
      <c r="D124" s="50" t="n"/>
    </row>
    <row r="125" s="1">
      <c r="A125" s="50" t="n"/>
      <c r="B125" s="50" t="n"/>
      <c r="C125" s="50" t="n"/>
      <c r="D125" s="50" t="n"/>
    </row>
    <row r="126" s="1">
      <c r="A126" s="50" t="n"/>
      <c r="B126" s="50" t="n"/>
      <c r="C126" s="50" t="n"/>
      <c r="D126" s="50" t="n"/>
    </row>
    <row r="127" s="1">
      <c r="A127" s="50" t="n"/>
      <c r="B127" s="50" t="n"/>
      <c r="C127" s="50" t="n"/>
      <c r="D127" s="50" t="n"/>
    </row>
    <row r="128" s="1">
      <c r="A128" s="50" t="n"/>
      <c r="B128" s="50" t="n"/>
      <c r="C128" s="50" t="n"/>
      <c r="D128" s="50" t="n"/>
    </row>
    <row r="129" s="1">
      <c r="A129" s="50" t="n"/>
      <c r="B129" s="50" t="n"/>
      <c r="C129" s="50" t="n"/>
      <c r="D129" s="50" t="n"/>
    </row>
    <row r="130" s="1">
      <c r="A130" s="50" t="n"/>
      <c r="B130" s="50" t="n"/>
      <c r="C130" s="50" t="n"/>
      <c r="D130" s="50" t="n"/>
    </row>
    <row r="131" s="1">
      <c r="A131" s="50" t="n"/>
      <c r="B131" s="50" t="n"/>
      <c r="C131" s="50" t="n"/>
      <c r="D131" s="50" t="n"/>
    </row>
    <row r="132" s="1">
      <c r="A132" s="50" t="n"/>
      <c r="B132" s="50" t="n"/>
      <c r="C132" s="50" t="n"/>
      <c r="D132" s="50" t="n"/>
    </row>
    <row r="133" s="1">
      <c r="A133" s="50" t="n"/>
      <c r="B133" s="50" t="n"/>
      <c r="C133" s="50" t="n"/>
      <c r="D133" s="50" t="n"/>
    </row>
    <row r="134" s="1">
      <c r="A134" s="50" t="n"/>
      <c r="B134" s="50" t="n"/>
      <c r="C134" s="50" t="n"/>
      <c r="D134" s="50" t="n"/>
    </row>
    <row r="135" s="1">
      <c r="A135" s="50" t="n"/>
      <c r="B135" s="50" t="n"/>
      <c r="C135" s="50" t="n"/>
      <c r="D135" s="50" t="n"/>
    </row>
    <row r="136" s="1">
      <c r="A136" s="50" t="n"/>
      <c r="B136" s="50" t="n"/>
      <c r="C136" s="50" t="n"/>
      <c r="D136" s="50" t="n"/>
    </row>
    <row r="137" s="1">
      <c r="A137" s="50" t="n"/>
      <c r="B137" s="50" t="n"/>
      <c r="C137" s="50" t="n"/>
      <c r="D137" s="50" t="n"/>
    </row>
    <row r="138" s="1">
      <c r="A138" s="50" t="n"/>
      <c r="B138" s="50" t="n"/>
      <c r="C138" s="50" t="n"/>
      <c r="D138" s="50" t="n"/>
    </row>
    <row r="139" s="1">
      <c r="A139" s="50" t="n"/>
      <c r="B139" s="50" t="n"/>
      <c r="C139" s="50" t="n"/>
      <c r="D139" s="50" t="n"/>
    </row>
    <row r="140" s="1">
      <c r="A140" s="50" t="n"/>
      <c r="B140" s="50" t="n"/>
      <c r="C140" s="50" t="n"/>
      <c r="D140" s="50" t="n"/>
    </row>
    <row r="141" s="1">
      <c r="A141" s="50" t="n"/>
      <c r="B141" s="50" t="n"/>
      <c r="C141" s="50" t="n"/>
      <c r="D141" s="50" t="n"/>
    </row>
    <row r="142" s="1">
      <c r="A142" s="50" t="n"/>
      <c r="B142" s="50" t="n"/>
      <c r="C142" s="50" t="n"/>
      <c r="D142" s="50" t="n"/>
    </row>
    <row r="143" s="1">
      <c r="A143" s="50" t="n"/>
      <c r="B143" s="50" t="n"/>
      <c r="C143" s="50" t="n"/>
      <c r="D143" s="50" t="n"/>
    </row>
    <row r="144" s="1">
      <c r="A144" s="50" t="n"/>
      <c r="B144" s="50" t="n"/>
      <c r="C144" s="50" t="n"/>
      <c r="D144" s="50" t="n"/>
    </row>
    <row r="145" s="1">
      <c r="A145" s="50" t="n"/>
      <c r="B145" s="50" t="n"/>
      <c r="C145" s="50" t="n"/>
      <c r="D145" s="50" t="n"/>
    </row>
    <row r="146" s="1">
      <c r="A146" s="50" t="n"/>
      <c r="B146" s="50" t="n"/>
      <c r="C146" s="50" t="n"/>
      <c r="D146" s="50" t="n"/>
    </row>
    <row r="147" s="1">
      <c r="A147" s="50" t="n"/>
      <c r="B147" s="50" t="n"/>
      <c r="C147" s="50" t="n"/>
      <c r="D147" s="50" t="n"/>
    </row>
    <row r="148" s="1">
      <c r="A148" s="50" t="n"/>
      <c r="B148" s="50" t="n"/>
      <c r="C148" s="50" t="n"/>
      <c r="D148" s="50" t="n"/>
    </row>
    <row r="149" s="1">
      <c r="A149" s="50" t="n"/>
      <c r="B149" s="50" t="n"/>
      <c r="C149" s="50" t="n"/>
      <c r="D149" s="50" t="n"/>
    </row>
    <row r="150" s="1">
      <c r="A150" s="50" t="n"/>
      <c r="B150" s="50" t="n"/>
      <c r="C150" s="50" t="n"/>
      <c r="D150" s="50" t="n"/>
    </row>
    <row r="151" s="1">
      <c r="A151" s="50" t="n"/>
      <c r="B151" s="50" t="n"/>
      <c r="C151" s="50" t="n"/>
      <c r="D151" s="50" t="n"/>
    </row>
    <row r="152" s="1">
      <c r="A152" s="50" t="n"/>
      <c r="B152" s="50" t="n"/>
      <c r="C152" s="50" t="n"/>
      <c r="D152" s="50" t="n"/>
    </row>
    <row r="153" s="1">
      <c r="A153" s="50" t="n"/>
      <c r="B153" s="50" t="n"/>
      <c r="C153" s="50" t="n"/>
      <c r="D153" s="50" t="n"/>
    </row>
    <row r="154" s="1">
      <c r="A154" s="50" t="n"/>
      <c r="B154" s="50" t="n"/>
      <c r="C154" s="50" t="n"/>
      <c r="D154" s="50" t="n"/>
    </row>
    <row r="155" s="1">
      <c r="A155" s="50" t="n"/>
      <c r="B155" s="50" t="n"/>
      <c r="C155" s="50" t="n"/>
      <c r="D155" s="50" t="n"/>
    </row>
    <row r="156" s="1">
      <c r="A156" s="50" t="n"/>
      <c r="B156" s="50" t="n"/>
      <c r="C156" s="50" t="n"/>
      <c r="D156" s="50" t="n"/>
    </row>
    <row r="157" s="1">
      <c r="A157" s="50" t="n"/>
      <c r="B157" s="50" t="n"/>
      <c r="C157" s="50" t="n"/>
      <c r="D157" s="50" t="n"/>
    </row>
    <row r="158" s="1">
      <c r="A158" s="50" t="n"/>
      <c r="B158" s="50" t="n"/>
      <c r="C158" s="50" t="n"/>
      <c r="D158" s="50" t="n"/>
    </row>
    <row r="159" s="1">
      <c r="A159" s="50" t="n"/>
      <c r="B159" s="50" t="n"/>
      <c r="C159" s="50" t="n"/>
      <c r="D159" s="50" t="n"/>
    </row>
    <row r="160" s="1">
      <c r="A160" s="50" t="n"/>
      <c r="B160" s="50" t="n"/>
      <c r="C160" s="50" t="n"/>
      <c r="D160" s="50" t="n"/>
    </row>
    <row r="161" s="1">
      <c r="A161" s="50" t="n"/>
      <c r="B161" s="50" t="n"/>
      <c r="C161" s="50" t="n"/>
      <c r="D161" s="50" t="n"/>
    </row>
    <row r="162" s="1">
      <c r="A162" s="50" t="n"/>
      <c r="B162" s="50" t="n"/>
      <c r="C162" s="50" t="n"/>
      <c r="D162" s="50" t="n"/>
    </row>
    <row r="163" s="1">
      <c r="A163" s="50" t="n"/>
      <c r="B163" s="50" t="n"/>
      <c r="C163" s="50" t="n"/>
      <c r="D163" s="50" t="n"/>
    </row>
    <row r="164" s="1">
      <c r="A164" s="50" t="n"/>
      <c r="B164" s="50" t="n"/>
      <c r="C164" s="50" t="n"/>
      <c r="D164" s="50" t="n"/>
    </row>
    <row r="165" s="1">
      <c r="A165" s="50" t="n"/>
      <c r="B165" s="50" t="n"/>
      <c r="C165" s="50" t="n"/>
      <c r="D165" s="50" t="n"/>
    </row>
    <row r="166" s="1">
      <c r="A166" s="50" t="n"/>
      <c r="B166" s="50" t="n"/>
      <c r="C166" s="50" t="n"/>
      <c r="D166" s="50" t="n"/>
    </row>
    <row r="167" s="1">
      <c r="A167" s="50" t="n"/>
      <c r="B167" s="50" t="n"/>
      <c r="C167" s="50" t="n"/>
      <c r="D167" s="50" t="n"/>
    </row>
    <row r="168" s="1">
      <c r="A168" s="50" t="n"/>
      <c r="B168" s="50" t="n"/>
      <c r="C168" s="50" t="n"/>
      <c r="D168" s="50" t="n"/>
    </row>
    <row r="169" s="1">
      <c r="A169" s="50" t="n"/>
      <c r="B169" s="50" t="n"/>
      <c r="C169" s="50" t="n"/>
      <c r="D169" s="50" t="n"/>
    </row>
    <row r="170" s="1">
      <c r="A170" s="50" t="n"/>
      <c r="B170" s="50" t="n"/>
      <c r="C170" s="50" t="n"/>
      <c r="D170" s="50" t="n"/>
    </row>
    <row r="171" s="1">
      <c r="A171" s="50" t="n"/>
      <c r="B171" s="50" t="n"/>
      <c r="C171" s="50" t="n"/>
      <c r="D171" s="50" t="n"/>
    </row>
    <row r="172" s="1">
      <c r="A172" s="50" t="n"/>
      <c r="B172" s="50" t="n"/>
      <c r="C172" s="50" t="n"/>
      <c r="D172" s="50" t="n"/>
    </row>
    <row r="173" s="1">
      <c r="A173" s="50" t="n"/>
      <c r="B173" s="50" t="n"/>
      <c r="C173" s="50" t="n"/>
      <c r="D173" s="50" t="n"/>
    </row>
    <row r="174" s="1">
      <c r="A174" s="50" t="n"/>
      <c r="B174" s="50" t="n"/>
      <c r="C174" s="50" t="n"/>
      <c r="D174" s="50" t="n"/>
    </row>
  </sheetData>
  <mergeCells count="22">
    <mergeCell ref="A41:C41"/>
    <mergeCell ref="A89:C89"/>
    <mergeCell ref="A109:D109"/>
    <mergeCell ref="A27:C27"/>
    <mergeCell ref="A101:C101"/>
    <mergeCell ref="A2:C2"/>
    <mergeCell ref="A91:C91"/>
    <mergeCell ref="A29:C29"/>
    <mergeCell ref="A4:C4"/>
    <mergeCell ref="A107:D107"/>
    <mergeCell ref="A81:C81"/>
    <mergeCell ref="A52:C52"/>
    <mergeCell ref="A13:C13"/>
    <mergeCell ref="A67:C67"/>
    <mergeCell ref="A39:C39"/>
    <mergeCell ref="A15:C15"/>
    <mergeCell ref="A1:C1"/>
    <mergeCell ref="A103:C103"/>
    <mergeCell ref="A105:D105"/>
    <mergeCell ref="A79:C79"/>
    <mergeCell ref="A65:C65"/>
    <mergeCell ref="A54:C5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50"/>
  <sheetViews>
    <sheetView showGridLines="0" workbookViewId="0">
      <pane ySplit="2" topLeftCell="A3" activePane="bottomLeft" state="frozen"/>
      <selection activeCell="A1" sqref="A1"/>
    </sheetView>
  </sheetViews>
  <sheetFormatPr baseColWidth="8" defaultRowHeight="15"/>
  <cols>
    <col width="13" customWidth="1" style="1" min="1" max="1"/>
    <col width="43" customWidth="1" style="1" min="2" max="2"/>
    <col width="110" customWidth="1" style="1" min="3" max="3"/>
    <col width="12" customWidth="1" style="1" min="4" max="4"/>
  </cols>
  <sheetData>
    <row r="1" ht="38" customHeight="1" s="1">
      <c r="A1" s="137" t="inlineStr">
        <is>
          <t>HYD 제조 AI | 통합반 오프라인 정규 10회 | 수업 계획</t>
        </is>
      </c>
    </row>
    <row r="2" ht="48" customHeight="1" s="1">
      <c r="A2" s="135" t="inlineStr">
        <is>
          <t>매회 50분 수업 · 10분 휴식 × 4교시(수업 200분 · 휴식 40분). 온라인 한 회차의 내용을 한 회에 담아, 핵심 이론을 짚은 뒤 포털에서 써 보고 VS Code에서 직접 만들어 본다.</t>
        </is>
      </c>
    </row>
    <row r="3" ht="12" customHeight="1" s="1">
      <c r="A3" s="135" t="n"/>
      <c r="B3" s="135" t="n"/>
      <c r="C3" s="135" t="n"/>
      <c r="D3" s="135" t="n"/>
    </row>
    <row r="4" ht="38" customHeight="1" s="1">
      <c r="A4" s="138" t="inlineStr">
        <is>
          <t>01회차  |  설비 데이터가 판단과 조치로 이어지는 전체 흐름 이해하기</t>
        </is>
      </c>
    </row>
    <row r="5" ht="28" customHeight="1" s="1">
      <c r="A5" s="140" t="inlineStr">
        <is>
          <t>구분</t>
        </is>
      </c>
      <c r="B5" s="140" t="inlineStr">
        <is>
          <t>수업 단위</t>
        </is>
      </c>
      <c r="C5" s="140" t="inlineStr">
        <is>
          <t>세부 활동과 확인할 결과</t>
        </is>
      </c>
      <c r="D5" s="140" t="inlineStr">
        <is>
          <t>시간(분)</t>
        </is>
      </c>
    </row>
    <row r="6" ht="108" customHeight="1" s="1">
      <c r="A6" s="141" t="inlineStr">
        <is>
          <t>이론</t>
        </is>
      </c>
      <c r="B6" s="141" t="inlineStr">
        <is>
          <t>설비 데이터가 판단으로 이어지는 구조와 온톨로지가 필요한 이유 이해하기</t>
        </is>
      </c>
      <c r="C6" s="141" t="inlineStr">
        <is>
          <t>설비 데이터가 실제 조치로 이어지려면 무엇이 필요한지, 과정 전체의 줄기를 잡는다. 기록을 쌓는 것과 다시 찾아 쓸 수 있는 지식 자산으로 남기는 것의 차이를 보고, 개념·원리·출처·실습 결과를 연결해 기록하는 이유를 이해한다. 설비·센서·PLC·관제 화면의 역할을 짧게 되짚은 뒤, HYD의 OT·DMZ·IT 영역과 층 구조에서 센서 데이터가 메시지 처리·시계열 DB·분석 서비스를 거쳐 화면과 판단 기능에 쓰이는 경로를 데이터 리니지로 따라가고, 분석 결과가 실제 조치로 이어질 때 명령 게이트웨이와 설비 제어 영역이 필요한 이유를 살펴본다. 이어 온도가 올랐다는 사실만으로는 원인과 조치를 알 수 없는 까닭에서 출발해 데이터·정보·지식의 차이와, 대상의 종류·속성·관계·제약을 명시하는 지식 모델인 온톨로지를 배우고, 관계 그림이나 그래프 DB 자체가 곧 온톨로지는 아님을 구분한다.</t>
        </is>
      </c>
      <c r="D6" s="142" t="n">
        <v>50</v>
      </c>
    </row>
    <row r="7" ht="125" customHeight="1" s="1">
      <c r="A7" s="143" t="inlineStr">
        <is>
          <t>실습(Notion)</t>
        </is>
      </c>
      <c r="B7" s="143" t="inlineStr">
        <is>
          <t>Notion으로 지식 자산화를 위한 학습노트 만들기</t>
        </is>
      </c>
      <c r="C7" s="143" t="inlineStr">
        <is>
          <t>Notion에서 학습노트 홈과 주제별 카드·페이지를 구성한다. 샘플 개념·출처·실습 결과를 연결해 저장하고, 다시 열어 검색·보완·재사용할 수 있는지 확인한다. 이 노트에 이번 과정에서 배우는 개념과 실습 결과를 이어서 쌓는다. 6회에는 이 노트로 자기 노트 퀴즈 에이전트를 만든다.</t>
        </is>
      </c>
      <c r="D7" s="144" t="n">
        <v>50</v>
      </c>
    </row>
    <row r="8" ht="149.5" customHeight="1" s="1">
      <c r="A8" s="141" t="inlineStr">
        <is>
          <t>실습(포털)</t>
        </is>
      </c>
      <c r="B8" s="141" t="inlineStr">
        <is>
          <t>실습 환경을 열고 설비 이상부터 승인·조치까지 직접 돌려 보기</t>
        </is>
      </c>
      <c r="C8" s="141" t="inlineStr">
        <is>
          <t>VS Code·AI 코딩 도구(GitHub Copilot·Codex)·Python·Docker가 각각 무슨 일을 하는지 알고 실행 상태를 확인한 뒤 HYD 포털을 연다. 홈의 상태 표시와 시스템 구성 화면에서 설비·데이터·판단·업무 시스템이 어떻게 이어지는지 보고, 실시간 모니터링·지식 지도·지식 관리·에이전트·내 작업함·처리 건 메뉴를 눌러 각 화면에서 할 일을 확인한다. 이어 지식 관리에 제공 쿨러 팬 매뉴얼을 넣고, 에이전트가 추출한 고장·원인·조치를 원문과 맞춰 검토한 뒤 지식으로 적재한다. 이어 결함 시뮬레이션에서 쿨러 열화를 직접 일으켜 센서 값이 변하고 경보가 뜨는 것을 보고, AI의 원인·조치 추천과 근거를 내 작업함에서 읽고 승인한 뒤 설비 명령→온도 재관측→결과 보고와 따로 남은 정비 요청까지 처리 건에서 따라간다. 단계마다 쓰인 정보와 다음 단계로 넘어간 것을 비교하며 AI의 추천·사람의 승인·실제 조치가 서로 다른 단계임을 확인한다.</t>
        </is>
      </c>
      <c r="D8" s="142" t="n">
        <v>50</v>
      </c>
    </row>
    <row r="9" ht="108" customHeight="1" s="1">
      <c r="A9" s="143" t="inlineStr">
        <is>
          <t>실습(ARROWS)</t>
        </is>
      </c>
      <c r="B9" s="143" t="inlineStr">
        <is>
          <t>설비 이상과 원인·조치의 관계를 관계도로 그리기</t>
        </is>
      </c>
      <c r="C9" s="143" t="inlineStr">
        <is>
          <t>arrows.app에서 노드·관계·레이블을 만드는 법을 익히고, 방금 따라간 쿨러 이상을 바탕으로 설비·센서·증상·원인·조치를 배치해 연결 관계와 방향을 직접 그린다. 각 화살표를 문장으로 읽어 보며 정보를 나열하는 방식과 관계를 중심으로 표현하는 방식의 차이를 확인한다. 이 관계도를 다음 회차에 식별자와 속성을 갖춘 모델로 옮겨 그래프로 조회한다.</t>
        </is>
      </c>
      <c r="D9" s="144" t="n">
        <v>50</v>
      </c>
    </row>
    <row r="10" ht="28" customHeight="1" s="1">
      <c r="A10" s="139" t="inlineStr">
        <is>
          <t>수업 합계 (휴식40분 별도)</t>
        </is>
      </c>
      <c r="D10" s="139">
        <f>SUM(D6:D9)</f>
        <v/>
      </c>
    </row>
    <row r="11" ht="60" customHeight="1" s="1">
      <c r="A11" s="135" t="n"/>
      <c r="B11" s="135" t="n"/>
      <c r="C11" s="135" t="n"/>
      <c r="D11" s="135" t="n"/>
    </row>
    <row r="12" ht="38" customHeight="1" s="1">
      <c r="A12" s="138" t="inlineStr">
        <is>
          <t>02회차  |  설비와 데이터의 관계를 체계화해 필요한 정보 찾기</t>
        </is>
      </c>
    </row>
    <row r="13" ht="28" customHeight="1" s="1">
      <c r="A13" s="140" t="inlineStr">
        <is>
          <t>구분</t>
        </is>
      </c>
      <c r="B13" s="140" t="inlineStr">
        <is>
          <t>수업 단위</t>
        </is>
      </c>
      <c r="C13" s="140" t="inlineStr">
        <is>
          <t>세부 활동과 확인할 결과</t>
        </is>
      </c>
      <c r="D13" s="140" t="inlineStr">
        <is>
          <t>시간(분)</t>
        </is>
      </c>
    </row>
    <row r="14" ht="108" customHeight="1" s="1">
      <c r="A14" s="141" t="inlineStr">
        <is>
          <t>이론</t>
        </is>
      </c>
      <c r="B14" s="141" t="inlineStr">
        <is>
          <t>클래스·스키마·그래프 DB로 설비 지식의 구조 이해하기</t>
        </is>
      </c>
      <c r="C14" s="141" t="inlineStr">
        <is>
          <t>1회에 그린 관계도에 같은 대상의 식별 기준을 정하고, 질문에 답할 수 있는 그래프로 만든다. 클래스·인스턴스·속성·관계를 설비·센서·부품 같은 유형과 실제 설비 한 대·센서 하나의 비교로 구분하고, 데이터 속성과 객체 사이 관계, 관계 방향과 카디널리티, 새 클래스로 둘지 속성이나 관계로 둘지를 설비 사례로 판단한다. 스키마가 클래스·속성·관계·제약을 일관되게 정의하는 구조임을 배우고 식별자·자료형·필수 여부·관계의 시작과 끝 클래스, 스키마와 인스턴스 데이터의 차이, 스키마 없이 연결할 때 생기는 의미 불일치를 살펴본다. 그래프 DB의 노드·관계·속성 구조를 관계형 DB의 테이블·행·조인과 비교하고, Cypher의 MATCH·WHERE·RETURN·CREATE·MERGE가 각각 무엇을 하는지 예제로 익힌다.</t>
        </is>
      </c>
      <c r="D14" s="142" t="n">
        <v>50</v>
      </c>
    </row>
    <row r="15" ht="92" customHeight="1" s="1">
      <c r="A15" s="143" t="inlineStr">
        <is>
          <t>실습(Neo4j · 포털)</t>
        </is>
      </c>
      <c r="B15" s="143" t="inlineStr">
        <is>
          <t>Cypher로 그래프를 다루고 포털 지식 지도와 비교하기</t>
        </is>
      </c>
      <c r="C15" s="143" t="inlineStr">
        <is>
          <t>별도 Neo4j 랩 DB에서 작은 예제를 CREATE·MATCH·WHERE·RETURN·MERGE·SET으로 생성·조회·수정하고, 그래프를 눌러 속성을 확인하며 RETURN 대상에 따른 그래프·표 결과를 비교한다. DELETE·DETACH DELETE로 연습 데이터만 정리하고 재조회한 뒤, 제공 설비 예제에서 구성 요소·센서·부품의 연결을 한 단계·여러 단계 경로로 조회하고 조건·집계 결과를 원래 행과 대조한다. 이어 포털 지식 지도에서 설비를 골라 연결된 센서·부품을 펼치고, 노드를 눌러 식별자와 속성을 확인하며 관계의 방향을 읽는다. 같은 센서 이름이라도 설비마다 식별자가 다른 것을 구분하고, 랩 DB의 연습 그래프와 포털의 기준 지도를 비교한다.</t>
        </is>
      </c>
      <c r="D15" s="144" t="n">
        <v>50</v>
      </c>
    </row>
    <row r="16" ht="108" customHeight="1" s="1">
      <c r="A16" s="141" t="inlineStr">
        <is>
          <t>실습(VS Code)</t>
        </is>
      </c>
      <c r="B16" s="141" t="inlineStr">
        <is>
          <t>관계도를 설비 모델로 설계하기</t>
        </is>
      </c>
      <c r="C16" s="141" t="inlineStr">
        <is>
          <t>제공 설비·센서·부품 원자료를 읽고 설비별 센서와 공용 부품을 찾을 질문을 정한다. VS Code에서 목표·자료·제약·확인 사례를 자기 말로 정리하고 AI와 함께 모델을 설계한다. 같은 센서 이름이 다른 설비에 쓰인 경우와 별칭·중복·누락을 구분해 고유 ID·단위·관계 방향을 정하고 스키마와 그래프 자료를 작성한다. 형식이 맞는지 보는 구조 검사와 질문마다 원자료와 뜻이 맞는지 보는 대조를 따로 해 본다.</t>
        </is>
      </c>
      <c r="D16" s="142" t="n">
        <v>50</v>
      </c>
    </row>
    <row r="17" ht="108" customHeight="1" s="1">
      <c r="A17" s="143" t="inlineStr">
        <is>
          <t>실습(VS Code)</t>
        </is>
      </c>
      <c r="B17" s="143" t="inlineStr">
        <is>
          <t>설계한 모델을 그래프 DB에 적재하고 조회로 검증하기</t>
        </is>
      </c>
      <c r="C17" s="143" t="inlineStr">
        <is>
          <t>앞에서 설계한 설비·센서·부품 모델을 그래프 DB에 적재하는 코드와 조회문을 직접 작성하고, 스키마의 식별자와 관계 방향이 노드·관계로 어떻게 옮겨지는지 확인한다. 별도 랩 DB에서 설비별 센서·부품과 공용 부품을 쓰는 설비를 조회해 원자료와 대조한다. 같은 자료를 다시 적재해도 노드와 관계가 늘어나지 않는지, 이름이 바뀌어도 같은 ID가 유지되는지 확인하고, 전체를 지우지 않고 필요한 부분만 고친다. 코드·질의·확인 결과를 저장한다. 다음 회차에는 이 모델에 작업 절차를 연결하고 조치 판단 조건으로 만든다.</t>
        </is>
      </c>
      <c r="D17" s="144" t="n">
        <v>50</v>
      </c>
    </row>
    <row r="18" ht="28" customHeight="1" s="1">
      <c r="A18" s="139" t="inlineStr">
        <is>
          <t>수업 합계 (휴식40분 별도)</t>
        </is>
      </c>
      <c r="D18" s="139">
        <f>SUM(D14:D17)</f>
        <v/>
      </c>
    </row>
    <row r="19" ht="60" customHeight="1" s="1">
      <c r="A19" s="135" t="n"/>
      <c r="B19" s="135" t="n"/>
      <c r="C19" s="135" t="n"/>
      <c r="D19" s="135" t="n"/>
    </row>
    <row r="20" ht="38" customHeight="1" s="1">
      <c r="A20" s="138" t="inlineStr">
        <is>
          <t>03회차  |  설비 상황에 맞는 안전하고 효과적인 조치 선택하기</t>
        </is>
      </c>
    </row>
    <row r="21" ht="28" customHeight="1" s="1">
      <c r="A21" s="140" t="inlineStr">
        <is>
          <t>구분</t>
        </is>
      </c>
      <c r="B21" s="140" t="inlineStr">
        <is>
          <t>수업 단위</t>
        </is>
      </c>
      <c r="C21" s="140" t="inlineStr">
        <is>
          <t>세부 활동과 확인할 결과</t>
        </is>
      </c>
      <c r="D21" s="140" t="inlineStr">
        <is>
          <t>시간(분)</t>
        </is>
      </c>
    </row>
    <row r="22" ht="108" customHeight="1" s="1">
      <c r="A22" s="141" t="inlineStr">
        <is>
          <t>이론</t>
        </is>
      </c>
      <c r="B22" s="141" t="inlineStr">
        <is>
          <t>안전한 조치 절차·판단 규칙·성과 기준 이해하기</t>
        </is>
      </c>
      <c r="C22" s="141" t="inlineStr">
        <is>
          <t>설비 관계를 안다는 것만으로 조치를 실행할 수 없으므로 허용 조건과 선택 근거를 구분한다. 원인을 진단하는 것과 조치 방법을 정하는 것이 다른 단계임을 이해하고, SOP의 적용 대상·전제 조건·안전 조건·수행 단계·금지 사항·담당 역할·완료 확인 기준과 같은 조치도 운전 상태에 따라 수행 여부가 달라지는 이유를 살펴본다. 고장 유형·원인·조치 방법·작업 단계·근거 매뉴얼이 지식 모델에서 연결되는 구조와 즉시 완화·근본 조치·예방 조치의 차이도 본다. DMN의 입력·결정·결정표·규칙과 비교 연산자·임계값·범위·복수 조건, 규칙의 중복·누락·상충과 여러 규칙이 맞을 때 결과를 고르는 방식을 배운다. 끝으로 BSC 네 관점과 전략 목표·KPI, 서로 부딪칠 수 있는 복구 시간·생산 차질·전력비·품질·안전 성과를 비교하고, 조치 가능 여부를 정하는 규칙과 허용된 조치의 효과·비용을 견주는 기준, What-if 분석의 목적과 한계를 구분한다.</t>
        </is>
      </c>
      <c r="D22" s="142" t="n">
        <v>50</v>
      </c>
    </row>
    <row r="23" ht="118.5" customHeight="1" s="1">
      <c r="A23" s="143" t="inlineStr">
        <is>
          <t>실습(포털)</t>
        </is>
      </c>
      <c r="B23" s="143" t="inlineStr">
        <is>
          <t>운전 조건과 성과 기준에 따라 조치 결과 비교하기</t>
        </is>
      </c>
      <c r="C23" s="143" t="inlineStr">
        <is>
          <t>포털 조치 방법 화면에서 쿨러 조치의 수행 단계·담당·승인 역할과 연결된 고장 유형을 읽고, SOP의 구성요소가 화면의 어디에 담겼는지 찾는다. 이어 조치 판단 규칙 화면에서 설비와 이상 상황을 골라 판단을 실행하고 입력값·적용 규칙·조치 후보를 확인한다. 설비 상태나 운전 모드를 바꿔 다시 실행하며 어떤 규칙이 적용되어 어떤 조치가 허용·제외되는지 비교한다. 조건별 손익 화면에서 값 하나를 바꿔 허용된 조치의 예상 손익과 순위가 달라지는 것을 보고, 성과 지표 화면에서 KPI 목표를 바꿔 판정을 시험한다. 결과마다 근거와 입력 단위를 확인하고, 시험값을 되돌린 뒤 원본 업무 데이터와 지식이 그대로인지 확인해 시험값 변경과 실제 설비 조치를 구분한다.</t>
        </is>
      </c>
      <c r="D23" s="144" t="n">
        <v>50</v>
      </c>
    </row>
    <row r="24" ht="92" customHeight="1" s="1">
      <c r="A24" s="141" t="inlineStr">
        <is>
          <t>실습(VS Code)</t>
        </is>
      </c>
      <c r="B24" s="141" t="inlineStr">
        <is>
          <t>작업 절차와 판단 조건을 연결해 조치 기준 만들기</t>
        </is>
      </c>
      <c r="C24" s="141" t="inlineStr">
        <is>
          <t>VS Code에서 AI 코딩 도구와 함께 작업 조건이 정리된 제공 SOP를 쓴다. 2회에 만든 설비 모델의 식별자를 재사용해 제공된 고장 유형과 조치 방법을 연결하고, 작업의 적용 조건·금지 조건·수행 단계·완료 기준을 구분해 구조화한다. 이를 입력·단위·연산자·경계값과 판단 결과로 된 결정표로 옮기고, 각 조건이 어떤 조치를 허용하거나 제외하는지와 원문 출처를 표시한다.</t>
        </is>
      </c>
      <c r="D24" s="142" t="n">
        <v>50</v>
      </c>
    </row>
    <row r="25" ht="108" customHeight="1" s="1">
      <c r="A25" s="143" t="inlineStr">
        <is>
          <t>실습(VS Code)</t>
        </is>
      </c>
      <c r="B25" s="143" t="inlineStr">
        <is>
          <t>설비 조건별 조치를 판정하고 성과를 비교하는 기능 만들기</t>
        </is>
      </c>
      <c r="C25" s="143" t="inlineStr">
        <is>
          <t>앞의 결정표를 읽어 조치를 판정하는 기능을 만든다. 적용 대상과 복합 조건을 구분해 경고·감점·제외·정보 부족을 이유와 함께 돌려주고, 허용된 후보만 비용·생산·품질·에너지 손실을 주어진 비교 산식으로 견준다. 정상·경계값·여러 조건이 겹친 경우·모두 제외·필수값 누락 사례로 결과를 결정표와 대조하고 선택 이유와 추가 확인 사항을 출력한다. 이 비교값은 후보를 견주는 계산으로 포털 성과 지표의 점수와 다르고, 추천 결과는 사람의 실행 승인과 다른 단계임을 구분한다. 다음 회차에는 사용한 조건의 원문을 추출·검토해 근거 지식을 보강한다.</t>
        </is>
      </c>
      <c r="D25" s="144" t="n">
        <v>50</v>
      </c>
    </row>
    <row r="26" ht="28" customHeight="1" s="1">
      <c r="A26" s="139" t="inlineStr">
        <is>
          <t>수업 합계 (휴식40분 별도)</t>
        </is>
      </c>
      <c r="D26" s="139">
        <f>SUM(D22:D25)</f>
        <v/>
      </c>
    </row>
    <row r="27" ht="36" customHeight="1" s="1">
      <c r="A27" s="135" t="n"/>
      <c r="B27" s="135" t="n"/>
      <c r="C27" s="135" t="n"/>
      <c r="D27" s="135" t="n"/>
    </row>
    <row r="28" ht="38" customHeight="1" s="1">
      <c r="A28" s="138" t="inlineStr">
        <is>
          <t>04회차  |  현장 자료를 검증해 신뢰할 수 있는 판단 근거 만들기</t>
        </is>
      </c>
    </row>
    <row r="29" ht="28" customHeight="1" s="1">
      <c r="A29" s="140" t="inlineStr">
        <is>
          <t>구분</t>
        </is>
      </c>
      <c r="B29" s="140" t="inlineStr">
        <is>
          <t>수업 단위</t>
        </is>
      </c>
      <c r="C29" s="140" t="inlineStr">
        <is>
          <t>세부 활동과 확인할 결과</t>
        </is>
      </c>
      <c r="D29" s="140" t="inlineStr">
        <is>
          <t>시간(분)</t>
        </is>
      </c>
    </row>
    <row r="30" ht="108" customHeight="1" s="1">
      <c r="A30" s="141" t="inlineStr">
        <is>
          <t>이론</t>
        </is>
      </c>
      <c r="B30" s="141" t="inlineStr">
        <is>
          <t>현장 자료를 검증된 지식으로 바꾸는 과정과 온톨로지 구축 정리하기</t>
        </is>
      </c>
      <c r="C30" s="141" t="inlineStr">
        <is>
          <t>판단에 쓰는 조건을 문서에서 찾아 검토하고 출처를 다시 확인할 수 있는 지식으로 만든다. 원천 확보→내용 분석→지식 후보 추출→기존 스키마·식별자에 매핑→원문 대조와 사람 검토→승인 지식 적재→관계·출처 조회의 단계별 역할을 이해하고, LLM이 문서를 구조화할 때 생기는 부정 조건 누락·수치와 단위 오류·잘못된 관계 추론·근거 없는 생성을 사례로 본다. 원문 페이지·인용 구간·문서 식별자·개정 이력을 지식과 함께 남기는 이유, 문서를 검색해 참고하는 방식과 구조화된 지식으로 등록하는 방식의 차이, 원인·절차 같은 안정적 지식과 센서·재고처럼 계속 변하는 값은 원천에서 조회해야 하는 까닭을 살펴본다. 끝으로 질문 정의부터 근거 조회까지를 하나의 구축 과정으로 정리하고, 그래프에 넣었다는 사실만으로 의미가 옳은 것은 아님과 온톨로지가 답할 질문과 현재값·사람 확인이 필요한 질문의 경계를 구분한다.</t>
        </is>
      </c>
      <c r="D30" s="142" t="n">
        <v>50</v>
      </c>
    </row>
    <row r="31" ht="149.5" customHeight="1" s="1">
      <c r="A31" s="143" t="inlineStr">
        <is>
          <t>실습(포털)</t>
        </is>
      </c>
      <c r="B31" s="143" t="inlineStr">
        <is>
          <t>포털에서 매뉴얼을 지식으로 올리고 원문과 대조하기</t>
        </is>
      </c>
      <c r="C31" s="143" t="inlineStr">
        <is>
          <t>포털 지식 관리에서 제공 쿨러 팬 매뉴얼을 올려 미리 보기로 원문을 확인하고, 에이전트에게 추출을 요청한다. 나온 후보의 단계와 조건을 원문과 한 줄씩 대조해 단위·부정 조건·작업 순서가 틀린 곳은 원문 문장으로 고치고, 원문에 없는 절차는 실행 후보에서 빼며, 고장 유형 같은 필수 선택을 채운다. 검토 표시를 한 뒤 적재하고, 지식 지도에서 새로 연결된 절차·조건과 출처를 확인하며 기존 지식이 줄지 않았는지 본다. 검토 표시 없이는 적재되지 않고 단계를 고치면 다시 검토해야 하는 까닭을 단계마다 결과와 함께 확인한다. 이어 지식 관리의 업무 데이터 연결에서 제공된 옛 설비 DB의 구조 파일을 미리 보고 표마다 출처 시스템을 정해 연결할 열을 골라 적재하고, 데이터 연결 화면에서 그 표·열이 이어진 클래스를 확인하고 질의를 직접 실행해 문서에서 온 판단 기준과 업무 DB·시계열 DB에서 조회되는 현재값을 나란히 놓고 구분한 뒤, 연결한 배치를 되돌려 원래 상태로 돌아오는지 본다.</t>
        </is>
      </c>
      <c r="D31" s="144" t="n">
        <v>50</v>
      </c>
    </row>
    <row r="32" ht="108" customHeight="1" s="1">
      <c r="A32" s="141" t="inlineStr">
        <is>
          <t>실습(VS Code)</t>
        </is>
      </c>
      <c r="B32" s="141" t="inlineStr">
        <is>
          <t>문서에서 근거 있는 지식을 추출하는 기능 만들기</t>
        </is>
      </c>
      <c r="C32" s="141" t="inlineStr">
        <is>
          <t>포털에서 거친 문서 지식화 과정을 VS Code의 독립 랩으로 만든다. 원문에서 작업 순서·조건·단위·금지 사항을 추출하고 문서 ID·절·인용을 함께 돌려주는 기능을 작성한다. 생성한 후보를 원문과 대조해 채택·수정·제외·보류를 기록하고, 제공 정기 점검표·예비품 기준 같은 다른 문서에도 적용해 누락과 근거 없는 생성을 확인한다.</t>
        </is>
      </c>
      <c r="D32" s="142" t="n">
        <v>50</v>
      </c>
    </row>
    <row r="33" ht="128" customHeight="1" s="1">
      <c r="A33" s="143" t="inlineStr">
        <is>
          <t>실습(VS Code)</t>
        </is>
      </c>
      <c r="B33" s="143" t="inlineStr">
        <is>
          <t>검토한 문서 지식을 그래프 DB에 반영하고 온톨로지 구축 결과 완성하기</t>
        </is>
      </c>
      <c r="C33" s="143" t="inlineStr">
        <is>
          <t>검토 결과에서 승인한 후보만 별도 랩 DB의 기존 ID와 관계에 연결하는 적재·조회 기능을 작성한다. 처음 정한 질문으로 설비·조치·작업 조건·문서 근거를 조회해 원문과 대조하고, 보류한 후보가 들어가지 않았는지, 같은 자료를 다시 적재해도 중복되지 않는지, 다른 문서를 더 반영해도 기존 연결이 유지되는지 확인한다. 질문·스키마·원문·추출과 검토 기록·적재 코드·조회 결과를 묶어 하나의 온톨로지 구축 결과로 저장하고, 지금 지식으로 답할 수 있는 질문과 현재값이나 추가 자료가 필요한 질문을 설명한다. 다음 회차 에이전트가 이 지식과 조회 기능을 근거로 쓴다.</t>
        </is>
      </c>
      <c r="D33" s="144" t="n">
        <v>50</v>
      </c>
    </row>
    <row r="34" ht="28" customHeight="1" s="1">
      <c r="A34" s="139" t="inlineStr">
        <is>
          <t>수업 합계 (휴식40분 별도)</t>
        </is>
      </c>
      <c r="D34" s="139">
        <f>SUM(D30:D33)</f>
        <v/>
      </c>
    </row>
    <row r="35" ht="28" customHeight="1" s="1">
      <c r="A35" s="135" t="n"/>
      <c r="B35" s="135" t="n"/>
      <c r="C35" s="135" t="n"/>
      <c r="D35" s="135" t="n"/>
    </row>
    <row r="36" ht="38" customHeight="1" s="1">
      <c r="A36" s="138" t="inlineStr">
        <is>
          <t>05회차  |  현장 지식을 활용해 실제 문제를 해결하는 AI 에이전트 만들기</t>
        </is>
      </c>
    </row>
    <row r="37" ht="28" customHeight="1" s="1">
      <c r="A37" s="140" t="inlineStr">
        <is>
          <t>구분</t>
        </is>
      </c>
      <c r="B37" s="140" t="inlineStr">
        <is>
          <t>수업 단위</t>
        </is>
      </c>
      <c r="C37" s="140" t="inlineStr">
        <is>
          <t>세부 활동과 확인할 결과</t>
        </is>
      </c>
      <c r="D37" s="140" t="inlineStr">
        <is>
          <t>시간(분)</t>
        </is>
      </c>
    </row>
    <row r="38" ht="128" customHeight="1" s="1">
      <c r="A38" s="141" t="inlineStr">
        <is>
          <t>이론</t>
        </is>
      </c>
      <c r="B38" s="141" t="inlineStr">
        <is>
          <t>일하는 AI의 구조와 정보·도구를 쓰는 원리 이해하기</t>
        </is>
      </c>
      <c r="C38" s="141" t="inlineStr">
        <is>
          <t>구축한 온톨로지를 근거로 쓰는 원인·점검 에이전트에서 출발해 품질 접수·데이터 분석과 시각화·회의 후속 업무·자기 자료 퀴즈·작성과 검토 협업이 목적과 결과에서 어떻게 다른지 비교한다. LLM 응답·근거 검색(RAG)·에이전트를 목표·도구·반복 실행으로 구분하고, 요청 해석→계획→도구 호출→관찰→종료의 흐름과 정해진 코드로 충분한 작업·자료 해석과 도구 선택이 필요한 작업을 가른다. 온톨로지(설비·증상·원인 관계)·시계열 DB(측정값)·업무 DB(정비·재고)·SOP(작업 방법)의 역할을 나누어 지식과 현재값을 혼동하지 않는 법을 익히고, 근거 부족·도구 실패·권한 제한에서 멈추거나 묻는 조건과 구조화 출력·실행 기록을 살펴본다.</t>
        </is>
      </c>
      <c r="D38" s="142" t="n">
        <v>50</v>
      </c>
    </row>
    <row r="39" ht="149.5" customHeight="1" s="1">
      <c r="A39" s="143" t="inlineStr">
        <is>
          <t>실습(포털)</t>
        </is>
      </c>
      <c r="B39" s="143" t="inlineStr">
        <is>
          <t>업무 에이전트를 만들고 질문의 도구·근거 확인하기</t>
        </is>
      </c>
      <c r="C39" s="143" t="inlineStr">
        <is>
          <t>포털 에이전트 화면에서 기준 에이전트의 목표·지침·사용 도구를 읽은 뒤 나의 에이전트를 새로 만든다. 이름·역할·목표·성격을 쓰고, 지식 그래프·업무 DB·판단 도구 가운데 원인 근거를 찾는 데 필요한 도구를 고른다. 에이전트에게 질문 화면에서 이론에서 다룬 쿨러 이상을 직접 물어 답과 근거, 처리 과정에 남은 도구 호출의 입력·결과·관측 시각을 대조한다. 같은 질문을 기준 에이전트에게도 물어 설정에 따라 답과 근거가 어떻게 달라지는지 비교하고, 지식에 없는 질문을 던져 지어내지 않고 답할 수 없다고 하는지 확인한다. 답이 길어진 것보다 근거가 확인되고 모르는 항목이 구분되는지를 기준으로 본다. 이어 결함 시뮬레이션에서 쿨러 열화를 일으켜 실시간 모니터링에서 유온이 오르고 냉각 효율이 떨어지기 시작한 시각과 경보 시각을 찾아 처리 건의 관측 시각과 맞춰 보고, 이상 확인·조치 화면에서 에이전트가 근거로 든 측정값이 같은 구간인지 확인하며, 함께 움직인 값을 곧바로 원인으로 단정하지 않는지 짚는다.</t>
        </is>
      </c>
      <c r="D39" s="144" t="n">
        <v>50</v>
      </c>
    </row>
    <row r="40" ht="108" customHeight="1" s="1">
      <c r="A40" s="141" t="inlineStr">
        <is>
          <t>실습(VS Code)</t>
        </is>
      </c>
      <c r="B40" s="141" t="inlineStr">
        <is>
          <t>설비 이상 원인을 추론하고 다음 점검 작업을 정하는 에이전트 만들기</t>
        </is>
      </c>
      <c r="C40" s="141" t="inlineStr">
        <is>
          <t>포털에서 확인한 도구 호출과 근거 제시를 VS Code의 독립 에이전트로 만든다. 설비 그래프 조회와 센서 입력을 읽는 함수를 연결하고 요청 해석·도구 선택·결과 확인·답변의 실행 기록을 살펴본다. 원인 후보·증거·다음 점검 순서를 출력하되 오래된 값·표본 부족·도구 오류는 확인 필요로 구분하고, 확인되지 않은 원인이 가설로 표시되는지 본다. 다른 설비 사례에도 적용해 근거와 가설이 구별되는지 검증한다.</t>
        </is>
      </c>
      <c r="D40" s="142" t="n">
        <v>50</v>
      </c>
    </row>
    <row r="41" ht="118.5" customHeight="1" s="1">
      <c r="A41" s="143" t="inlineStr">
        <is>
          <t>실습(VS Code)</t>
        </is>
      </c>
      <c r="B41" s="143" t="inlineStr">
        <is>
          <t>품질 접수 에이전트로 재사용하고 센서 이상 징후 시각화하기</t>
        </is>
      </c>
      <c r="C41" s="143" t="inlineStr">
        <is>
          <t>앞 에이전트의 실행 구조를 재사용해 품질 불량 접수 메시지와 분류 기준으로 품질 유형·추가 확인 항목·담당 부서·대응 초안을 만든다. 표현이 다른 접수와 정보가 빠진 접수를 비교해 미확정 원인을 단정하거나 담당자를 지어내지 않고 조사 요청을 남기는지 원자료로 확인하고, 설비 점검과 달라진 입력·판정 기준을 설명한다. 이어 포털에서 찾은 상승 구간을 직접 계산하도록 센서 CSV나 시계열 조회 결과에서 온도·압력·시간 변화와 상승 구간을 도표로 만들고, 이상 구간·관련 태그·조회 기간을 근거와 함께 요약하되 상관관계로 고장 원인을 단정하지 않는지 점검한다. 다음 회차에는 반복하는 작업 방법을 스킬로 정리하고 필요한 도구를 연결한다.</t>
        </is>
      </c>
      <c r="D41" s="144" t="n">
        <v>50</v>
      </c>
    </row>
    <row r="42" ht="28" customHeight="1" s="1">
      <c r="A42" s="139" t="inlineStr">
        <is>
          <t>수업 합계 (휴식40분 별도)</t>
        </is>
      </c>
      <c r="D42" s="139">
        <f>SUM(D38:D41)</f>
        <v/>
      </c>
    </row>
    <row r="43" ht="60" customHeight="1" s="1">
      <c r="A43" s="135" t="n"/>
      <c r="B43" s="135" t="n"/>
      <c r="C43" s="135" t="n"/>
      <c r="D43" s="135" t="n"/>
    </row>
    <row r="44" ht="38" customHeight="1" s="1">
      <c r="A44" s="138" t="inlineStr">
        <is>
          <t>06회차  |  업무 능력을 재사용하고 여러 외부 시스템을 연결하기</t>
        </is>
      </c>
    </row>
    <row r="45" ht="28" customHeight="1" s="1">
      <c r="A45" s="140" t="inlineStr">
        <is>
          <t>구분</t>
        </is>
      </c>
      <c r="B45" s="140" t="inlineStr">
        <is>
          <t>수업 단위</t>
        </is>
      </c>
      <c r="C45" s="140" t="inlineStr">
        <is>
          <t>세부 활동과 확인할 결과</t>
        </is>
      </c>
      <c r="D45" s="140" t="inlineStr">
        <is>
          <t>시간(분)</t>
        </is>
      </c>
    </row>
    <row r="46" ht="108" customHeight="1" s="1">
      <c r="A46" s="141" t="inlineStr">
        <is>
          <t>이론</t>
        </is>
      </c>
      <c r="B46" s="141" t="inlineStr">
        <is>
          <t>스킬·MCP와 도구 연결의 안전 기준 이해하기</t>
        </is>
      </c>
      <c r="C46" s="141" t="inlineStr">
        <is>
          <t>에이전트가 같은 작업을 반복할 수 있도록 지침과 도구의 역할을 나눈다. 스킬의 목적과 SKILL.md에 담는 작업 목적·호출 조건·입력·출력·순서·예외 지침을 배우고, 현장 SOP와 에이전트 실행 지침, 재사용 지침과 한 번의 프롬프트를 구분한다. MCP의 Host·Client·Server·Tool 구성, 도구 목록 발견, 입력 스키마와 응답, stdio·HTTP 연결 방식을 살펴보고 스킬은 수행 방법, MCP는 연결된 실행 도구임을 구분한다. 도구별 읽기·쓰기 권한, 파일 접근 범위, 인증 정보, 실패·시간 초과와 근거 표시를 살펴보고, 정해진 업무 도구만 고르는 포털과 MCP 서버를 직접 연결하는 로컬 VS Code가 권한·범위에서 어떻게 다른지 비교한다.</t>
        </is>
      </c>
      <c r="D46" s="142" t="n">
        <v>50</v>
      </c>
    </row>
    <row r="47" ht="165" customHeight="1" s="1">
      <c r="A47" s="143" t="inlineStr">
        <is>
          <t>실습(포털 · VS Code)</t>
        </is>
      </c>
      <c r="B47" s="143" t="inlineStr">
        <is>
          <t>포털에서 스킬을 붙이고 도구를 직접 호출한 뒤 외부 MCP·내 조회 도구 조합하기</t>
        </is>
      </c>
      <c r="C47" s="143" t="inlineStr">
        <is>
          <t>포털 에이전트 화면의 스킬 탭에서 기준 스킬의 SKILL.md를 읽고 근거와 확인할 항목을 꼭 남기게 하는 나의 스킬을 써서 5회에 만든 나의 에이전트에 붙인 뒤, 5회에 물었던 쿨러 이상 질문을 다시 물어 답과 근거가 어떻게 달라지는지 비교하고, 스킬을 떼고 다시 물어 그 차이가 스킬에서 왔는지 확인한다. 이어 도구 연결 화면에서 지식 그래프·업무 DB·판단 도구 서버의 연결 상태와 도구 목록(이름·입력 형식)을 열어 보고, 도구를 직접 시험 호출해 반환값을 확인한다. 이 도구를 쓰는 에이전트에게 질문한 뒤 호출 기록에서 도구 이름·입력·반환값을 찾아 설비 지식에서 온 내용과 현재 업무 조회 결과를 구분하고, 각 반환값이 답의 어느 근거에 쓰였는지 대조한다. 이어 VS Code에서 파일·Git·시간 MCP의 연결과 접근 범위를 설정해 입력·반환값을 확인하고, 제공 서버 골격에 점검 자료 조회 함수를 구현해 MCP 도구로 노출한 뒤 에이전트에서 함께 호출한다. 파일 내용·변경 이력·기준 시각을 조합한 결과에서 출처와 조회 실패를 확인한다.</t>
        </is>
      </c>
      <c r="D47" s="144" t="n">
        <v>50</v>
      </c>
    </row>
    <row r="48" ht="108" customHeight="1" s="1">
      <c r="A48" s="141" t="inlineStr">
        <is>
          <t>실습(VS Code)</t>
        </is>
      </c>
      <c r="B48" s="141" t="inlineStr">
        <is>
          <t>회의 내용을 후속 업무로 바꾸는 스킬 만들기</t>
        </is>
      </c>
      <c r="C48" s="141" t="inlineStr">
        <is>
          <t>예제 회의록을 입력받아 결정사항·담당자·완료 시점을 추출하는 SKILL.md를 작성한다. 담당자와 기한이 없는 항목은 미정으로 표시하고, 작업 목록을 Markdown·JSON으로 만들어 원문과 비교한다. 회의록 요약에서 끝내지 않고 다음 행동이 분명한지 확인한다.</t>
        </is>
      </c>
      <c r="D48" s="142" t="n">
        <v>50</v>
      </c>
    </row>
    <row r="49" ht="188" customHeight="1" s="1">
      <c r="A49" s="143" t="inlineStr">
        <is>
          <t>실습(VS Code)</t>
        </is>
      </c>
      <c r="B49" s="143" t="inlineStr">
        <is>
          <t>내 Notion 학습노트로 출제·채점하는 퀴즈 에이전트 만들기</t>
        </is>
      </c>
      <c r="C49" s="143" t="inlineStr">
        <is>
          <t>1회에 만든 자기 Notion 학습노트에서 페이지를 골라 MCP 읽기 연결을 설정한다. 노트에서 문항·정답 기준·해설·원문 근거를 구성하는 퀴즈 에이전트를 만들되 답하기 전에는 정답과 해설을 숨긴다. 답변을 받아 정답·부분 정답·오답과 이유를 알려 주고 원문을 다시 열어 확인하며, 틀린 개념의 재도전으로 이어 가고 풀이 기록을 저장한다. 표현만 다른 정답·불완전한 답·노트에 없는 질문으로 검증해 근거가 부족하면 출제나 채점을 보류하는지 본다. 다음 회차에는 점검 요청의 정보 누락과 요구 변경을 질문·명세·검증으로 다룬다.</t>
        </is>
      </c>
      <c r="D49" s="144" t="n">
        <v>50</v>
      </c>
    </row>
    <row r="50" ht="28" customHeight="1" s="1">
      <c r="A50" s="139" t="inlineStr">
        <is>
          <t>수업 합계 (휴식40분 별도)</t>
        </is>
      </c>
      <c r="D50" s="139">
        <f>SUM(D46:D49)</f>
        <v/>
      </c>
    </row>
    <row r="51" ht="26" customHeight="1" s="1">
      <c r="A51" s="135" t="n"/>
      <c r="B51" s="135" t="n"/>
      <c r="C51" s="135" t="n"/>
      <c r="D51" s="135" t="n"/>
    </row>
    <row r="52" ht="38" customHeight="1" s="1">
      <c r="A52" s="138" t="inlineStr">
        <is>
          <t>07회차  |  사람의 판단과 명확한 요구사항으로 믿고 쓸 수 있는 에이전트 완성하기</t>
        </is>
      </c>
    </row>
    <row r="53" ht="28" customHeight="1" s="1">
      <c r="A53" s="140" t="inlineStr">
        <is>
          <t>구분</t>
        </is>
      </c>
      <c r="B53" s="140" t="inlineStr">
        <is>
          <t>수업 단위</t>
        </is>
      </c>
      <c r="C53" s="140" t="inlineStr">
        <is>
          <t>세부 활동과 확인할 결과</t>
        </is>
      </c>
      <c r="D53" s="140" t="inlineStr">
        <is>
          <t>시간(분)</t>
        </is>
      </c>
    </row>
    <row r="54" ht="134" customHeight="1" s="1">
      <c r="A54" s="141" t="inlineStr">
        <is>
          <t>이론</t>
        </is>
      </c>
      <c r="B54" s="141" t="inlineStr">
        <is>
          <t>사람 확인·명세 주도 개발·행동 주도 개발로 에이전트의 신뢰성 높이기</t>
        </is>
      </c>
      <c r="C54" s="141" t="inlineStr">
        <is>
          <t>앞서 만든 점검 에이전트가 정보 누락이나 새 요구를 만났을 때 지킬 동작을 정하고, 그 동작을 실제 출력으로 확인한다. HITL의 자동 처리·승인·보류·거절, 승인권자와 권한의 경계, 결정 기록을 살펴보고 AI의 자기 검토와 사람의 승인을 구분한다. 명세 주도 개발(SDD)로 요구·입력/출력 계약·금지 조건·수용 기준을 구현 전에 정하는 방식과, 모호한 기능 추가가 기존 출력이나 승인 규칙을 흔들 수 있고, 기능이 늘어날수록 그런 흔들림이 쌓여 유지보수가 어려워지는 까닭을 이해한다. 행동 주도 개발(BDD)의 Given/When/Then으로 기대 행동을 정하고 정상·경계·예외·회귀 검증으로 새 기능과 기존 기능을 함께 확인하는 방법을 익힌다. 끝으로 지금까지 만든 에이전트들의 목표·입력·도구·결과 판정과 스킬·MCP·HITL·SDD·BDD가 각각 해결한 문제를 정리한다.</t>
        </is>
      </c>
      <c r="D54" s="142" t="n">
        <v>50</v>
      </c>
    </row>
    <row r="55" ht="118.5" customHeight="1" s="1">
      <c r="A55" s="143" t="inlineStr">
        <is>
          <t>실습(포털)</t>
        </is>
      </c>
      <c r="B55" s="143" t="inlineStr">
        <is>
          <t>사람의 확인이 실제 업무 결과를 바꾸는 과정 확인하기</t>
        </is>
      </c>
      <c r="C55" s="143" t="inlineStr">
        <is>
          <t>결함 시뮬레이션에서 쿨러 열화를 일으켜 승인 대기 건을 만든다. 이상 확인·조치 화면에서 이 사건의 분석 근거와 에이전트 분석 기록을 먼저 읽는다. 에이전트 화면의 담당 배정에서 운전원 역할에 사람을 넣고 빼 보며 승인할 수 있는 사람이 어떻게 정해지는지 본 뒤 원래 구성으로 되돌린다. 내 작업함에서 「나」를 바꿔 가며 승인 권한이 있는 담당자에게는 이 작업이 보이고 관계없는 담당자에게는 보이지 않는지, 권한 없는 사람이 승인하려 하면 막히는지 확인한다. 권한 있는 담당자로 추천 근거를 읽고 거절한 뒤 처리 건 기록에서 설비 명령 없이 결과 보고로 끝났는지 보고, 1회에 승인했던 처리 건과 비교해 대기·완료 상태와 사람의 결정이 실제 업무 결과를 어떻게 바꾸는지 확인한다.</t>
        </is>
      </c>
      <c r="D55" s="144" t="n">
        <v>50</v>
      </c>
    </row>
    <row r="56" ht="165" customHeight="1" s="1">
      <c r="A56" s="141" t="inlineStr">
        <is>
          <t>실습(VS Code)</t>
        </is>
      </c>
      <c r="B56" s="141" t="inlineStr">
        <is>
          <t>부족한 정보를 질문해 재개하고 변경 요구를 명세로 구현하기</t>
        </is>
      </c>
      <c r="C56" s="141" t="inlineStr">
        <is>
          <t>5회에 만든 원인·점검 계획을 점검 요청 프로젝트로 이어 간다. 도구로 확인할 수 있는 정보는 먼저 조회하고 부족하거나 충돌하는 정보만 질문하도록 구현하고, 답변을 같은 요청 번호에 연결해 판단을 재개한다. 답변 전후의 근거·미확인·상태 변화를 비교하고, 다른 요청의 답이 섞이지 않는지와 정보 답변과 실제 승인이 구분되는지 확인한다. 이어 명세 없이 긴급 표시 요구만 AI에 전달해 바뀐 코드와 결과가 기존 계약의 어디를 흔드는지 비교하고, 기능이 늘어날수록 이런 변경이 쌓이면 기존 기능이 계속 흔들려 유지보수가 어려워지는 까닭을 짚는다. 그다음 같은 프로젝트의 spec.md에 일반·긴급 조건, 필수 정보 누락 때 보류, 승인 없이 확정하지 않음, 출력 형식과 수용 기준을 쓰고, 긴급 판정에 쓰는 센서 조건의 시간 구간·단위·경계값을 정해 구현한다. 일반·긴급·누락 입력의 실제 결과를 명세와 대조해 바뀐 기능과 보존된 기능을 설명한다. 빨리 끝나면 해 볼 것: 같은 프로젝트에 작성자와 검토자 역할을 나눠 검토자가 원자료와 대조해 근거 누락·불일치·추정을 지적하고 작성자가 고치게 한 뒤, 두 AI가 동의한 것과 사람의 최종 승인을 구분한다.</t>
        </is>
      </c>
      <c r="D56" s="142" t="n">
        <v>50</v>
      </c>
    </row>
    <row r="57" ht="211.5" customHeight="1" s="1">
      <c r="A57" s="143" t="inlineStr">
        <is>
          <t>실습(포털 · VS Code)</t>
        </is>
      </c>
      <c r="B57" s="143" t="inlineStr">
        <is>
          <t>기대 행동을 정하고 에이전트 동작 검증하기</t>
        </is>
      </c>
      <c r="C57" s="143" t="inlineStr">
        <is>
          <t>포털 시험 비교 화면에서 같은 쿨러 이상 입력으로 기준 에이전트와 나의 에이전트, 도구나 스킬을 하나 뺀 변형을 함께 실행해 판단·근거·도구 호출을 비교하고, 판단 채점 화면에서 기대 판단을 정답표 항목으로 적어 채점을 여러 번 실행해 기대와 다른 항목과 그 까닭을 실행 기록에서 찾고 결과가 매번 같은지 보며, 이 비교와 채점이 처리 건·설비 명령을 만들지 않는 시험임을 확인한다. 이어 VS Code의 같은 점검 요청 프로젝트에서 일반·긴급·정보 누락·승인 거절·도구 오류의 Given/When/Then을 쓰고 입력·기대 상태·필수 출력 근거를 정한다. 구현이 낸 답을 그대로 기대값으로 옮기지 않고 요구와 원자료에서 판정 기준을 끌어낸다. 제공 테스트 골격에 자신이 정한 입력·기대 결과·판정 코드를 연결해 실제 에이전트 결과를 비교하고, 필수 근거·상태·승인 조건 위반을 찾아 모델의 표현 차이와 내용 오류를 구분해 기록한다. 빨리 끝나면 해 볼 것: 실제로 실패한 시나리오만 원인을 추적해 프롬프트·명세·코드 가운데 고칠 곳을 정해 고치고, 긴급 조건과 함께 기존 일반 요청·보류·거절 조건이 유지되는지 전체를 다시 돌려 확인한다. 또 조회 도구·출력 계약·검증 방식을 재사용해 설비 이벤트·정비 이력·부품 자료를 연결한 교대 인수인계 기능을 만들고 완료·미완료·주의·근거 시각을 원자료와 대조한다. 다음 회차에는 검증한 작업을 사람의 승인과 함께 BPMN으로 표현한다.</t>
        </is>
      </c>
      <c r="D57" s="144" t="n">
        <v>50</v>
      </c>
    </row>
    <row r="58" ht="28" customHeight="1" s="1">
      <c r="A58" s="139" t="inlineStr">
        <is>
          <t>수업 합계 (휴식40분 별도)</t>
        </is>
      </c>
      <c r="D58" s="139">
        <f>SUM(D54:D57)</f>
        <v/>
      </c>
    </row>
    <row r="59" ht="58" customHeight="1" s="1">
      <c r="A59" s="135" t="n"/>
      <c r="B59" s="135" t="n"/>
      <c r="C59" s="135" t="n"/>
      <c r="D59" s="135" t="n"/>
    </row>
    <row r="60" ht="38" customHeight="1" s="1">
      <c r="A60" s="138" t="inlineStr">
        <is>
          <t>08회차  |  AI와 사람이 함께 일하는 업무 프로세스를 직접 설계하고 실행하기</t>
        </is>
      </c>
    </row>
    <row r="61" ht="28" customHeight="1" s="1">
      <c r="A61" s="140" t="inlineStr">
        <is>
          <t>구분</t>
        </is>
      </c>
      <c r="B61" s="140" t="inlineStr">
        <is>
          <t>수업 단위</t>
        </is>
      </c>
      <c r="C61" s="140" t="inlineStr">
        <is>
          <t>세부 활동과 확인할 결과</t>
        </is>
      </c>
      <c r="D61" s="140" t="inlineStr">
        <is>
          <t>시간(분)</t>
        </is>
      </c>
    </row>
    <row r="62" ht="108" customHeight="1" s="1">
      <c r="A62" s="141" t="inlineStr">
        <is>
          <t>이론</t>
        </is>
      </c>
      <c r="B62" s="141" t="inlineStr">
        <is>
          <t>비즈니스 프로세스·BPMN·실행 연결 이해하기</t>
        </is>
      </c>
      <c r="C62" s="141" t="inlineStr">
        <is>
          <t>개별 에이전트의 답을 넘어 작업 순서·담당자·승인·완료를 하나의 흐름으로 표현한다. 비즈니스 프로세스의 시작 조건·입력·출력·책임자·완료 조건과 BPM의 분석→설계→실행→모니터링→개선을 살펴보고, 에이전트만으로 전체 업무 순서와 책임이 보장되지 않는 이유를 이해한다. BPMN의 시작·종료 이벤트, 작업, 게이트웨이, 순서 흐름, Pool·Lane, 메시지 흐름, Timer·경계 이벤트를 설비 대응 사례로 구분하고 승인·거절 분기와 사람·에이전트·시스템의 책임 배치를 본다. 프로세스 정의와 인스턴스, 토큰의 진행, 변수와 결과 전달, 사람 작업·시스템 작업·에이전트 단계, 실행 상태·승인 대기·판본·감사 기록이 실제 실행에서 어떻게 이어지는지 살펴보고 승인 거절과 승인 대기의 차이를 확인한다.</t>
        </is>
      </c>
      <c r="D62" s="142" t="n">
        <v>50</v>
      </c>
    </row>
    <row r="63" ht="92" customHeight="1" s="1">
      <c r="A63" s="143" t="inlineStr">
        <is>
          <t>실습(bpmn.io)</t>
        </is>
      </c>
      <c r="B63" s="143" t="inlineStr">
        <is>
          <t>bpmn.io로 간단한 승인 절차 그리기</t>
        </is>
      </c>
      <c r="C63" s="143" t="inlineStr">
        <is>
          <t>bpmn.io의 팔레트·요소 배치·연결·속성·저장·열기를 익힌 뒤 정비 요청→담당자 확인→승인 여부→승인·거절 종료를 직접 그린다. 게이트웨이의 각 분기가 종료 이벤트까지 이어졌는지 확인하고 .bpmn 파일로 저장한다.</t>
        </is>
      </c>
      <c r="D63" s="144" t="n">
        <v>50</v>
      </c>
    </row>
    <row r="64" ht="92" customHeight="1" s="1">
      <c r="A64" s="141" t="inlineStr">
        <is>
          <t>실습(bpmn.io)</t>
        </is>
      </c>
      <c r="B64" s="141" t="inlineStr">
        <is>
          <t>설비 이상 대응의 역할과 승인 조건을 갖춘 흐름 만들기</t>
        </is>
      </c>
      <c r="C64" s="141" t="inlineStr">
        <is>
          <t>쿨러 열화 시작→에이전트 진단·조치 제안→운전원 승인→설비 명령→효과 재확인→결과 보고를 담당 역할별 Lane에 배치해 그린다. 승인·거절 분기와 각각의 종료 경로를 연결하고, 거절 경로가 설비 명령으로 가지 않는지 확인한 뒤 승인 작업을 취소하지 않는 지연 알림 Timer를 더한다. 각 경로를 따라가며 분기 조건과 연결 누락을 점검하고 파일로 저장한다.</t>
        </is>
      </c>
      <c r="D64" s="142" t="n">
        <v>50</v>
      </c>
    </row>
    <row r="65" ht="165" customHeight="1" s="1">
      <c r="A65" s="143" t="inlineStr">
        <is>
          <t>실습(포털 · bpmn.io)</t>
        </is>
      </c>
      <c r="B65" s="143" t="inlineStr">
        <is>
          <t>그린 흐름을 등록된 실행 흐름과 대어 보고 실제 설비 이벤트로 실행하기</t>
        </is>
      </c>
      <c r="C65" s="143" t="inlineStr">
        <is>
          <t>포털 흐름 가져오기 화면에서 등록된 냉각 대응 흐름의 매핑을 열어, 쿨러 경보 시작 조건과 진단·조치 제안 작업의 에이전트, 승인 작업의 운전원 역할, 설비 명령·재관측·결과 보고 작업의 시스템 기능, 승인·거절 분기 조건이 어떻게 연결돼 있는지 확인한다. 자신이 그린 각 작업이 어떤 실행 기능에 대응하는지 표시해 빠진 연결이 있으면 그림을 고치고, 그림 파일과 실행 정의를 구분한다. 이어 결함 시뮬레이션에서 쿨러 열화를 일으켜 처리 건을 만들고, 같은 처리 건의 판단→운전원 승인→명령→재관측→보고를 처리 건 화면에서 따라간다. 처리 건이 어느 흐름·판본으로 열렸는지 확인하고 승인 대기·정상 종료·거절로 끝난 처리 건을 구분해 비교하며, 명령 처리와 온도 회복, 작업지시 등록과 정비 완료를 따로 확인한다. 처리 기록에서 단계를 펼쳐 도구 호출 원문을 다시 읽고, 다시 수행의 영향 확인으로 어느 단계부터 다시 돌리면 무엇이 바뀌는지 미리 본다. 작성한 BPMN에서 해당 작업을 찾아 실제 정의·판본·처리 건과 결과를 기록한다. 다음 회에는 같은 설계 원리를 정비와 구매 업무에 적용한다.</t>
        </is>
      </c>
      <c r="D65" s="144" t="n">
        <v>50</v>
      </c>
    </row>
    <row r="66" ht="28" customHeight="1" s="1">
      <c r="A66" s="139" t="inlineStr">
        <is>
          <t>수업 합계 (휴식40분 별도)</t>
        </is>
      </c>
      <c r="D66" s="139">
        <f>SUM(D62:D65)</f>
        <v/>
      </c>
    </row>
    <row r="67" ht="60" customHeight="1" s="1">
      <c r="A67" s="135" t="n"/>
      <c r="B67" s="135" t="n"/>
      <c r="C67" s="135" t="n"/>
      <c r="D67" s="135" t="n"/>
    </row>
    <row r="68" ht="38" customHeight="1" s="1">
      <c r="A68" s="138" t="inlineStr">
        <is>
          <t>09회차  |  설비 대응을 넘어 정비와 구매 업무까지 자동으로 연결하기</t>
        </is>
      </c>
    </row>
    <row r="69" ht="28" customHeight="1" s="1">
      <c r="A69" s="140" t="inlineStr">
        <is>
          <t>구분</t>
        </is>
      </c>
      <c r="B69" s="140" t="inlineStr">
        <is>
          <t>수업 단위</t>
        </is>
      </c>
      <c r="C69" s="140" t="inlineStr">
        <is>
          <t>세부 활동과 확인할 결과</t>
        </is>
      </c>
      <c r="D69" s="140" t="inlineStr">
        <is>
          <t>시간(분)</t>
        </is>
      </c>
    </row>
    <row r="70" ht="108" customHeight="1" s="1">
      <c r="A70" s="141" t="inlineStr">
        <is>
          <t>실습(bpmn.io)</t>
        </is>
      </c>
      <c r="B70" s="141" t="inlineStr">
        <is>
          <t>업무별 시작 조건을 비교하고 정비 흐름 설계하기</t>
        </is>
      </c>
      <c r="C70" s="141" t="inlineStr">
        <is>
          <t>설비 대응에서 익힌 승인 흐름을 정비·구매에 적용한다. 냉각 경보·정기 점검 도래·재고 부족의 시작 조건과 에이전트·승인자·실행 시스템, 완료 결과가 어떻게 다른지 비교한다. bpmn.io에서 정기 점검 도래→정비 계획 에이전트→설비보전팀장 승인 또는 거절→정비 오더→생산팀 공지→결과 보고를 그리고, 설비 대응에서 쓴 작업·Lane·게이트웨이·Timer 패턴을 재사용해 승인·거절 경로를 나눈다.</t>
        </is>
      </c>
      <c r="D70" s="142" t="n">
        <v>50</v>
      </c>
    </row>
    <row r="71" ht="92" customHeight="1" s="1">
      <c r="A71" s="143" t="inlineStr">
        <is>
          <t>실습(포털)</t>
        </is>
      </c>
      <c r="B71" s="143" t="inlineStr">
        <is>
          <t>등록된 정비 흐름을 실행하고 결과 검증하기</t>
        </is>
      </c>
      <c r="C71" s="143" t="inlineStr">
        <is>
          <t>포털에서 정기 점검 도래를 일으켜 정비 흐름을 시작하고, 정비 계획 제안과 그 근거를 읽은 뒤 설비보전팀장으로 승인한다. 같은 처리 건의 보고와, 승인과 실행 화면의 기업 시스템 현황·실행 이력에 남은 작업지시·부품 예약·생산 공지의 변경 전·후를 대조하고, 오더 등록과 실제 정비 완료를 구분한다. 다른 처리 건에서 거절하면 오더가 만들어지지 않는 것을 비교하고, 보류 기록이 있으면 함께 본다. 실행 결과를 자신의 BPMN 작업과 연결해 저장한다.</t>
        </is>
      </c>
      <c r="D71" s="144" t="n">
        <v>50</v>
      </c>
    </row>
    <row r="72" ht="108" customHeight="1" s="1">
      <c r="A72" s="141" t="inlineStr">
        <is>
          <t>실습(bpmn.io)</t>
        </is>
      </c>
      <c r="B72" s="141" t="inlineStr">
        <is>
          <t>재고 부족부터 구매·입고까지 이어지는 흐름 설계하기</t>
        </is>
      </c>
      <c r="C72" s="141" t="inlineStr">
        <is>
          <t>bpmn.io에서 재고 부족→구매 에이전트의 수량·공급사 제안→구매 담당자 승인·거절→ERP 발주→공급사 통지→입고·재고 반영→결과 보고를 그린다. 정비 흐름에서 쓴 역할·승인 구조를 재사용해 승인·거절 경로를 나누고, 업무 시스템에서 발주·통지·입고가 어떻게 이어지는지 확인한다.</t>
        </is>
      </c>
      <c r="D72" s="142" t="n">
        <v>50</v>
      </c>
    </row>
    <row r="73" ht="108" customHeight="1" s="1">
      <c r="A73" s="143" t="inlineStr">
        <is>
          <t>실습(포털)</t>
        </is>
      </c>
      <c r="B73" s="143" t="inlineStr">
        <is>
          <t>등록된 구매 흐름을 실행하고 결과 검증하기</t>
        </is>
      </c>
      <c r="C73" s="143" t="inlineStr">
        <is>
          <t>포털에서 재고 보충 흐름을 시작해 공급사·수량 제안의 근거와 승인 조건을 확인하고 구매 담당으로 승인한다. 승인과 실행 화면의 기업 시스템 현황·실행 이력에서 발주·통지·입고·재고 반영을 각각 찾아 시작 재고·예약·발주 중 수량과 비교하고, 기록에 남은 입고가 실제 배송 기간을 거친 입고와 같지 않음을 구분한다. 다른 처리 건에서 거절하면 발주가 막히는 것을 비교하고 BPMN의 해당 작업과 실제 결과를 연결한다. 끝으로 설비 조치·정기 점검·재고 보충의 시작 이벤트, 에이전트 판단, 사람 승인·거절, 시스템 처리와 종료 기록을 되짚고, 다음 회차에 이 기록을 교대 인계안으로 묶는다.</t>
        </is>
      </c>
      <c r="D73" s="144" t="n">
        <v>50</v>
      </c>
    </row>
    <row r="74" ht="28" customHeight="1" s="1">
      <c r="A74" s="139" t="inlineStr">
        <is>
          <t>수업 합계 (휴식40분 별도)</t>
        </is>
      </c>
      <c r="D74" s="139">
        <f>SUM(D70:D73)</f>
        <v/>
      </c>
    </row>
    <row r="75" ht="60" customHeight="1" s="1">
      <c r="A75" s="135" t="n"/>
      <c r="B75" s="135" t="n"/>
      <c r="C75" s="135" t="n"/>
      <c r="D75" s="135" t="n"/>
    </row>
    <row r="76" ht="38" customHeight="1" s="1">
      <c r="A76" s="138" t="inlineStr">
        <is>
          <t>10회차  |  추가 지식과 에이전트로 교대 인수인계 완성하기</t>
        </is>
      </c>
    </row>
    <row r="77" ht="28" customHeight="1" s="1">
      <c r="A77" s="140" t="inlineStr">
        <is>
          <t>구분</t>
        </is>
      </c>
      <c r="B77" s="140" t="inlineStr">
        <is>
          <t>수업 단위</t>
        </is>
      </c>
      <c r="C77" s="140" t="inlineStr">
        <is>
          <t>세부 활동과 확인할 결과</t>
        </is>
      </c>
      <c r="D77" s="140" t="inlineStr">
        <is>
          <t>시간(분)</t>
        </is>
      </c>
    </row>
    <row r="78" ht="134" customHeight="1" s="1">
      <c r="A78" s="141" t="inlineStr">
        <is>
          <t>실습(포털)</t>
        </is>
      </c>
      <c r="B78" s="141" t="inlineStr">
        <is>
          <t>교대 인수인계의 입력·완료 조건을 정하고 보충 지식 적재하기</t>
        </is>
      </c>
      <c r="C78" s="141" t="inlineStr">
        <is>
          <t>그동안 만든 지식·에이전트·업무 흐름을 교대 인수인계 한 건에 연결한다. 포털 흐름 가져오기 화면에서 교대 인수인계 흐름의 시작 입력 항목(대상 설비·교대·기준 시각·작업 메모)을 열어 보고 이를 입력으로 정하고, 설비 상태·미완료 작업지시·부품 대기 정보를 대조해 다음 근무자가 확인할 사항을 정한다. 인계는 조치·정비·구매를 새로 실행하는 일이 아니라 그 기록을 이어받아 확인하는 일이므로 인계자 검토와 인수자 확인을 완료 조건으로 적는다. 이어 포털 지식 관리에 제공 교대 보충 매뉴얼을 올려 원문을 미리 보고 추출을 요청한 뒤, 나온 절차·조건·근거를 원문과 대조해 고치거나 빼고 새 문서로 적재한다. 앞서 적재한 설비 지식이 그대로 남아 있는지 확인하고, 지식 지도에서 새 항목과 문서·판본·절의 연결을 찾아 인계안의 확인 기준으로 삼는다.</t>
        </is>
      </c>
      <c r="D78" s="142" t="n">
        <v>50</v>
      </c>
    </row>
    <row r="79" ht="108" customHeight="1" s="1">
      <c r="A79" s="143" t="inlineStr">
        <is>
          <t>실습(포털)</t>
        </is>
      </c>
      <c r="B79" s="143" t="inlineStr">
        <is>
          <t>설비·정비·ERP를 대조하는 인수인계 에이전트 만들기</t>
        </is>
      </c>
      <c r="C79" s="143" t="inlineStr">
        <is>
          <t>포털 에이전트 화면에서 교대 인수인계 스킬을 새로 만들어 확인할 항목과 대조 규칙을 적는다. 작업 메모는 주장이므로 실제 설비 상태·열린 작업지시·재고와 입고 예정을 각각 조회하고, 자료가 없으면 확인 필요로 남기게 한다. 이 스킬을 쓰고 지식 그래프·업무 DB·판단 도구를 고른 인수인계 에이전트를 만든 뒤, 완료 메모와 열린 작업지시, 입고 예정과 실제 재고가 다를 때 확인 사항으로 남기는지 결과를 원천 기록과 대조한다.</t>
        </is>
      </c>
      <c r="D79" s="144" t="n">
        <v>50</v>
      </c>
    </row>
    <row r="80" ht="108" customHeight="1" s="1">
      <c r="A80" s="141" t="inlineStr">
        <is>
          <t>실습(bpmn.io · 포털)</t>
        </is>
      </c>
      <c r="B80" s="141" t="inlineStr">
        <is>
          <t>교대 인수인계 BPMN을 등록하고 검토·확인 흐름 실행하기</t>
        </is>
      </c>
      <c r="C80" s="141" t="inlineStr">
        <is>
          <t>제공 교대 BPMN을 bpmn.io에서 열어 작업 이름과 배치를 정리하고, 시작 입력·검토·보완 분기를 유지한 채 포털 흐름 가져오기 화면으로 가져와 세 초안 단계에 앞에서 만든 인수인계 에이전트를 배정하고 검사해 별도 판본으로 등록한다. 설비·교대 정보를 입력해 인계안 작성→인계자 검토→인수자 보완 요청→재검토→인수 확인을 수행하고, 인계안을 원천 기록과 대조해 상대에게 근거와 남은 일을 설명한다. 인수 확인과 정비·발주 완료를 구분하고 최종 인계안과 확인 기록을 저장한다.</t>
        </is>
      </c>
      <c r="D80" s="142" t="n">
        <v>50</v>
      </c>
    </row>
    <row r="81" ht="108" customHeight="1" s="1">
      <c r="A81" s="143" t="inlineStr">
        <is>
          <t>실습(ProcessGPT 시연 · Notion)</t>
        </is>
      </c>
      <c r="B81" s="143" t="inlineStr">
        <is>
          <t>ProcessGPT 시연과 비교하고 학습 결과를 지식 자산으로 정리하기</t>
        </is>
      </c>
      <c r="C81" s="143" t="inlineStr">
        <is>
          <t>ProcessGPT 시연을 보며 지금까지 만든 지식·에이전트·업무 흐름이 실제 제품의 업무 흐름에 어떻게 연결되는지 살펴보고, 프로세스 정의·실행 인스턴스·작업함·에이전트 활동을 포털에서 직접 해 본 것과 비교하며 기업 업무에 적용할 때 필요한 권한·승인·실행 기록을 확인한다. 이어 1회에 만든 Notion 학습노트에 개념·참고 자료·실습 산출물·검증 결과를 연결해 기록하고, MCP로 Notion에 기록을 남기는 방법을 살펴본 뒤 정리한 Markdown을 노트에 옮긴다. 관계 모델·판단 근거·명세·검증 결과·인계 기록을 함께 찾아볼 수 있게 정리하며 과정을 마친다.</t>
        </is>
      </c>
      <c r="D81" s="144" t="n">
        <v>50</v>
      </c>
    </row>
    <row r="82" ht="28" customHeight="1" s="1">
      <c r="A82" s="139" t="inlineStr">
        <is>
          <t>수업 합계 (휴식40분 별도)</t>
        </is>
      </c>
      <c r="D82" s="139">
        <f>SUM(D78:D81)</f>
        <v/>
      </c>
    </row>
    <row r="83" ht="12" customHeight="1" s="1">
      <c r="A83" s="135" t="n"/>
      <c r="B83" s="135" t="n"/>
      <c r="C83" s="135" t="n"/>
      <c r="D83" s="135" t="n"/>
    </row>
    <row r="84" ht="36" customHeight="1" s="1">
      <c r="A84" s="135" t="inlineStr">
        <is>
          <t>전체 수업 시간(분)</t>
        </is>
      </c>
      <c r="D84" s="135">
        <f>SUM(D10,D18,D26,D34,D42,D50,D58,D66,D74,D82)</f>
        <v/>
      </c>
    </row>
    <row r="85" ht="26" customHeight="1" s="1">
      <c r="A85" s="135" t="inlineStr">
        <is>
          <t>전체 휴식 시간(분)</t>
        </is>
      </c>
      <c r="D85" s="135">
        <f>40*10</f>
        <v/>
      </c>
    </row>
    <row r="86" ht="65" customHeight="1" s="1">
      <c r="A86" s="135" t="inlineStr">
        <is>
          <t>전체 편성 시간(분)</t>
        </is>
      </c>
      <c r="D86" s="135">
        <f>SUM(D84:D85)</f>
        <v/>
      </c>
    </row>
    <row r="87" ht="60" customHeight="1" s="1">
      <c r="A87" s="135" t="n"/>
      <c r="B87" s="135" t="n"/>
      <c r="C87" s="135" t="n"/>
      <c r="D87" s="135" t="n"/>
    </row>
    <row r="88" ht="60" customHeight="1" s="1">
      <c r="A88" s="135" t="n"/>
      <c r="B88" s="135" t="n"/>
      <c r="C88" s="135" t="n"/>
      <c r="D88" s="135" t="n"/>
    </row>
    <row r="89" ht="60" customHeight="1" s="1">
      <c r="A89" s="135" t="n"/>
      <c r="B89" s="135" t="n"/>
      <c r="C89" s="135" t="n"/>
      <c r="D89" s="135" t="n"/>
    </row>
    <row r="90" ht="60" customHeight="1" s="1">
      <c r="A90" s="135" t="n"/>
      <c r="B90" s="135" t="n"/>
      <c r="C90" s="135" t="n"/>
      <c r="D90" s="135" t="n"/>
    </row>
    <row r="91" ht="28" customHeight="1" s="1">
      <c r="A91" s="135" t="n"/>
      <c r="B91" s="135" t="n"/>
      <c r="C91" s="135" t="n"/>
      <c r="D91" s="135" t="n"/>
    </row>
    <row r="92" ht="58" customHeight="1" s="1">
      <c r="A92" s="135" t="n"/>
      <c r="B92" s="135" t="n"/>
      <c r="C92" s="135" t="n"/>
      <c r="D92" s="135" t="n"/>
    </row>
    <row r="93" ht="12" customHeight="1" s="1">
      <c r="A93" s="135" t="n"/>
      <c r="B93" s="135" t="n"/>
      <c r="C93" s="135" t="n"/>
      <c r="D93" s="135" t="n"/>
    </row>
    <row r="94" ht="36" customHeight="1" s="1">
      <c r="A94" s="135" t="n"/>
      <c r="B94" s="135" t="n"/>
      <c r="C94" s="135" t="n"/>
      <c r="D94" s="135" t="n"/>
    </row>
    <row r="95" ht="26" customHeight="1" s="1">
      <c r="A95" s="135" t="n"/>
      <c r="B95" s="135" t="n"/>
      <c r="C95" s="135" t="n"/>
      <c r="D95" s="135" t="n"/>
    </row>
    <row r="96" ht="65" customHeight="1" s="1">
      <c r="A96" s="135" t="n"/>
      <c r="B96" s="135" t="n"/>
      <c r="C96" s="135" t="n"/>
      <c r="D96" s="135" t="n"/>
    </row>
    <row r="97" ht="60" customHeight="1" s="1">
      <c r="A97" s="135" t="n"/>
      <c r="B97" s="135" t="n"/>
      <c r="C97" s="135" t="n"/>
      <c r="D97" s="135" t="n"/>
    </row>
    <row r="98" ht="60" customHeight="1" s="1">
      <c r="A98" s="135" t="n"/>
      <c r="B98" s="135" t="n"/>
      <c r="C98" s="135" t="n"/>
      <c r="D98" s="135" t="n"/>
    </row>
    <row r="99" ht="60" customHeight="1" s="1">
      <c r="A99" s="135" t="n"/>
      <c r="B99" s="135" t="n"/>
      <c r="C99" s="135" t="n"/>
      <c r="D99" s="135" t="n"/>
    </row>
    <row r="100" ht="68" customHeight="1" s="1">
      <c r="A100" s="135" t="n"/>
      <c r="B100" s="135" t="n"/>
      <c r="C100" s="135" t="n"/>
      <c r="D100" s="135" t="n"/>
    </row>
    <row r="101" ht="60" customHeight="1" s="1">
      <c r="A101" s="135" t="n"/>
      <c r="B101" s="135" t="n"/>
      <c r="C101" s="135" t="n"/>
      <c r="D101" s="135" t="n"/>
    </row>
    <row r="102" ht="60" customHeight="1" s="1">
      <c r="A102" s="135" t="n"/>
      <c r="B102" s="135" t="n"/>
      <c r="C102" s="135" t="n"/>
      <c r="D102" s="135" t="n"/>
    </row>
    <row r="103" ht="28" customHeight="1" s="1">
      <c r="A103" s="135" t="n"/>
      <c r="B103" s="135" t="n"/>
      <c r="C103" s="135" t="n"/>
      <c r="D103" s="135" t="n"/>
    </row>
    <row r="104" ht="58" customHeight="1" s="1">
      <c r="A104" s="135" t="n"/>
      <c r="B104" s="135" t="n"/>
      <c r="C104" s="135" t="n"/>
      <c r="D104" s="135" t="n"/>
    </row>
    <row r="105" ht="12" customHeight="1" s="1">
      <c r="A105" s="135" t="n"/>
      <c r="B105" s="135" t="n"/>
      <c r="C105" s="135" t="n"/>
      <c r="D105" s="135" t="n"/>
    </row>
    <row r="106" ht="36" customHeight="1" s="1">
      <c r="A106" s="135" t="n"/>
      <c r="B106" s="135" t="n"/>
      <c r="C106" s="135" t="n"/>
      <c r="D106" s="135" t="n"/>
    </row>
    <row r="107" ht="26" customHeight="1" s="1">
      <c r="A107" s="135" t="n"/>
      <c r="B107" s="135" t="n"/>
      <c r="C107" s="135" t="n"/>
      <c r="D107" s="135" t="n"/>
    </row>
    <row r="108" ht="65" customHeight="1" s="1">
      <c r="A108" s="135" t="n"/>
      <c r="B108" s="135" t="n"/>
      <c r="C108" s="135" t="n"/>
      <c r="D108" s="135" t="n"/>
    </row>
    <row r="109" ht="60" customHeight="1" s="1">
      <c r="A109" s="135" t="n"/>
      <c r="B109" s="135" t="n"/>
      <c r="C109" s="135" t="n"/>
      <c r="D109" s="135" t="n"/>
    </row>
    <row r="110" ht="60" customHeight="1" s="1">
      <c r="A110" s="135" t="n"/>
      <c r="B110" s="135" t="n"/>
      <c r="C110" s="135" t="n"/>
      <c r="D110" s="135" t="n"/>
    </row>
    <row r="111" ht="60" customHeight="1" s="1">
      <c r="A111" s="135" t="n"/>
      <c r="B111" s="135" t="n"/>
      <c r="C111" s="135" t="n"/>
      <c r="D111" s="135" t="n"/>
    </row>
    <row r="112" ht="60" customHeight="1" s="1">
      <c r="A112" s="135" t="n"/>
      <c r="B112" s="135" t="n"/>
      <c r="C112" s="135" t="n"/>
      <c r="D112" s="135" t="n"/>
    </row>
    <row r="113" ht="60" customHeight="1" s="1">
      <c r="A113" s="135" t="n"/>
      <c r="B113" s="135" t="n"/>
      <c r="C113" s="135" t="n"/>
      <c r="D113" s="135" t="n"/>
    </row>
    <row r="114" ht="68" customHeight="1" s="1">
      <c r="A114" s="135" t="n"/>
      <c r="B114" s="135" t="n"/>
      <c r="C114" s="135" t="n"/>
      <c r="D114" s="135" t="n"/>
    </row>
    <row r="115" ht="28" customHeight="1" s="1">
      <c r="A115" s="135" t="n"/>
      <c r="B115" s="135" t="n"/>
      <c r="C115" s="135" t="n"/>
      <c r="D115" s="135" t="n"/>
    </row>
    <row r="116" ht="58" customHeight="1" s="1">
      <c r="A116" s="135" t="n"/>
      <c r="B116" s="135" t="n"/>
      <c r="C116" s="135" t="n"/>
      <c r="D116" s="135" t="n"/>
    </row>
    <row r="117" ht="12" customHeight="1" s="1">
      <c r="A117" s="135" t="n"/>
      <c r="B117" s="135" t="n"/>
      <c r="C117" s="135" t="n"/>
      <c r="D117" s="135" t="n"/>
    </row>
    <row r="118" ht="28" customHeight="1" s="1">
      <c r="A118" s="135" t="n"/>
      <c r="B118" s="135" t="n"/>
      <c r="C118" s="135" t="n"/>
      <c r="D118" s="135" t="n"/>
    </row>
    <row r="119" ht="28" customHeight="1" s="1">
      <c r="A119" s="135" t="n"/>
      <c r="B119" s="135" t="n"/>
      <c r="C119" s="135" t="n"/>
      <c r="D119" s="135" t="n"/>
    </row>
    <row r="120" ht="28" customHeight="1" s="1">
      <c r="A120" s="135" t="n"/>
      <c r="B120" s="135" t="n"/>
      <c r="C120" s="135" t="n"/>
      <c r="D120" s="135" t="n"/>
    </row>
    <row r="121" ht="48" customHeight="1" s="1">
      <c r="A121" s="135" t="n"/>
      <c r="B121" s="135" t="n"/>
      <c r="C121" s="135" t="n"/>
      <c r="D121" s="135" t="n"/>
    </row>
    <row r="122">
      <c r="A122" s="135" t="n"/>
      <c r="B122" s="135" t="n"/>
      <c r="C122" s="135" t="n"/>
      <c r="D122" s="135" t="n"/>
    </row>
    <row r="123">
      <c r="A123" s="135" t="n"/>
      <c r="B123" s="135" t="n"/>
      <c r="C123" s="135" t="n"/>
      <c r="D123" s="135" t="n"/>
    </row>
    <row r="124">
      <c r="A124" s="135" t="n"/>
      <c r="B124" s="135" t="n"/>
      <c r="C124" s="135" t="n"/>
      <c r="D124" s="135" t="n"/>
    </row>
    <row r="125">
      <c r="A125" s="135" t="n"/>
      <c r="B125" s="135" t="n"/>
      <c r="C125" s="135" t="n"/>
      <c r="D125" s="135" t="n"/>
    </row>
    <row r="126">
      <c r="A126" s="135" t="n"/>
      <c r="B126" s="135" t="n"/>
      <c r="C126" s="135" t="n"/>
      <c r="D126" s="135" t="n"/>
    </row>
    <row r="127">
      <c r="A127" s="135" t="n"/>
      <c r="B127" s="135" t="n"/>
      <c r="C127" s="135" t="n"/>
      <c r="D127" s="135" t="n"/>
    </row>
    <row r="128">
      <c r="A128" s="135" t="n"/>
      <c r="B128" s="135" t="n"/>
      <c r="C128" s="135" t="n"/>
      <c r="D128" s="135" t="n"/>
    </row>
    <row r="129">
      <c r="A129" s="135" t="n"/>
      <c r="B129" s="135" t="n"/>
      <c r="C129" s="135" t="n"/>
      <c r="D129" s="135" t="n"/>
    </row>
    <row r="130">
      <c r="A130" s="135" t="n"/>
      <c r="B130" s="135" t="n"/>
      <c r="C130" s="135" t="n"/>
      <c r="D130" s="135" t="n"/>
    </row>
    <row r="131">
      <c r="A131" s="135" t="n"/>
      <c r="B131" s="135" t="n"/>
      <c r="C131" s="135" t="n"/>
      <c r="D131" s="135" t="n"/>
    </row>
    <row r="132">
      <c r="A132" s="135" t="n"/>
      <c r="B132" s="135" t="n"/>
      <c r="C132" s="135" t="n"/>
      <c r="D132" s="135" t="n"/>
    </row>
    <row r="133">
      <c r="A133" s="135" t="n"/>
      <c r="B133" s="135" t="n"/>
      <c r="C133" s="135" t="n"/>
      <c r="D133" s="135" t="n"/>
    </row>
    <row r="134">
      <c r="A134" s="135" t="n"/>
      <c r="B134" s="135" t="n"/>
      <c r="C134" s="135" t="n"/>
      <c r="D134" s="135" t="n"/>
    </row>
    <row r="135">
      <c r="A135" s="135" t="n"/>
      <c r="B135" s="135" t="n"/>
      <c r="C135" s="135" t="n"/>
      <c r="D135" s="135" t="n"/>
    </row>
    <row r="136">
      <c r="A136" s="135" t="n"/>
      <c r="B136" s="135" t="n"/>
      <c r="C136" s="135" t="n"/>
      <c r="D136" s="135" t="n"/>
    </row>
    <row r="137">
      <c r="A137" s="135" t="n"/>
      <c r="B137" s="135" t="n"/>
      <c r="C137" s="135" t="n"/>
      <c r="D137" s="135" t="n"/>
    </row>
    <row r="138">
      <c r="A138" s="135" t="n"/>
      <c r="B138" s="135" t="n"/>
      <c r="C138" s="135" t="n"/>
      <c r="D138" s="135" t="n"/>
    </row>
    <row r="139">
      <c r="A139" s="135" t="n"/>
      <c r="B139" s="135" t="n"/>
      <c r="C139" s="135" t="n"/>
      <c r="D139" s="135" t="n"/>
    </row>
    <row r="140">
      <c r="A140" s="135" t="n"/>
      <c r="B140" s="135" t="n"/>
      <c r="C140" s="135" t="n"/>
      <c r="D140" s="135" t="n"/>
    </row>
    <row r="141">
      <c r="A141" s="135" t="n"/>
      <c r="B141" s="135" t="n"/>
      <c r="C141" s="135" t="n"/>
      <c r="D141" s="135" t="n"/>
    </row>
    <row r="142">
      <c r="A142" s="135" t="n"/>
      <c r="B142" s="135" t="n"/>
      <c r="C142" s="135" t="n"/>
      <c r="D142" s="135" t="n"/>
    </row>
    <row r="143">
      <c r="A143" s="135" t="n"/>
      <c r="B143" s="135" t="n"/>
      <c r="C143" s="135" t="n"/>
      <c r="D143" s="135" t="n"/>
    </row>
    <row r="144">
      <c r="A144" s="135" t="n"/>
      <c r="B144" s="135" t="n"/>
      <c r="C144" s="135" t="n"/>
      <c r="D144" s="135" t="n"/>
    </row>
    <row r="145">
      <c r="A145" s="135" t="n"/>
      <c r="B145" s="135" t="n"/>
      <c r="C145" s="135" t="n"/>
      <c r="D145" s="135" t="n"/>
    </row>
    <row r="146">
      <c r="A146" s="135" t="n"/>
      <c r="B146" s="135" t="n"/>
      <c r="C146" s="135" t="n"/>
      <c r="D146" s="135" t="n"/>
    </row>
    <row r="147">
      <c r="A147" s="135" t="n"/>
      <c r="B147" s="135" t="n"/>
      <c r="C147" s="135" t="n"/>
      <c r="D147" s="135" t="n"/>
    </row>
    <row r="148">
      <c r="A148" s="135" t="n"/>
      <c r="B148" s="135" t="n"/>
      <c r="C148" s="135" t="n"/>
      <c r="D148" s="135" t="n"/>
    </row>
    <row r="149">
      <c r="A149" s="135" t="n"/>
      <c r="B149" s="135" t="n"/>
      <c r="C149" s="135" t="n"/>
      <c r="D149" s="135" t="n"/>
    </row>
    <row r="150">
      <c r="A150" s="135" t="n"/>
      <c r="B150" s="135" t="n"/>
      <c r="C150" s="135" t="n"/>
      <c r="D150" s="135" t="n"/>
    </row>
  </sheetData>
  <mergeCells count="25">
    <mergeCell ref="A66:C66"/>
    <mergeCell ref="A84:C84"/>
    <mergeCell ref="A4:D4"/>
    <mergeCell ref="A20:D20"/>
    <mergeCell ref="A74:C74"/>
    <mergeCell ref="A18:C18"/>
    <mergeCell ref="A52:D52"/>
    <mergeCell ref="A50:C50"/>
    <mergeCell ref="A28:D28"/>
    <mergeCell ref="A26:C26"/>
    <mergeCell ref="A68:D68"/>
    <mergeCell ref="A86:C86"/>
    <mergeCell ref="A44:D44"/>
    <mergeCell ref="A42:C42"/>
    <mergeCell ref="A85:C85"/>
    <mergeCell ref="A60:D60"/>
    <mergeCell ref="A36:D36"/>
    <mergeCell ref="A10:C10"/>
    <mergeCell ref="A1:D1"/>
    <mergeCell ref="A58:C58"/>
    <mergeCell ref="A34:C34"/>
    <mergeCell ref="A82:C82"/>
    <mergeCell ref="A12:D12"/>
    <mergeCell ref="A2:D2"/>
    <mergeCell ref="A76:D7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50"/>
  <sheetViews>
    <sheetView showGridLines="0" workbookViewId="0">
      <pane ySplit="2" topLeftCell="A3" activePane="bottomLeft" state="frozen"/>
      <selection activeCell="A1" sqref="A1"/>
    </sheetView>
  </sheetViews>
  <sheetFormatPr baseColWidth="8" defaultRowHeight="15"/>
  <cols>
    <col width="13" customWidth="1" style="1" min="1" max="1"/>
    <col width="43" customWidth="1" style="1" min="2" max="2"/>
    <col width="110" customWidth="1" style="1" min="3" max="3"/>
    <col width="12" customWidth="1" style="1" min="4" max="4"/>
  </cols>
  <sheetData>
    <row r="1" ht="38" customHeight="1" s="1">
      <c r="A1" s="137" t="inlineStr">
        <is>
          <t>HYD 제조 AI | 실전반 오프라인 정규 9회 | 수업 계획</t>
        </is>
      </c>
    </row>
    <row r="2" ht="48" customHeight="1" s="1">
      <c r="A2" s="135" t="inlineStr">
        <is>
          <t>매회 50분 수업 · 10분 휴식 × 4교시(수업 200분 · 휴식 40분). 온라인 한 회차의 내용을 한 회에 담아(온라인 4회차는 두 회에 나눔), 핵심 이론을 짚은 뒤 포털에서 써 보고 VS Code에서 직접 만들어 본다.</t>
        </is>
      </c>
    </row>
    <row r="3" ht="12" customHeight="1" s="1">
      <c r="A3" s="135" t="n"/>
      <c r="B3" s="135" t="n"/>
      <c r="C3" s="135" t="n"/>
      <c r="D3" s="135" t="n"/>
    </row>
    <row r="4" ht="38" customHeight="1" s="1">
      <c r="A4" s="138" t="inlineStr">
        <is>
          <t>01회차  |  설비 데이터가 판단과 조치로 이어지는 전체 흐름 이해하기</t>
        </is>
      </c>
    </row>
    <row r="5" ht="28" customHeight="1" s="1">
      <c r="A5" s="140" t="inlineStr">
        <is>
          <t>구분</t>
        </is>
      </c>
      <c r="B5" s="140" t="inlineStr">
        <is>
          <t>수업 단위</t>
        </is>
      </c>
      <c r="C5" s="140" t="inlineStr">
        <is>
          <t>세부 활동과 확인할 결과</t>
        </is>
      </c>
      <c r="D5" s="140" t="inlineStr">
        <is>
          <t>시간(분)</t>
        </is>
      </c>
    </row>
    <row r="6" ht="108" customHeight="1" s="1">
      <c r="A6" s="141" t="inlineStr">
        <is>
          <t>이론</t>
        </is>
      </c>
      <c r="B6" s="141" t="inlineStr">
        <is>
          <t>설비 데이터가 판단으로 이어지는 구조와 온톨로지가 필요한 이유 이해하기</t>
        </is>
      </c>
      <c r="C6" s="141" t="inlineStr">
        <is>
          <t>설비 데이터가 실제 조치로 이어지려면 무엇이 필요한지, 과정 전체의 줄기를 잡는다. 기록을 쌓는 것과 다시 찾아 쓸 수 있는 지식 자산으로 남기는 것의 차이를 보고, 개념·원리·출처·실습 결과를 연결해 기록하는 이유를 이해한다. 설비·센서·PLC·관제 화면의 역할을 짧게 되짚은 뒤, HYD의 OT·DMZ·IT 영역과 층 구조에서 센서 데이터가 메시지 처리·시계열 DB·분석 서비스를 거쳐 화면과 판단 기능에 쓰이는 경로를 데이터 리니지로 따라가고, 분석 결과가 실제 조치로 이어질 때 명령 게이트웨이와 설비 제어 영역이 필요한 이유를 살펴본다. 이어 온도가 올랐다는 사실만으로는 원인과 조치를 알 수 없는 까닭에서 출발해 데이터·정보·지식의 차이와, 대상의 종류·속성·관계·제약을 명시하는 지식 모델인 온톨로지를 배우고, 관계 그림이나 그래프 DB 자체가 곧 온톨로지는 아님을 구분한다.</t>
        </is>
      </c>
      <c r="D6" s="142" t="n">
        <v>50</v>
      </c>
    </row>
    <row r="7" ht="125" customHeight="1" s="1">
      <c r="A7" s="143" t="inlineStr">
        <is>
          <t>실습(Notion)</t>
        </is>
      </c>
      <c r="B7" s="143" t="inlineStr">
        <is>
          <t>Notion으로 지식 자산화를 위한 학습노트 만들기</t>
        </is>
      </c>
      <c r="C7" s="143" t="inlineStr">
        <is>
          <t>Notion에서 학습노트 홈과 주제별 카드·페이지를 구성한다. 샘플 개념·출처·실습 결과를 연결해 저장하고, 다시 열어 검색·보완·재사용할 수 있는지 확인한다. 이 노트에 이번 과정에서 배우는 개념과 실습 결과를 이어서 쌓는다. 5회에는 이 노트의 기록을 읽어 다음 협의 안건에 쓴다.</t>
        </is>
      </c>
      <c r="D7" s="144" t="n">
        <v>50</v>
      </c>
    </row>
    <row r="8" ht="149.5" customHeight="1" s="1">
      <c r="A8" s="141" t="inlineStr">
        <is>
          <t>실습(포털)</t>
        </is>
      </c>
      <c r="B8" s="141" t="inlineStr">
        <is>
          <t>실습 환경을 열고 설비 이상부터 승인·조치까지 직접 돌려 보기</t>
        </is>
      </c>
      <c r="C8" s="141" t="inlineStr">
        <is>
          <t>VS Code·AI 코딩 도구(GitHub Copilot·Codex)·Python·Docker가 각각 무슨 일을 하는지 알고 실행 상태를 확인한 뒤 HYD 포털을 연다. 홈의 상태 표시와 시스템 구성 화면에서 설비·데이터·판단·업무 시스템이 어떻게 이어지는지 보고, 실시간 모니터링·지식 지도·지식 관리·에이전트·내 작업함·처리 건 메뉴를 눌러 각 화면에서 할 일을 확인한다. 이어 지식 관리에 제공 쿨러 팬 매뉴얼을 넣고, 에이전트가 추출한 고장·원인·조치를 원문과 맞춰 검토한 뒤 지식으로 적재한다. 이어 결함 시뮬레이션에서 쿨러 열화를 직접 일으켜 센서 값이 변하고 경보가 뜨는 것을 보고, AI의 원인·조치 추천과 근거를 내 작업함에서 읽고 승인한 뒤 설비 명령→온도 재관측→결과 보고와 따로 남은 정비 요청까지 처리 건에서 따라간다. 단계마다 쓰인 정보와 다음 단계로 넘어간 것을 비교하며 AI의 추천·사람의 승인·실제 조치가 서로 다른 단계임을 확인한다.</t>
        </is>
      </c>
      <c r="D8" s="142" t="n">
        <v>50</v>
      </c>
    </row>
    <row r="9" ht="108" customHeight="1" s="1">
      <c r="A9" s="143" t="inlineStr">
        <is>
          <t>실습(ARROWS)</t>
        </is>
      </c>
      <c r="B9" s="143" t="inlineStr">
        <is>
          <t>설비 이상과 원인·조치의 관계를 관계도로 그리기</t>
        </is>
      </c>
      <c r="C9" s="143" t="inlineStr">
        <is>
          <t>arrows.app에서 노드·관계·레이블을 만드는 법을 익히고, 방금 따라간 쿨러 이상을 바탕으로 설비·센서·증상·원인·조치를 배치해 연결 관계와 방향을 직접 그린다. 각 화살표를 문장으로 읽어 보며 정보를 나열하는 방식과 관계를 중심으로 표현하는 방식의 차이를 확인한다. 이 관계도를 다음 회차에 식별자와 속성을 갖춘 모델로 옮겨 그래프로 조회한다.</t>
        </is>
      </c>
      <c r="D9" s="144" t="n">
        <v>50</v>
      </c>
    </row>
    <row r="10" ht="28" customHeight="1" s="1">
      <c r="A10" s="139" t="inlineStr">
        <is>
          <t>수업 합계 (휴식40분 별도)</t>
        </is>
      </c>
      <c r="D10" s="139">
        <f>SUM(D6:D9)</f>
        <v/>
      </c>
    </row>
    <row r="11" ht="60" customHeight="1" s="1">
      <c r="A11" s="135" t="n"/>
      <c r="B11" s="135" t="n"/>
      <c r="C11" s="135" t="n"/>
      <c r="D11" s="135" t="n"/>
    </row>
    <row r="12" ht="38" customHeight="1" s="1">
      <c r="A12" s="138" t="inlineStr">
        <is>
          <t>02회차  |  설비의 지식 구조를 만들고 안전한 조치 기준 마련하기</t>
        </is>
      </c>
    </row>
    <row r="13" ht="28" customHeight="1" s="1">
      <c r="A13" s="140" t="inlineStr">
        <is>
          <t>구분</t>
        </is>
      </c>
      <c r="B13" s="140" t="inlineStr">
        <is>
          <t>수업 단위</t>
        </is>
      </c>
      <c r="C13" s="140" t="inlineStr">
        <is>
          <t>세부 활동과 확인할 결과</t>
        </is>
      </c>
      <c r="D13" s="140" t="inlineStr">
        <is>
          <t>시간(분)</t>
        </is>
      </c>
    </row>
    <row r="14" ht="108" customHeight="1" s="1">
      <c r="A14" s="141" t="inlineStr">
        <is>
          <t>이론</t>
        </is>
      </c>
      <c r="B14" s="141" t="inlineStr">
        <is>
          <t>클래스·스키마·그래프 조회와 절차·판단 조건의 차이 이해하기</t>
        </is>
      </c>
      <c r="C14" s="141" t="inlineStr">
        <is>
          <t>1회에 그린 관계도를 식별자와 속성을 갖춘 구조로 옮기고, 작업 조건을 판단에 쓸 수 있는 형태로 바꾸는 데 필요한 개념을 배운다. 클래스·인스턴스·속성·관계, 관계 방향과 카디널리티를 설비·센서 실례로 살펴보고 같은 종류의 설비와 실제 설비 한 대를 구별한다. 고유 식별자·자료형·필수값·레이블·관계 제약과 스키마·인스턴스의 역할을 배우고, 중복된 부품 이름과 고유 식별자로 구분한 결과를 비교한다. Neo4j의 노드·관계·속성과 Cypher의 MATCH·WHERE·RETURN·CREATE·MERGE의 목적, 구조 조회와 실제 데이터 적재의 차이를 살펴본다. 끝으로 SOP의 단계·안전 전제·금지 조건과 DMN의 입력 조건·결정표·출력 판단을 비교하고, 절차를 모두 규칙으로 바꿀 수는 없는 까닭을 이해한다.</t>
        </is>
      </c>
      <c r="D14" s="142" t="n">
        <v>50</v>
      </c>
    </row>
    <row r="15" ht="108" customHeight="1" s="1">
      <c r="A15" s="143" t="inlineStr">
        <is>
          <t>실습(Neo4j · 포털)</t>
        </is>
      </c>
      <c r="B15" s="143" t="inlineStr">
        <is>
          <t>Cypher로 그래프를 다루고 기준 설비 지식의 연결 확인하기</t>
        </is>
      </c>
      <c r="C15" s="143" t="inlineStr">
        <is>
          <t>별도 Neo4j 랩 DB에서 작은 예제를 CREATE·MATCH·WHERE·RETURN·MERGE·SET으로 생성·조회·수정하고, 그래프를 눌러 속성을 확인하며 RETURN 대상에 따른 그래프·표 결과를 비교한다. DELETE·DETACH DELETE로 연습 데이터만 정리하고 재조회한 뒤, 제공 설비 예제에서 구성 요소·센서·부품의 연결을 한 단계·여러 단계 경로로 조회하고 조건·집계 결과를 원래 행과 대조한다. 이어 포털 지식 지도에서 설비·구성 요소·부품·문서의 연결을 펼쳐 노드의 ID·속성과 관계 방향을 확인하고, 한 부품을 사용하는 설비를 찾아 연결이 있다는 사실과 실제 재고·공급 조건이 확보됐다는 판단을 구분한다. 랩 DB의 연습 그래프와 포털의 기준 지도를 구분하고, 다음 실습에서 제공 공급 자료로 답할 질문을 정한다.</t>
        </is>
      </c>
      <c r="D15" s="144" t="n">
        <v>50</v>
      </c>
    </row>
    <row r="16" ht="108" customHeight="1" s="1">
      <c r="A16" s="141" t="inlineStr">
        <is>
          <t>실습(VS Code)</t>
        </is>
      </c>
      <c r="B16" s="141" t="inlineStr">
        <is>
          <t>설비·부품·공급 정보를 연결하는 모델을 설계하고 조회 그래프 구현하기</t>
        </is>
      </c>
      <c r="C16" s="141" t="inlineStr">
        <is>
          <t>제공 설비·부품 모델에 공급 조건 자료를 연결하도록 모델을 확장하고, 부품별 사용 설비와 공급사별 승인 여부·단가·불량률·납기를 찾을 질문을 정한다. 공용 부품을 설비별로 중복 생성하지 않고 단위와 출처를 보존하며, AI와 함께 작성한 모델을 원자료의 품번·공급사·조건과 대조한다. 이어 확장한 모델로 부품별 사용 설비와 공급 조건을 돌려주는 적재·조회문을 작성하고, 여러 설비가 함께 쓰는 펌프 씰 부품으로 사용 설비 세 대와 공급 조건 세 행을 원자료와 대조한다. 다른 품번과 없는 품번도 확인하고 비승인 공급사를 승인 상태와 함께 구별하며, 반복 적재의 중복 여부를 검사하고 질의·결과·남은 확인 사항을 저장한다. 이 모델은 공급사를 골라 주는 판단이 아니라 고를 때 필요한 정보를 찾아 주는 구조임을 구분한다.</t>
        </is>
      </c>
      <c r="D16" s="142" t="n">
        <v>50</v>
      </c>
    </row>
    <row r="17" ht="108" customHeight="1" s="1">
      <c r="A17" s="143" t="inlineStr">
        <is>
          <t>실습(포털 · VS Code)</t>
        </is>
      </c>
      <c r="B17" s="143" t="inlineStr">
        <is>
          <t>포털 판단 규칙을 확인하고 복합 조건과 예외를 조치 조건표로 표현하기</t>
        </is>
      </c>
      <c r="C17" s="143" t="inlineStr">
        <is>
          <t>포털 조치 방법 화면에서 쿨러 조치의 수행 단계·담당·승인 역할과 연결된 고장 유형을 읽고, 조치 판단 규칙 화면에서 같은 설비와 이상 패턴으로 판단을 실행해 허용 또는 제외된 조치 후보를 SOP의 금지 조건과 대조해 절차가 정하는 것과 판단 규칙이 정하는 것을 구분한다. 이어 VS Code에서 제공 SOP의 경고·감점·제외를 구분해 입력·단위·연산자·경계·출력·출처를 조건표로 작성한다. 복수 사유를 함께 남기고, 입력이 빠져도 이미 확인된 제외 근거는 보존하는지 사례로 확인한다. 조건표에 남은 후보와 실제 실행 승인을 구별한다. 다음 회차에는 이 조건표로 조치 검토 결과를 만들고 매뉴얼 근거를 연결한다.</t>
        </is>
      </c>
      <c r="D17" s="144" t="n">
        <v>50</v>
      </c>
    </row>
    <row r="18" ht="28" customHeight="1" s="1">
      <c r="A18" s="139" t="inlineStr">
        <is>
          <t>수업 합계 (휴식40분 별도)</t>
        </is>
      </c>
      <c r="D18" s="139">
        <f>SUM(D14:D17)</f>
        <v/>
      </c>
    </row>
    <row r="19" ht="60" customHeight="1" s="1">
      <c r="A19" s="135" t="n"/>
      <c r="B19" s="135" t="n"/>
      <c r="C19" s="135" t="n"/>
      <c r="D19" s="135" t="n"/>
    </row>
    <row r="20" ht="38" customHeight="1" s="1">
      <c r="A20" s="138" t="inlineStr">
        <is>
          <t>03회차  |  조치의 성과를 비교하고 현장 자료를 판단 근거로 전환하기</t>
        </is>
      </c>
    </row>
    <row r="21" ht="28" customHeight="1" s="1">
      <c r="A21" s="140" t="inlineStr">
        <is>
          <t>구분</t>
        </is>
      </c>
      <c r="B21" s="140" t="inlineStr">
        <is>
          <t>수업 단위</t>
        </is>
      </c>
      <c r="C21" s="140" t="inlineStr">
        <is>
          <t>세부 활동과 확인할 결과</t>
        </is>
      </c>
      <c r="D21" s="140" t="inlineStr">
        <is>
          <t>시간(분)</t>
        </is>
      </c>
    </row>
    <row r="22" ht="118.5" customHeight="1" s="1">
      <c r="A22" s="141" t="inlineStr">
        <is>
          <t>이론</t>
        </is>
      </c>
      <c r="B22" s="141" t="inlineStr">
        <is>
          <t>성과 비교 기준과 문서를 검토 가능한 지식으로 바꾸는 과정 이해하기</t>
        </is>
      </c>
      <c r="C22" s="141" t="inlineStr">
        <is>
          <t>조건표를 통과한 조치 후보를 견주는 성과 기준과, 문서를 근거로 쓸 수 있는 지식으로 바꾸는 과정을 배운다. BSC 네 관점과 전략 목표·KPI, 안전을 만족한 후보 사이에서 비용·생산 영향·품질·에너지를 견주는 이유와 What-if 분석의 개념을 살펴본다. 원본 문서 확보→추출→클래스·관계 매핑→원문 대조·검토→승인→그래프 적재→조회의 과정과 출처·개정 기록의 원리를 이해하고, 작은 예제 적재와 본격 문서 인제스천의 차이를 구분한다. AI가 뽑은 후보라도 사람이 조건의 뜻과 누락을 확인해야 하는 까닭을 보고, 끝으로 온톨로지 설계→그래프 DB→SOP·DMN→성과 지표→문서 인제스천으로 이어진 지식 자산이 다음 회차 점검 요청 에이전트의 입력이 되는 흐름을 정리한다.</t>
        </is>
      </c>
      <c r="D22" s="142" t="n">
        <v>50</v>
      </c>
    </row>
    <row r="23" ht="108" customHeight="1" s="1">
      <c r="A23" s="143" t="inlineStr">
        <is>
          <t>실습(포털 · VS Code)</t>
        </is>
      </c>
      <c r="B23" s="143" t="inlineStr">
        <is>
          <t>운전 조건을 바꿔 조치 순위·성과를 비교하고 조치 검토 결과 완성하기</t>
        </is>
      </c>
      <c r="C23" s="143" t="inlineStr">
        <is>
          <t>포털 조치 판단 규칙 화면에서 같은 설비의 설비 상태·운전 모드를 바꿔 판단을 다시 실행하며 적용 규칙·허용 또는 제외된 조치·순위를 비교하고, 조건별 손익과 성과 지표 화면에서 값과 KPI 목표를 바꿔 예상 성과와 판정이 어떻게 달라지는지 본다. 순위가 높은 후보라도 금지 조건에 해당하면 선택할 수 없는 이유를 결과에서 찾고, 시험값을 되돌려 원본이 그대로인지 확인한다. 이어 VS Code에서 앞 회차 조건표를 읽어 후보별 판정과 조치 검토 결과를 만드는 기능을 작성한다. 경고·감점·제외·정보 부족을 구분하고, 허용 후보만 주어진 비용·생산·품질·에너지 비교 산식으로 견주며, 후보별 이유·원문 출처·추가로 확인할 값을 함께 표시한다. 경계값, 제외 사유와 누락이 겹친 입력, 모두 제외된 입력으로 확인하고 비교 순위와 실제 실행 승인을 구분한다.</t>
        </is>
      </c>
      <c r="D23" s="144" t="n">
        <v>50</v>
      </c>
    </row>
    <row r="24" ht="118.5" customHeight="1" s="1">
      <c r="A24" s="141" t="inlineStr">
        <is>
          <t>실습(포털)</t>
        </is>
      </c>
      <c r="B24" s="141" t="inlineStr">
        <is>
          <t>포털에서 매뉴얼을 지식으로 올리고 원문과 대조하기</t>
        </is>
      </c>
      <c r="C24" s="141" t="inlineStr">
        <is>
          <t>포털 지식 관리에서 제공 쿨러 팬 매뉴얼을 올려 미리 보기로 원문을 확인하고, 에이전트에게 추출을 요청한다. 나온 후보에서 작업의 준비·금지·완료 조건과 단계를 원문과 한 줄씩 대조해 틀린 곳은 원문 문장으로 고치고, 원문에 없는 절차는 실행 후보에서 빼며, 고장 유형 같은 필수 선택을 채운다. 검토 표시를 한 뒤 적재하고, 지식 지도에서 팬 운전과 핀 세척의 적용 조건·금지 사항·완료 기준이 어느 원문 절에 연결됐는지 찾아 작업 전에 확인할 항목을 정리하며 기존 지식이 줄지 않았는지 본다. 검토 표시 없이는 적재되지 않고 단계를 고치면 다시 검토해야 하는 까닭을 결과와 함께 확인한다. 데이터 연결 화면에서 설비와 질문을 골라 질의를 직접 실행해 현재 값을 문서의 기준값과 나란히 놓고 구분한다.</t>
        </is>
      </c>
      <c r="D24" s="142" t="n">
        <v>50</v>
      </c>
    </row>
    <row r="25" ht="128" customHeight="1" s="1">
      <c r="A25" s="143" t="inlineStr">
        <is>
          <t>실습(VS Code)</t>
        </is>
      </c>
      <c r="B25" s="143" t="inlineStr">
        <is>
          <t>작업 조건 추출 기능을 만들고 작업 확인 카드로 완성하기</t>
        </is>
      </c>
      <c r="C25" s="143" t="inlineStr">
        <is>
          <t>포털에서 거친 문서 지식화 과정을 VS Code의 독립 랩으로 만든다. 원문에서 작업 순서·조건·단위·금지 사항을 추출하고 문서 ID·절·인용을 함께 돌려주는 기능을 작성하고, 선택한 작업의 준비·금지·완료 조건을 뽑아 원문과 대조해 채택·수정·제외·보류를 기록한다. 이어 승인한 지식만 별도 랩 DB의 기존 ID·관계에 연결하고, 선택한 작업의 준비·금지·완료 조건과 원문 출처를 모아 작업 확인 카드를 만든다. 다른 작업·제공되지 않은 절·반복 적재로 누락과 잘못된 연결을 확인하고 남은 질문을 표시한다. 질문·모델·문서·추출과 검토·적재·조회 결과를 연결해 온톨로지 구축 결과로 저장하고, 공급 정보와 작업 조건으로 어디까지 답할 수 있는지와 카드가 실제 승인이나 현재 상태 확인을 대신하지 않음을 설명한다. 다음 회차 에이전트가 이 근거를 점검 요청에 쓴다.</t>
        </is>
      </c>
      <c r="D25" s="144" t="n">
        <v>50</v>
      </c>
    </row>
    <row r="26" ht="28" customHeight="1" s="1">
      <c r="A26" s="139" t="inlineStr">
        <is>
          <t>수업 합계 (휴식40분 별도)</t>
        </is>
      </c>
      <c r="D26" s="139">
        <f>SUM(D22:D25)</f>
        <v/>
      </c>
    </row>
    <row r="27" ht="36" customHeight="1" s="1">
      <c r="A27" s="135" t="n"/>
      <c r="B27" s="135" t="n"/>
      <c r="C27" s="135" t="n"/>
      <c r="D27" s="135" t="n"/>
    </row>
    <row r="28" ht="38" customHeight="1" s="1">
      <c r="A28" s="138" t="inlineStr">
        <is>
          <t>04회차  |  업무를 수행하는 AI를 만들어 점검 요청으로 연결하기</t>
        </is>
      </c>
    </row>
    <row r="29" ht="28" customHeight="1" s="1">
      <c r="A29" s="140" t="inlineStr">
        <is>
          <t>구분</t>
        </is>
      </c>
      <c r="B29" s="140" t="inlineStr">
        <is>
          <t>수업 단위</t>
        </is>
      </c>
      <c r="C29" s="140" t="inlineStr">
        <is>
          <t>세부 활동과 확인할 결과</t>
        </is>
      </c>
      <c r="D29" s="140" t="inlineStr">
        <is>
          <t>시간(분)</t>
        </is>
      </c>
    </row>
    <row r="30" ht="128" customHeight="1" s="1">
      <c r="A30" s="141" t="inlineStr">
        <is>
          <t>이론</t>
        </is>
      </c>
      <c r="B30" s="141" t="inlineStr">
        <is>
          <t>업무를 수행하는 AI의 구조와 점검 요청 이해하기</t>
        </is>
      </c>
      <c r="C30" s="141" t="inlineStr">
        <is>
          <t>온톨로지 구축 결과를 점검 요청에 활용하는 사례에서 출발해 분석·시각화, 회의 후속 업무, 자기 자료 학습, 작성·검토 협업으로 에이전트의 활용 범위를 살펴본다. LLM·RAG·에이전트의 목표·근거·도구·반복 실행 차이를 비교하고, 작업마다 필요한 입력·결과·검증이 달라짐을 이해한다. 원인 후보를 대상·관측 시각·근거·확인할 항목이 있는 점검 요청으로 바꾸는 구조를 보고, 실제 도구가 확인한 사실과 가설, 요청 초안과 실제 실행, 연결된 기능·권한·종료 조건과 사람의 판단을 구분한다.</t>
        </is>
      </c>
      <c r="D30" s="142" t="n">
        <v>50</v>
      </c>
    </row>
    <row r="31" ht="108" customHeight="1" s="1">
      <c r="A31" s="143" t="inlineStr">
        <is>
          <t>실습(포털)</t>
        </is>
      </c>
      <c r="B31" s="143" t="inlineStr">
        <is>
          <t>업무 에이전트를 만들고 질문의 도구·근거 확인하기</t>
        </is>
      </c>
      <c r="C31" s="143" t="inlineStr">
        <is>
          <t>포털 에이전트 화면에서 기준 에이전트의 목표·지침·사용 도구를 읽고 나의 에이전트를 만든다. 원인 근거와 추가 확인을 정리하도록 역할·목표·성격을 쓰고 지식 그래프·업무 DB·판단 도구 가운데 필요한 것을 고른다. 이론에서 다룬 쿨러 이상 질문을 직접 물어 실제 호출의 입력·결과·관측 시각을 대조하고, 같은 질문에 대한 기준 에이전트의 답과 비교한다. 목표·지침을 한 가지씩 바꿔 같은 질문을 다시 물어 답의 범위와 근거가 어떻게 달라지는지 확인하고, 지식에 없는 질문에는 답할 수 없다고 하는지 본다. 답이 길어진 것보다 근거가 확인되고 모르는 항목이 구분되는지를 기준으로 본다.</t>
        </is>
      </c>
      <c r="D31" s="144" t="n">
        <v>50</v>
      </c>
    </row>
    <row r="32" ht="108" customHeight="1" s="1">
      <c r="A32" s="141" t="inlineStr">
        <is>
          <t>실습(VS Code)</t>
        </is>
      </c>
      <c r="B32" s="141" t="inlineStr">
        <is>
          <t>원인 후보와 설비·문서·부품 근거를 읽는 에이전트 만들기</t>
        </is>
      </c>
      <c r="C32" s="141" t="inlineStr">
        <is>
          <t>포털에서 본 조회·판단을 VS Code의 독립 에이전트로 만든다. 설비 그래프와 사례 입력을 읽는 도구를 연결하고 호출 기록에서 선택한 도구·입력·결과를 확인한다. 원인 후보와 근거를 읽되 오래된 값·표본 부족은 확정하지 않고 미확인으로 남기는지 대조한다. 이어 제공 그래프의 설비·부품·증거와 매뉴얼 절을 점검 대상에 연결하고, 그래프와 문서의 집계 구간이 다르거나 원문 절이 제공되지 않은 경우를 찾아 해결된 사실과 추가로 확인할 조건을 나눈다. 다른 설비 사례로 다시 돌려 근거와 미확인이 어떻게 바뀌는지 비교한다.</t>
        </is>
      </c>
      <c r="D32" s="142" t="n">
        <v>50</v>
      </c>
    </row>
    <row r="33" ht="108" customHeight="1" s="1">
      <c r="A33" s="143" t="inlineStr">
        <is>
          <t>실습(VS Code)</t>
        </is>
      </c>
      <c r="B33" s="143" t="inlineStr">
        <is>
          <t>점검 요청 초안을 만들고 다른 입력으로 검증하기</t>
        </is>
      </c>
      <c r="C33" s="143" t="inlineStr">
        <is>
          <t>대상 설비·부품, 관측 시각, 근거, 확인할 항목과 이유를 담은 점검 요청 초안을 만드는 기능을 완성한다. 누락과 복수 원인 사례, 문서 기준과 측정값이 다른 사례를 넣어 가설을 확정 원인으로 쓰지 않는지, 작업지시를 발행한 것처럼 표시하지 않는지 대조하고, 다른 대상에도 적용해 결과를 비교한다. 초안과 실제 작업지시를 구분해 저장한다. 다음 회차에는 같은 근거 정리 방법으로 협의 안건을 만든다.</t>
        </is>
      </c>
      <c r="D33" s="144" t="n">
        <v>50</v>
      </c>
    </row>
    <row r="34" ht="28" customHeight="1" s="1">
      <c r="A34" s="139" t="inlineStr">
        <is>
          <t>수업 합계 (휴식40분 별도)</t>
        </is>
      </c>
      <c r="D34" s="139">
        <f>SUM(D30:D33)</f>
        <v/>
      </c>
    </row>
    <row r="35" ht="28" customHeight="1" s="1">
      <c r="A35" s="135" t="n"/>
      <c r="B35" s="135" t="n"/>
      <c r="C35" s="135" t="n"/>
      <c r="D35" s="135" t="n"/>
    </row>
    <row r="36" ht="38" customHeight="1" s="1">
      <c r="A36" s="138" t="inlineStr">
        <is>
          <t>05회차  |  스킬과 다양한 도구를 연결해 다음 협의 준비하기</t>
        </is>
      </c>
    </row>
    <row r="37" ht="28" customHeight="1" s="1">
      <c r="A37" s="140" t="inlineStr">
        <is>
          <t>구분</t>
        </is>
      </c>
      <c r="B37" s="140" t="inlineStr">
        <is>
          <t>수업 단위</t>
        </is>
      </c>
      <c r="C37" s="140" t="inlineStr">
        <is>
          <t>세부 활동과 확인할 결과</t>
        </is>
      </c>
      <c r="D37" s="140" t="inlineStr">
        <is>
          <t>시간(분)</t>
        </is>
      </c>
    </row>
    <row r="38" ht="108" customHeight="1" s="1">
      <c r="A38" s="141" t="inlineStr">
        <is>
          <t>이론</t>
        </is>
      </c>
      <c r="B38" s="141" t="inlineStr">
        <is>
          <t>재사용 스킬과 외부 시스템 연결의 원리 이해하기</t>
        </is>
      </c>
      <c r="C38" s="141" t="inlineStr">
        <is>
          <t>반복 업무를 재사용 가능한 능력으로 만들고 외부 자료와 안전하게 연결한다. SKILL.md의 목표·호출 조건·입출력·절차와 현장 SOP와 스킬의 차이, 여러 업무에 같은 지침을 재사용하는 이유를 살펴본다. MCP의 Host·Client·Server·Tool, stdio·HTTP 연결, 입력 스키마와 출력, 읽기·쓰기 권한과 호출 실패를 배우고, 정해진 도구만 쓰는 포털과 MCP를 직접 설정하는 로컬 VS Code의 차이를 비교한다. 회의록의 결정·담당·기한과 Git 변경 기록·시각 정보를 연결해 완료·미결·변경을 판단하는 기준을 이해한다.</t>
        </is>
      </c>
      <c r="D38" s="142" t="n">
        <v>50</v>
      </c>
    </row>
    <row r="39" ht="118.5" customHeight="1" s="1">
      <c r="A39" s="143" t="inlineStr">
        <is>
          <t>실습(포털 · VS Code)</t>
        </is>
      </c>
      <c r="B39" s="143" t="inlineStr">
        <is>
          <t>포털에서 스킬을 붙여 보고 회의 결정과 후속 업무를 추출하는 스킬 만들기</t>
        </is>
      </c>
      <c r="C39" s="143" t="inlineStr">
        <is>
          <t>포털 에이전트 화면의 스킬 탭에서 기준 스킬의 목적·호출 조건·입력·출력·순서를 읽고, 점검 요청에 확인할 항목과 근거를 남기게 하는 나의 스킬을 써서 4회에 만든 나의 에이전트에 붙여 4회에 물었던 쿨러 이상 질문의 답이 어떻게 달라지는지 비교한다. 이어 VS Code에서 제공된 회의록 두 건에서 결정·제안·조건부 작업·담당 미정을 구분하는 스킬을 작성한다. 이전 결정과 후속 확인을 연결해 전달 완료와 발주 완료, 설비별 점검 상태를 구별하고, 각 미결 항목에 다음 협의에서 확인할 질문과 원문 근거를 남기도록 지침을 보완한다. 결과를 원문과 한 줄씩 대조하고, 두 원문에 다시 적용해 특정 이름·날짜에만 맞춘 결과가 아닌지 확인한다.</t>
        </is>
      </c>
      <c r="D39" s="144" t="n">
        <v>50</v>
      </c>
    </row>
    <row r="40" ht="108" customHeight="1" s="1">
      <c r="A40" s="141" t="inlineStr">
        <is>
          <t>실습(포털 · VS Code)</t>
        </is>
      </c>
      <c r="B40" s="141" t="inlineStr">
        <is>
          <t>포털 도구를 직접 호출하고 외부 MCP·내 점검 메모 조회 도구 만들기</t>
        </is>
      </c>
      <c r="C40" s="141" t="inlineStr">
        <is>
          <t>포털 도구 연결 화면에서 준비된 도구 서버의 연결 상태와 도구 목록을 열고 도구 하나를 직접 불러 반환값을 확인한 뒤, 에이전트 질문의 호출 기록에서 같은 도구의 입력·반환값을 찾아 대조한다. 이어 1회에 만든 Notion 학습노트의 회의·학습 기록 읽기 연결과 파일·Git·시간 MCP를 VS Code에 설정하고 접근 범위를 정한다. 각 도구의 입력과 반환값을 확인하고, 제공 서버 골격에 점검 메모 조회 함수를 구현해 기존 에이전트에서 호출한다. 이전 회의와 후속 자료에서 바뀐 내용·근거 파일·시각을 연결하고, 조회 실패와 자료 없음이 서로 다르게 표시되는지 일부러 없는 자료를 불러 확인한다.</t>
        </is>
      </c>
      <c r="D40" s="142" t="n">
        <v>50</v>
      </c>
    </row>
    <row r="41" ht="128" customHeight="1" s="1">
      <c r="A41" s="143" t="inlineStr">
        <is>
          <t>실습(VS Code)</t>
        </is>
      </c>
      <c r="B41" s="143" t="inlineStr">
        <is>
          <t>다음 협의 안건을 만들고 다른 회의로 다시 검증하기</t>
        </is>
      </c>
      <c r="C41" s="143" t="inlineStr">
        <is>
          <t>앞의 회의 스킬과 연결한 도구를 조합해 결정할 질문·확인된 사실·남은 확인·페이지나 파일 근거를 담은 다음 협의 안건을 만든다. 서로 다른 회의와 후속 변경을 대조해 결정이 사라지거나 중복되지 않는지 확인하고, 후속 자료를 더해 다시 만든 안건을 이전 결과와 비교한다. 다음 회차에는 점검 요청의 변경 요구를 명세하고 검증한다.</t>
        </is>
      </c>
      <c r="D41" s="144" t="n">
        <v>50</v>
      </c>
    </row>
    <row r="42" ht="28" customHeight="1" s="1">
      <c r="A42" s="139" t="inlineStr">
        <is>
          <t>수업 합계 (휴식40분 별도)</t>
        </is>
      </c>
      <c r="D42" s="139">
        <f>SUM(D38:D41)</f>
        <v/>
      </c>
    </row>
    <row r="43" ht="60" customHeight="1" s="1">
      <c r="A43" s="135" t="n"/>
      <c r="B43" s="135" t="n"/>
      <c r="C43" s="135" t="n"/>
      <c r="D43" s="135" t="n"/>
    </row>
    <row r="44" ht="38" customHeight="1" s="1">
      <c r="A44" s="138" t="inlineStr">
        <is>
          <t>06회차  |  사람과 협업하고 변경된 기능까지 검증하기</t>
        </is>
      </c>
    </row>
    <row r="45" ht="28" customHeight="1" s="1">
      <c r="A45" s="140" t="inlineStr">
        <is>
          <t>구분</t>
        </is>
      </c>
      <c r="B45" s="140" t="inlineStr">
        <is>
          <t>수업 단위</t>
        </is>
      </c>
      <c r="C45" s="140" t="inlineStr">
        <is>
          <t>세부 활동과 확인할 결과</t>
        </is>
      </c>
      <c r="D45" s="140" t="inlineStr">
        <is>
          <t>시간(분)</t>
        </is>
      </c>
    </row>
    <row r="46" ht="118.5" customHeight="1" s="1">
      <c r="A46" s="141" t="inlineStr">
        <is>
          <t>이론</t>
        </is>
      </c>
      <c r="B46" s="141" t="inlineStr">
        <is>
          <t>사람 승인·명세 주도 개발·행동 주도 개발 이해하기</t>
        </is>
      </c>
      <c r="C46" s="141" t="inlineStr">
        <is>
          <t>점검 요청을 바로 확정할 수 없는 경우를 구분하고, 새 요구를 반영해도 기존 조건을 지키게 한다. HITL의 승인·보류·거절, 역할별 책임과 감사 기록, AI의 자체 검토와 사람 결정의 차이를 살펴본다. 명세 주도 개발(SDD)의 입력/출력 계약·제약·수용 기준과 모호한 변경이 쌓이면 기능이 늘어날수록 기존 기능이 계속 흔들려 유지보수가 어려워지는 위험을 보고, spec.md에 일반 기능과 긴급 요청의 차이를 적는 이유를 이해한다. 행동 주도 개발(BDD)의 Given/When/Then으로 정상·누락·거절·경계 조건과 회귀를 검증하는 방법을 익히고, 끝으로 에이전트·스킬·MCP·HITL·SDD·BDD가 각각 해결하는 문제를 정리한다.</t>
        </is>
      </c>
      <c r="D46" s="142" t="n">
        <v>50</v>
      </c>
    </row>
    <row r="47" ht="149.5" customHeight="1" s="1">
      <c r="A47" s="143" t="inlineStr">
        <is>
          <t>실습(포털 · VS Code)</t>
        </is>
      </c>
      <c r="B47" s="143" t="inlineStr">
        <is>
          <t>사람 승인에 따라 업무가 달라지는 것을 확인하고 질문·재개 구현하기</t>
        </is>
      </c>
      <c r="C47" s="143" t="inlineStr">
        <is>
          <t>쿨러 열화로 승인 대기 건을 만든다. 이상 확인·조치 화면에서 이 사건의 분석 근거와 에이전트 분석 기록을 먼저 읽는다. 에이전트 화면의 담당 배정에서 운전원 역할에 사람을 넣고 빼 보며 승인할 수 있는 사람이 어떻게 정해지는지 본 뒤 원래 구성으로 되돌린다. 이어 내 작업함에서 「나」를 바꿔 가며 권한 있는 담당자에게만 작업이 보이고 권한 없는 사람의 승인은 막히는지 확인한다. 권한 있는 담당자로 추천 근거를 읽고 거절해 설비 명령 없이 결과 보고로 끝나는 것을 처리 건 기록에서 보고, 승인했던 처리 건과 비교한다. 이어 VS Code에서 4회의 점검 요청 초안 기능을 이어, 요청의 설비·경보·사례를 기존 자료로 먼저 확인하고 부족하거나 충돌한 정보만 질문하도록 확장한다. 답변을 같은 요청 번호에 연결해 다시 판단하고, 다른 요청의 답이 섞이지 않는지와 초안의 확인 항목이 답변 전후에 어떻게 바뀌었는지 대조하며 정보 답변과 실제 승인을 구분한다.</t>
        </is>
      </c>
      <c r="D47" s="144" t="n">
        <v>50</v>
      </c>
    </row>
    <row r="48" ht="108" customHeight="1" s="1">
      <c r="A48" s="141" t="inlineStr">
        <is>
          <t>실습(VS Code)</t>
        </is>
      </c>
      <c r="B48" s="141" t="inlineStr">
        <is>
          <t>변경을 명세하고 기존 기능을 보존해 구현하기</t>
        </is>
      </c>
      <c r="C48" s="141" t="inlineStr">
        <is>
          <t>점검 요청에 긴급 확인 표시를 추가하는 요구를 명세한다. 긴급 조건은 쿨러 경보 중이면서 유효한 온도 센서의 120초 평균이 60도 이상인 경우로 두고, 값 누락·신선도 실패·표본 부족은 미판정으로 남긴다. 기존 요청의 출력과 질문·승인 조건을 보존하면서 구현한다. 요청 초안에서 긴급 표시의 이유와 확인할 항목을 읽을 수 있는지 대조하고, 긴급 표시가 설비 기준이나 승인 권한을 바꾸지 않는 표시임을 확인한다.</t>
        </is>
      </c>
      <c r="D48" s="142" t="n">
        <v>50</v>
      </c>
    </row>
    <row r="49" ht="128" customHeight="1" s="1">
      <c r="A49" s="143" t="inlineStr">
        <is>
          <t>실습(포털 · VS Code)</t>
        </is>
      </c>
      <c r="B49" s="143" t="inlineStr">
        <is>
          <t>정상·누락·회귀 시나리오 검증하기</t>
        </is>
      </c>
      <c r="C49" s="143" t="inlineStr">
        <is>
          <t>포털 시험 비교 화면에서 같은 쿨러 이상 입력으로 기준 에이전트와 나의 에이전트를 함께 실행해 판단·근거·도구 호출을 비교하고, 판단 채점 화면에서 기대 판단을 정답표 항목으로 적어 채점을 여러 번 실행해 기대와 다른 항목과 그 까닭을 실행 기록에서 찾고 결과가 매번 같은지 본다. 이어 VS Code에서 일반·긴급·경계값·정보 누락·거절·도구 오류의 기대 결과를 명세와 원자료에서 먼저 작성한다. 테스트 골격에 판정 코드를 구현하여 점검 요청의 긴급 표시·근거·미확인·기존 출력 계약을 검사한다. 실제 오류의 원인을 고친 뒤 기존 사례도 재실행한다. 모델 표현 차이와 계약 위반을 구분하고, 새 대상에 적용한 결과와 재사용할 명세·검증 기록을 저장한다. 다음 회차에는 사람의 판단과 실행 경계를 BPMN으로 표현한다.</t>
        </is>
      </c>
      <c r="D49" s="144" t="n">
        <v>50</v>
      </c>
    </row>
    <row r="50" ht="28" customHeight="1" s="1">
      <c r="A50" s="139" t="inlineStr">
        <is>
          <t>수업 합계 (휴식40분 별도)</t>
        </is>
      </c>
      <c r="D50" s="139">
        <f>SUM(D46:D49)</f>
        <v/>
      </c>
    </row>
    <row r="51" ht="65" customHeight="1" s="1">
      <c r="A51" s="135" t="n"/>
      <c r="B51" s="135" t="n"/>
      <c r="C51" s="135" t="n"/>
      <c r="D51" s="135" t="n"/>
    </row>
    <row r="52" ht="38" customHeight="1" s="1">
      <c r="A52" s="138" t="inlineStr">
        <is>
          <t>07회차  |  설비 이상 대응을 안전하게 실행하는 프로세스 완성하기</t>
        </is>
      </c>
    </row>
    <row r="53" ht="28" customHeight="1" s="1">
      <c r="A53" s="140" t="inlineStr">
        <is>
          <t>구분</t>
        </is>
      </c>
      <c r="B53" s="140" t="inlineStr">
        <is>
          <t>수업 단위</t>
        </is>
      </c>
      <c r="C53" s="140" t="inlineStr">
        <is>
          <t>세부 활동과 확인할 결과</t>
        </is>
      </c>
      <c r="D53" s="140" t="inlineStr">
        <is>
          <t>시간(분)</t>
        </is>
      </c>
    </row>
    <row r="54" ht="108" customHeight="1" s="1">
      <c r="A54" s="141" t="inlineStr">
        <is>
          <t>이론</t>
        </is>
      </c>
      <c r="B54" s="141" t="inlineStr">
        <is>
          <t>업무 흐름의 표현 규칙과 실행·통제 구조 이해하기</t>
        </is>
      </c>
      <c r="C54" s="141" t="inlineStr">
        <is>
          <t>개별 판단이 실제 조치로 이어지려면 어떤 역할·승인·실행 연결이 필요한지 흐름과 기록을 대조한다. 끝에서 끝까지의 업무, 시작·입력·담당·완료와 BPM의 분석·설계·실행·모니터링·개선, 에이전트의 단일 작업과 전체 흐름을 책임지는 오케스트레이션을 살펴본다. BPMN의 이벤트·작업·게이트웨이·Lane·순서 흐름·메시지 흐름과 승인·거절·Timer·경계 이벤트를 설비 이상 대응으로 구분한다. 프로세스 정의·인스턴스·변수·토큰, 프로세스 엔진, 사람·시스템·에이전트 작업과 상태·권한·배포·감사 기록의 의미를 이해한다.</t>
        </is>
      </c>
      <c r="D54" s="142" t="n">
        <v>50</v>
      </c>
    </row>
    <row r="55" ht="92" customHeight="1" s="1">
      <c r="A55" s="143" t="inlineStr">
        <is>
          <t>실습(bpmn.io)</t>
        </is>
      </c>
      <c r="B55" s="143" t="inlineStr">
        <is>
          <t>bpmn.io 기본 사용법을 익히고 간단한 승인 흐름 그리기</t>
        </is>
      </c>
      <c r="C55" s="143" t="inlineStr">
        <is>
          <t>bpmn.io에서 요소 배치·연결·수정·속성 확인과 .bpmn 저장·불러오기를 직접 해 본다. 이어 시작→요청 확인→승인 여부→승인·거절 종료를 그려 이벤트·작업·게이트웨이와 각 경로의 연결을 확인한다.</t>
        </is>
      </c>
      <c r="D55" s="144" t="n">
        <v>50</v>
      </c>
    </row>
    <row r="56" ht="92" customHeight="1" s="1">
      <c r="A56" s="141" t="inlineStr">
        <is>
          <t>실습(bpmn.io)</t>
        </is>
      </c>
      <c r="B56" s="141" t="inlineStr">
        <is>
          <t>설비 이상을 조치까지 잇고 승인 조건과 예외를 반영한 흐름 만들기</t>
        </is>
      </c>
      <c r="C56" s="141" t="inlineStr">
        <is>
          <t>쿨러 경보→진단·조치 제안 에이전트→운전원 승인→설비 명령→효과 재확인→보고를 bpmn.io에서 그리고 역할별 Lane을 구성한다. 승인·거절 분기와 거절 종료, 승인 지연 알림 Timer를 더해, 거절하면 명령이 실행되지 않고 알림이 사람 작업을 취소하지 않는 구조를 경로마다 따라가며 확인한다.</t>
        </is>
      </c>
      <c r="D56" s="142" t="n">
        <v>50</v>
      </c>
    </row>
    <row r="57" ht="180.5" customHeight="1" s="1">
      <c r="A57" s="143" t="inlineStr">
        <is>
          <t>실습(포털 · bpmn.io)</t>
        </is>
      </c>
      <c r="B57" s="143" t="inlineStr">
        <is>
          <t>그린 흐름을 등록된 실행 흐름과 대어 보고 실제 설비 이벤트로 실행하기</t>
        </is>
      </c>
      <c r="C57" s="143" t="inlineStr">
        <is>
          <t>포털 흐름 가져오기 화면에서 등록된 냉각 대응 흐름의 매핑을 열어 쿨러 경보 시작 조건, 진단·조치 제안 에이전트, 운전원 승인 역할, 설비 명령·재관측·결과 보고 작업, 승인·거절 분기 조건이 어떻게 연결돼 있는지 확인한다. 자신이 그린 각 작업이 어떤 실행 기능에 대응하는지 표시하고, 기준 흐름과 비교해 담당 역할·실행 기능·승인과 거절 경로·종료 연결이 빠진 곳을 찾아 그림을 고치고, 고친 그림을 다시 기준 흐름과 대조해 모든 경로가 끝까지 이어지는지 확인한다. 이어 쿨러 열화를 일으켜 처리 건을 만들고 같은 처리 건의 판단→운전원 승인→명령→재관측→보고를 처리 건 화면에서 따라간다. 처리 건이 어느 흐름·판본으로 열렸는지 확인하고 승인 대기·정상 종료·거절로 끝난 처리 건을 구분해 비교하며, 명령 처리와 온도 회복, 작업지시 등록과 정비 완료를 따로 확인한다. 처리 기록에서 단계를 펼쳐 도구 호출 원문을 다시 읽고, 다시 수행의 영향 확인으로 어느 단계부터 다시 돌리면 무엇이 바뀌는지 미리 본다. 다음 담당자가 계속 확인할 일을 근거와 함께 설명하고, 작성한 BPMN에서 해당 작업을 찾아 실제 정의·판본·처리 건과 결과를 기록한다. 다음 회에는 같은 설계 원리를 정비와 구매 업무에 적용한다.</t>
        </is>
      </c>
      <c r="D57" s="144" t="n">
        <v>50</v>
      </c>
    </row>
    <row r="58" ht="28" customHeight="1" s="1">
      <c r="A58" s="139" t="inlineStr">
        <is>
          <t>수업 합계 (휴식40분 별도)</t>
        </is>
      </c>
      <c r="D58" s="139">
        <f>SUM(D54:D57)</f>
        <v/>
      </c>
    </row>
    <row r="59" ht="12" customHeight="1" s="1">
      <c r="A59" s="135" t="n"/>
      <c r="B59" s="135" t="n"/>
      <c r="C59" s="135" t="n"/>
      <c r="D59" s="135" t="n"/>
    </row>
    <row r="60" ht="38" customHeight="1" s="1">
      <c r="A60" s="138" t="inlineStr">
        <is>
          <t>08회차  |  정비와 구매 업무를 연결하고 프로세스의 실행 결과 검증하기</t>
        </is>
      </c>
    </row>
    <row r="61" ht="28" customHeight="1" s="1">
      <c r="A61" s="140" t="inlineStr">
        <is>
          <t>구분</t>
        </is>
      </c>
      <c r="B61" s="140" t="inlineStr">
        <is>
          <t>수업 단위</t>
        </is>
      </c>
      <c r="C61" s="140" t="inlineStr">
        <is>
          <t>세부 활동과 확인할 결과</t>
        </is>
      </c>
      <c r="D61" s="140" t="inlineStr">
        <is>
          <t>시간(분)</t>
        </is>
      </c>
    </row>
    <row r="62" ht="108" customHeight="1" s="1">
      <c r="A62" s="141" t="inlineStr">
        <is>
          <t>실습(bpmn.io)</t>
        </is>
      </c>
      <c r="B62" s="141" t="inlineStr">
        <is>
          <t>업무별 시작 조건을 비교하고 정비 흐름 설계하기</t>
        </is>
      </c>
      <c r="C62" s="141" t="inlineStr">
        <is>
          <t>설비 제어와 정비·구매 처리가 끝나는 지점을 구분한다. 냉각 경보·정기 점검 도래·재고 부족의 시작 조건과 승인자·실행 시스템, 완료 결과가 어떻게 다른지 비교한다. bpmn.io에서 정기 점검 도래→정비 계획 에이전트→설비보전팀장 승인 또는 거절→정비 오더→생산팀 공지→종료를 그리고, 설비 대응의 역할·승인 구조를 재사용해 작업과 분기 조건을 완성한다.</t>
        </is>
      </c>
      <c r="D62" s="142" t="n">
        <v>50</v>
      </c>
    </row>
    <row r="63" ht="92" customHeight="1" s="1">
      <c r="A63" s="143" t="inlineStr">
        <is>
          <t>실습(포털)</t>
        </is>
      </c>
      <c r="B63" s="143" t="inlineStr">
        <is>
          <t>등록된 정비 흐름을 실행하고 승인 조건 검증하기</t>
        </is>
      </c>
      <c r="C63" s="143" t="inlineStr">
        <is>
          <t>포털에서 정기 점검 도래를 일으켜 정비 흐름을 시작하고, 정비 계획 제안과 그 근거를 읽은 뒤 설비보전팀장으로 승인한다. 같은 처리 건의 보고와, 승인과 실행 화면의 기업 시스템 현황·실행 이력에 남은 작업지시·부품 예약·생산 공지의 변경 전·후를 대조하고, 오더 등록과 실제 정비 완료를 구분한다. 예약 뒤 실제 정비와 다음 교대에 남는 확인을 정리한다. 다른 처리 건에서 거절하면 오더가 만들어지지 않는 것을 비교하고, 보류 기록이 있으면 함께 본다. 실행 결과를 자신의 BPMN 작업과 연결해 저장한다.</t>
        </is>
      </c>
      <c r="D63" s="144" t="n">
        <v>50</v>
      </c>
    </row>
    <row r="64" ht="108" customHeight="1" s="1">
      <c r="A64" s="141" t="inlineStr">
        <is>
          <t>실습(bpmn.io)</t>
        </is>
      </c>
      <c r="B64" s="141" t="inlineStr">
        <is>
          <t>재고 부족부터 발주·입고까지 이어지는 흐름 설계하기</t>
        </is>
      </c>
      <c r="C64" s="141" t="inlineStr">
        <is>
          <t>bpmn.io에서 재고 부족→구매 에이전트→구매 담당자 승인·거절→ERP 발주→공급사 통지→입고 반영→종료를 그린다. 정비 흐름의 역할·승인 구조를 재사용해 승인·거절 경로를 나누고, ERP 발주와 재고 반영이 업무 시스템에서 어떻게 이어지는지 확인한다.</t>
        </is>
      </c>
      <c r="D64" s="142" t="n">
        <v>50</v>
      </c>
    </row>
    <row r="65" ht="108" customHeight="1" s="1">
      <c r="A65" s="143" t="inlineStr">
        <is>
          <t>실습(포털)</t>
        </is>
      </c>
      <c r="B65" s="143" t="inlineStr">
        <is>
          <t>등록된 구매 흐름을 실행하고 처리 결과 검증하기</t>
        </is>
      </c>
      <c r="C65" s="143" t="inlineStr">
        <is>
          <t>포털에서 재고 보충 흐름을 시작해 공급사·수량 제안의 근거와 승인 조건을 확인하고 구매 담당으로 승인한다. 승인과 실행 화면의 기업 시스템 현황·실행 이력에서 발주·통지·입고·재고 반영을 각각 찾아 시작 재고·예약·발주 중 수량과 비교하고, 기록에 남은 입고가 실제 배송 기간을 거친 입고와 같지 않음을 구분한다. 발주 중과 입고 완료를 구분해 다음 교대에 전달할 수량·남은 확인을 정리하고, 다른 처리 건에서 거절하면 발주가 막히는 것을 비교해 BPMN의 해당 작업과 실제 결과를 연결한다. 끝으로 이벤트·에이전트·사람·시스템의 역할을 되짚고, 다음 회차에 이 기록의 미완료·불일치를 인계안으로 모은다.</t>
        </is>
      </c>
      <c r="D65" s="144" t="n">
        <v>50</v>
      </c>
    </row>
    <row r="66" ht="28" customHeight="1" s="1">
      <c r="A66" s="139" t="inlineStr">
        <is>
          <t>수업 합계 (휴식40분 별도)</t>
        </is>
      </c>
      <c r="D66" s="139">
        <f>SUM(D62:D65)</f>
        <v/>
      </c>
    </row>
    <row r="67" ht="60" customHeight="1" s="1">
      <c r="A67" s="135" t="n"/>
      <c r="B67" s="135" t="n"/>
      <c r="C67" s="135" t="n"/>
      <c r="D67" s="135" t="n"/>
    </row>
    <row r="68" ht="38" customHeight="1" s="1">
      <c r="A68" s="138" t="inlineStr">
        <is>
          <t>09회차  |  추가 지식과 에이전트로 교대 인수인계 완성하기</t>
        </is>
      </c>
    </row>
    <row r="69" ht="28" customHeight="1" s="1">
      <c r="A69" s="140" t="inlineStr">
        <is>
          <t>구분</t>
        </is>
      </c>
      <c r="B69" s="140" t="inlineStr">
        <is>
          <t>수업 단위</t>
        </is>
      </c>
      <c r="C69" s="140" t="inlineStr">
        <is>
          <t>세부 활동과 확인할 결과</t>
        </is>
      </c>
      <c r="D69" s="140" t="inlineStr">
        <is>
          <t>시간(분)</t>
        </is>
      </c>
    </row>
    <row r="70" ht="134" customHeight="1" s="1">
      <c r="A70" s="141" t="inlineStr">
        <is>
          <t>실습(포털)</t>
        </is>
      </c>
      <c r="B70" s="141" t="inlineStr">
        <is>
          <t>교대 인수인계의 입력·완료 조건을 정하고 보충 지식 적재하기</t>
        </is>
      </c>
      <c r="C70" s="141" t="inlineStr">
        <is>
          <t>지식·도구·에이전트·승인 흐름을 교대 인수인계 한 건에 연결한다. 앞 회차까지 처리한 조치·정비·구매 기록을 이어받아, 다음 담당자가 설비 상태·열린 작업·부품·작업 메모를 이어 확인할 교대 인수인계 문제를 정한다. 포털 흐름 가져오기 화면에서 교대 인수인계 흐름의 시작 입력 항목을 열어 보고 대상·교대·기준 시각·메모를 정리하고, 인계안의 각 주장에 근거가 있고 불일치와 확인할 일이 남으며 인계자 검토와 인수자 확인이 기록되는 것을 완료 조건으로 정한다. 이어 포털 지식 관리에 제공 교대 보충 매뉴얼을 올려 원문을 미리 보고 추출을 요청한 뒤, 나온 절차·조건·근거를 원문과 대조해 고치거나 빼고 새 문서로 적재한다. 앞서 적재한 설비 지식이 그대로 남아 있는지 확인하고, 지식 지도에서 새 항목과 문서·판본·절의 연결을 찾아 인계안의 확인 기준으로 삼는다.</t>
        </is>
      </c>
      <c r="D70" s="142" t="n">
        <v>50</v>
      </c>
    </row>
    <row r="71" ht="108" customHeight="1" s="1">
      <c r="A71" s="143" t="inlineStr">
        <is>
          <t>실습(포털)</t>
        </is>
      </c>
      <c r="B71" s="143" t="inlineStr">
        <is>
          <t>설비·정비·ERP를 대조하는 인수인계 에이전트 만들기</t>
        </is>
      </c>
      <c r="C71" s="143" t="inlineStr">
        <is>
          <t>포털 에이전트 화면에서 교대 인수인계 스킬과 에이전트를 만들고 지식 그래프·업무 DB·판단 도구를 고른다. 설비 관측 시각, 열린 작업지시, 재고·예약·발주 중 수량, 작업 메모를 대조하도록 지침을 쓰고, 완료 주장과 원천 상태가 다르면 두 근거와 확인할 질문을 남기게 한다. 결과의 각 문장을 원천 기록과 비교해 지침을 보완하고, VS Code 랩에서 익힌 출처·질문·검증 방법을 지침에 반영한다.</t>
        </is>
      </c>
      <c r="D71" s="144" t="n">
        <v>50</v>
      </c>
    </row>
    <row r="72" ht="123" customHeight="1" s="1">
      <c r="A72" s="141" t="inlineStr">
        <is>
          <t>실습(bpmn.io · 포털)</t>
        </is>
      </c>
      <c r="B72" s="141" t="inlineStr">
        <is>
          <t>교대 인수인계 BPMN을 등록하고 검토·확인 흐름 실행하기</t>
        </is>
      </c>
      <c r="C72" s="141" t="inlineStr">
        <is>
          <t>제공 교대 BPMN을 bpmn.io에서 열어 시작 입력·검토·보완 흐름을 유지한 채 표시 이름·배치를 정리하고 포털 흐름 가져오기 화면으로 가져와, 세 초안 단계에 앞에서 만든 인수인계 에이전트를 배정해 판본을 등록한다. 설비·교대 정보를 입력해 인계안을 받고, 원천과 대조해 인수자에게 근거와 남은 일을 설명한다. 실제 보완 요청이 있으면 같은 처리 건에서 반영해 재검토·인수 확인한다. 인수 확인을 정비·발주 완료로 바꾸지 않고 최종 인계안·근거·확인 기록을 저장한다.</t>
        </is>
      </c>
      <c r="D72" s="142" t="n">
        <v>50</v>
      </c>
    </row>
    <row r="73" ht="108" customHeight="1" s="1">
      <c r="A73" s="143" t="inlineStr">
        <is>
          <t>실습(ProcessGPT 시연 · Notion)</t>
        </is>
      </c>
      <c r="B73" s="143" t="inlineStr">
        <is>
          <t>ProcessGPT 시연과 비교하고 제작 결과를 학습노트에 기록하기</t>
        </is>
      </c>
      <c r="C73" s="143" t="inlineStr">
        <is>
          <t>ProcessGPT 시연을 보며 지식 조회·에이전트 판단·사람 작업·프로세스 실행이 연결되는 모습을 확인하고, 프로세스 정의·실행 인스턴스·작업함을 포털에서 직접 해 본 것과 비교해 실제 제품의 업무 통제와 실행 기록을 살펴본다. 이어 1회에 만든 Notion 학습노트에 핵심 개념·실습 결과·참고 출처를 연결하고, MCP로 Notion에 기록을 남기는 방법을 살펴본 뒤 작성한 Markdown을 노트에 옮긴다. 조회·판단·검토·실행 확인에 쓴 자료와 산출물을 연결해 다시 활용할 수 있게 학습노트를 완성한다.</t>
        </is>
      </c>
      <c r="D73" s="144" t="n">
        <v>50</v>
      </c>
    </row>
    <row r="74" ht="28" customHeight="1" s="1">
      <c r="A74" s="139" t="inlineStr">
        <is>
          <t>수업 합계 (휴식40분 별도)</t>
        </is>
      </c>
      <c r="D74" s="139">
        <f>SUM(D70:D73)</f>
        <v/>
      </c>
    </row>
    <row r="75" ht="60" customHeight="1" s="1">
      <c r="A75" s="135" t="n"/>
      <c r="B75" s="135" t="n"/>
      <c r="C75" s="135" t="n"/>
      <c r="D75" s="135" t="n"/>
    </row>
    <row r="76" ht="60" customHeight="1" s="1">
      <c r="A76" s="135" t="inlineStr">
        <is>
          <t>전체 수업 시간(분)</t>
        </is>
      </c>
      <c r="D76" s="135">
        <f>SUM(D10,D18,D26,D34,D42,D50,D58,D66,D74)</f>
        <v/>
      </c>
    </row>
    <row r="77" ht="60" customHeight="1" s="1">
      <c r="A77" s="135" t="inlineStr">
        <is>
          <t>전체 휴식 시간(분)</t>
        </is>
      </c>
      <c r="D77" s="135">
        <f>40*9</f>
        <v/>
      </c>
    </row>
    <row r="78" ht="28" customHeight="1" s="1">
      <c r="A78" s="135" t="inlineStr">
        <is>
          <t>전체 편성 시간(분)</t>
        </is>
      </c>
      <c r="D78" s="135">
        <f>SUM(D76:D77)</f>
        <v/>
      </c>
    </row>
    <row r="79" ht="58" customHeight="1" s="1">
      <c r="A79" s="135" t="n"/>
      <c r="B79" s="135" t="n"/>
      <c r="C79" s="135" t="n"/>
      <c r="D79" s="135" t="n"/>
    </row>
    <row r="80" ht="12" customHeight="1" s="1">
      <c r="A80" s="135" t="n"/>
      <c r="B80" s="135" t="n"/>
      <c r="C80" s="135" t="n"/>
      <c r="D80" s="135" t="n"/>
    </row>
    <row r="81" ht="36" customHeight="1" s="1">
      <c r="A81" s="135" t="n"/>
      <c r="B81" s="135" t="n"/>
      <c r="C81" s="135" t="n"/>
      <c r="D81" s="135" t="n"/>
    </row>
    <row r="82" ht="26" customHeight="1" s="1">
      <c r="A82" s="135" t="n"/>
      <c r="B82" s="135" t="n"/>
      <c r="C82" s="135" t="n"/>
      <c r="D82" s="135" t="n"/>
    </row>
    <row r="83" ht="65" customHeight="1" s="1">
      <c r="A83" s="135" t="n"/>
      <c r="B83" s="135" t="n"/>
      <c r="C83" s="135" t="n"/>
      <c r="D83" s="135" t="n"/>
    </row>
    <row r="84" ht="60" customHeight="1" s="1">
      <c r="A84" s="135" t="n"/>
      <c r="B84" s="135" t="n"/>
      <c r="C84" s="135" t="n"/>
      <c r="D84" s="135" t="n"/>
    </row>
    <row r="85" ht="60" customHeight="1" s="1">
      <c r="A85" s="135" t="n"/>
      <c r="B85" s="135" t="n"/>
      <c r="C85" s="135" t="n"/>
      <c r="D85" s="135" t="n"/>
    </row>
    <row r="86" ht="60" customHeight="1" s="1">
      <c r="A86" s="135" t="n"/>
      <c r="B86" s="135" t="n"/>
      <c r="C86" s="135" t="n"/>
      <c r="D86" s="135" t="n"/>
    </row>
    <row r="87" ht="68" customHeight="1" s="1">
      <c r="A87" s="135" t="n"/>
      <c r="B87" s="135" t="n"/>
      <c r="C87" s="135" t="n"/>
      <c r="D87" s="135" t="n"/>
    </row>
    <row r="88" ht="60" customHeight="1" s="1">
      <c r="A88" s="135" t="n"/>
      <c r="B88" s="135" t="n"/>
      <c r="C88" s="135" t="n"/>
      <c r="D88" s="135" t="n"/>
    </row>
    <row r="89" ht="60" customHeight="1" s="1">
      <c r="A89" s="135" t="n"/>
      <c r="B89" s="135" t="n"/>
      <c r="C89" s="135" t="n"/>
      <c r="D89" s="135" t="n"/>
    </row>
    <row r="90" ht="28" customHeight="1" s="1">
      <c r="A90" s="135" t="n"/>
      <c r="B90" s="135" t="n"/>
      <c r="C90" s="135" t="n"/>
      <c r="D90" s="135" t="n"/>
    </row>
    <row r="91" ht="58" customHeight="1" s="1">
      <c r="A91" s="135" t="n"/>
      <c r="B91" s="135" t="n"/>
      <c r="C91" s="135" t="n"/>
      <c r="D91" s="135" t="n"/>
    </row>
    <row r="92" ht="12" customHeight="1" s="1">
      <c r="A92" s="135" t="n"/>
      <c r="B92" s="135" t="n"/>
      <c r="C92" s="135" t="n"/>
      <c r="D92" s="135" t="n"/>
    </row>
    <row r="93" ht="36" customHeight="1" s="1">
      <c r="A93" s="135" t="n"/>
      <c r="B93" s="135" t="n"/>
      <c r="C93" s="135" t="n"/>
      <c r="D93" s="135" t="n"/>
    </row>
    <row r="94" ht="26" customHeight="1" s="1">
      <c r="A94" s="135" t="n"/>
      <c r="B94" s="135" t="n"/>
      <c r="C94" s="135" t="n"/>
      <c r="D94" s="135" t="n"/>
    </row>
    <row r="95" ht="65" customHeight="1" s="1">
      <c r="A95" s="135" t="n"/>
      <c r="B95" s="135" t="n"/>
      <c r="C95" s="135" t="n"/>
      <c r="D95" s="135" t="n"/>
    </row>
    <row r="96" ht="60" customHeight="1" s="1">
      <c r="A96" s="135" t="n"/>
      <c r="B96" s="135" t="n"/>
      <c r="C96" s="135" t="n"/>
      <c r="D96" s="135" t="n"/>
    </row>
    <row r="97" ht="60" customHeight="1" s="1">
      <c r="A97" s="135" t="n"/>
      <c r="B97" s="135" t="n"/>
      <c r="C97" s="135" t="n"/>
      <c r="D97" s="135" t="n"/>
    </row>
    <row r="98" ht="60" customHeight="1" s="1">
      <c r="A98" s="135" t="n"/>
      <c r="B98" s="135" t="n"/>
      <c r="C98" s="135" t="n"/>
      <c r="D98" s="135" t="n"/>
    </row>
    <row r="99" ht="60" customHeight="1" s="1">
      <c r="A99" s="135" t="n"/>
      <c r="B99" s="135" t="n"/>
      <c r="C99" s="135" t="n"/>
      <c r="D99" s="135" t="n"/>
    </row>
    <row r="100" ht="60" customHeight="1" s="1">
      <c r="A100" s="135" t="n"/>
      <c r="B100" s="135" t="n"/>
      <c r="C100" s="135" t="n"/>
      <c r="D100" s="135" t="n"/>
    </row>
    <row r="101" ht="68" customHeight="1" s="1">
      <c r="A101" s="135" t="n"/>
      <c r="B101" s="135" t="n"/>
      <c r="C101" s="135" t="n"/>
      <c r="D101" s="135" t="n"/>
    </row>
    <row r="102" ht="28" customHeight="1" s="1">
      <c r="A102" s="135" t="n"/>
      <c r="B102" s="135" t="n"/>
      <c r="C102" s="135" t="n"/>
      <c r="D102" s="135" t="n"/>
    </row>
    <row r="103" ht="58" customHeight="1" s="1">
      <c r="A103" s="135" t="n"/>
      <c r="B103" s="135" t="n"/>
      <c r="C103" s="135" t="n"/>
      <c r="D103" s="135" t="n"/>
    </row>
    <row r="104" ht="12" customHeight="1" s="1">
      <c r="A104" s="135" t="n"/>
      <c r="B104" s="135" t="n"/>
      <c r="C104" s="135" t="n"/>
      <c r="D104" s="135" t="n"/>
    </row>
    <row r="105" ht="28" customHeight="1" s="1">
      <c r="A105" s="135" t="n"/>
      <c r="B105" s="135" t="n"/>
      <c r="C105" s="135" t="n"/>
      <c r="D105" s="135" t="n"/>
    </row>
    <row r="106" ht="28" customHeight="1" s="1">
      <c r="A106" s="135" t="n"/>
      <c r="B106" s="135" t="n"/>
      <c r="C106" s="135" t="n"/>
      <c r="D106" s="135" t="n"/>
    </row>
    <row r="107" ht="28" customHeight="1" s="1">
      <c r="A107" s="135" t="n"/>
      <c r="B107" s="135" t="n"/>
      <c r="C107" s="135" t="n"/>
      <c r="D107" s="135" t="n"/>
    </row>
    <row r="108" ht="48" customHeight="1" s="1">
      <c r="A108" s="135" t="n"/>
      <c r="B108" s="135" t="n"/>
      <c r="C108" s="135" t="n"/>
      <c r="D108" s="135" t="n"/>
    </row>
    <row r="109">
      <c r="A109" s="135" t="n"/>
      <c r="B109" s="135" t="n"/>
      <c r="C109" s="135" t="n"/>
      <c r="D109" s="135" t="n"/>
    </row>
    <row r="110">
      <c r="A110" s="135" t="n"/>
      <c r="B110" s="135" t="n"/>
      <c r="C110" s="135" t="n"/>
      <c r="D110" s="135" t="n"/>
    </row>
    <row r="111">
      <c r="A111" s="135" t="n"/>
      <c r="B111" s="135" t="n"/>
      <c r="C111" s="135" t="n"/>
      <c r="D111" s="135" t="n"/>
    </row>
    <row r="112">
      <c r="A112" s="135" t="n"/>
      <c r="B112" s="135" t="n"/>
      <c r="C112" s="135" t="n"/>
      <c r="D112" s="135" t="n"/>
    </row>
    <row r="113">
      <c r="A113" s="135" t="n"/>
      <c r="B113" s="135" t="n"/>
      <c r="C113" s="135" t="n"/>
      <c r="D113" s="135" t="n"/>
    </row>
    <row r="114">
      <c r="A114" s="135" t="n"/>
      <c r="B114" s="135" t="n"/>
      <c r="C114" s="135" t="n"/>
      <c r="D114" s="135" t="n"/>
    </row>
    <row r="115">
      <c r="A115" s="135" t="n"/>
      <c r="B115" s="135" t="n"/>
      <c r="C115" s="135" t="n"/>
      <c r="D115" s="135" t="n"/>
    </row>
    <row r="116">
      <c r="A116" s="135" t="n"/>
      <c r="B116" s="135" t="n"/>
      <c r="C116" s="135" t="n"/>
      <c r="D116" s="135" t="n"/>
    </row>
    <row r="117">
      <c r="A117" s="135" t="n"/>
      <c r="B117" s="135" t="n"/>
      <c r="C117" s="135" t="n"/>
      <c r="D117" s="135" t="n"/>
    </row>
    <row r="118">
      <c r="A118" s="135" t="n"/>
      <c r="B118" s="135" t="n"/>
      <c r="C118" s="135" t="n"/>
      <c r="D118" s="135" t="n"/>
    </row>
    <row r="119">
      <c r="A119" s="135" t="n"/>
      <c r="B119" s="135" t="n"/>
      <c r="C119" s="135" t="n"/>
      <c r="D119" s="135" t="n"/>
    </row>
    <row r="120">
      <c r="A120" s="135" t="n"/>
      <c r="B120" s="135" t="n"/>
      <c r="C120" s="135" t="n"/>
      <c r="D120" s="135" t="n"/>
    </row>
    <row r="121">
      <c r="A121" s="135" t="n"/>
      <c r="B121" s="135" t="n"/>
      <c r="C121" s="135" t="n"/>
      <c r="D121" s="135" t="n"/>
    </row>
    <row r="122">
      <c r="A122" s="135" t="n"/>
      <c r="B122" s="135" t="n"/>
      <c r="C122" s="135" t="n"/>
      <c r="D122" s="135" t="n"/>
    </row>
    <row r="123">
      <c r="A123" s="135" t="n"/>
      <c r="B123" s="135" t="n"/>
      <c r="C123" s="135" t="n"/>
      <c r="D123" s="135" t="n"/>
    </row>
    <row r="124">
      <c r="A124" s="135" t="n"/>
      <c r="B124" s="135" t="n"/>
      <c r="C124" s="135" t="n"/>
      <c r="D124" s="135" t="n"/>
    </row>
    <row r="125">
      <c r="A125" s="135" t="n"/>
      <c r="B125" s="135" t="n"/>
      <c r="C125" s="135" t="n"/>
      <c r="D125" s="135" t="n"/>
    </row>
    <row r="126">
      <c r="A126" s="135" t="n"/>
      <c r="B126" s="135" t="n"/>
      <c r="C126" s="135" t="n"/>
      <c r="D126" s="135" t="n"/>
    </row>
    <row r="127">
      <c r="A127" s="135" t="n"/>
      <c r="B127" s="135" t="n"/>
      <c r="C127" s="135" t="n"/>
      <c r="D127" s="135" t="n"/>
    </row>
    <row r="128">
      <c r="A128" s="135" t="n"/>
      <c r="B128" s="135" t="n"/>
      <c r="C128" s="135" t="n"/>
      <c r="D128" s="135" t="n"/>
    </row>
    <row r="129">
      <c r="A129" s="135" t="n"/>
      <c r="B129" s="135" t="n"/>
      <c r="C129" s="135" t="n"/>
      <c r="D129" s="135" t="n"/>
    </row>
    <row r="130">
      <c r="A130" s="135" t="n"/>
      <c r="B130" s="135" t="n"/>
      <c r="C130" s="135" t="n"/>
      <c r="D130" s="135" t="n"/>
    </row>
    <row r="131">
      <c r="A131" s="135" t="n"/>
      <c r="B131" s="135" t="n"/>
      <c r="C131" s="135" t="n"/>
      <c r="D131" s="135" t="n"/>
    </row>
    <row r="132">
      <c r="A132" s="135" t="n"/>
      <c r="B132" s="135" t="n"/>
      <c r="C132" s="135" t="n"/>
      <c r="D132" s="135" t="n"/>
    </row>
    <row r="133">
      <c r="A133" s="135" t="n"/>
      <c r="B133" s="135" t="n"/>
      <c r="C133" s="135" t="n"/>
      <c r="D133" s="135" t="n"/>
    </row>
    <row r="134">
      <c r="A134" s="135" t="n"/>
      <c r="B134" s="135" t="n"/>
      <c r="C134" s="135" t="n"/>
      <c r="D134" s="135" t="n"/>
    </row>
    <row r="135">
      <c r="A135" s="135" t="n"/>
      <c r="B135" s="135" t="n"/>
      <c r="C135" s="135" t="n"/>
      <c r="D135" s="135" t="n"/>
    </row>
    <row r="136">
      <c r="A136" s="135" t="n"/>
      <c r="B136" s="135" t="n"/>
      <c r="C136" s="135" t="n"/>
      <c r="D136" s="135" t="n"/>
    </row>
    <row r="137">
      <c r="A137" s="135" t="n"/>
      <c r="B137" s="135" t="n"/>
      <c r="C137" s="135" t="n"/>
      <c r="D137" s="135" t="n"/>
    </row>
    <row r="138">
      <c r="A138" s="135" t="n"/>
      <c r="B138" s="135" t="n"/>
      <c r="C138" s="135" t="n"/>
      <c r="D138" s="135" t="n"/>
    </row>
    <row r="139">
      <c r="A139" s="135" t="n"/>
      <c r="B139" s="135" t="n"/>
      <c r="C139" s="135" t="n"/>
      <c r="D139" s="135" t="n"/>
    </row>
    <row r="140">
      <c r="A140" s="135" t="n"/>
      <c r="B140" s="135" t="n"/>
      <c r="C140" s="135" t="n"/>
      <c r="D140" s="135" t="n"/>
    </row>
    <row r="141">
      <c r="A141" s="135" t="n"/>
      <c r="B141" s="135" t="n"/>
      <c r="C141" s="135" t="n"/>
      <c r="D141" s="135" t="n"/>
    </row>
    <row r="142">
      <c r="A142" s="135" t="n"/>
      <c r="B142" s="135" t="n"/>
      <c r="C142" s="135" t="n"/>
      <c r="D142" s="135" t="n"/>
    </row>
    <row r="143">
      <c r="A143" s="135" t="n"/>
      <c r="B143" s="135" t="n"/>
      <c r="C143" s="135" t="n"/>
      <c r="D143" s="135" t="n"/>
    </row>
    <row r="144">
      <c r="A144" s="135" t="n"/>
      <c r="B144" s="135" t="n"/>
      <c r="C144" s="135" t="n"/>
      <c r="D144" s="135" t="n"/>
    </row>
    <row r="145">
      <c r="A145" s="135" t="n"/>
      <c r="B145" s="135" t="n"/>
      <c r="C145" s="135" t="n"/>
      <c r="D145" s="135" t="n"/>
    </row>
    <row r="146">
      <c r="A146" s="135" t="n"/>
      <c r="B146" s="135" t="n"/>
      <c r="C146" s="135" t="n"/>
      <c r="D146" s="135" t="n"/>
    </row>
    <row r="147">
      <c r="A147" s="135" t="n"/>
      <c r="B147" s="135" t="n"/>
      <c r="C147" s="135" t="n"/>
      <c r="D147" s="135" t="n"/>
    </row>
    <row r="148">
      <c r="A148" s="135" t="n"/>
      <c r="B148" s="135" t="n"/>
      <c r="C148" s="135" t="n"/>
      <c r="D148" s="135" t="n"/>
    </row>
    <row r="149">
      <c r="A149" s="135" t="n"/>
      <c r="B149" s="135" t="n"/>
      <c r="C149" s="135" t="n"/>
      <c r="D149" s="135" t="n"/>
    </row>
    <row r="150">
      <c r="A150" s="135" t="n"/>
      <c r="B150" s="135" t="n"/>
      <c r="C150" s="135" t="n"/>
      <c r="D150" s="135" t="n"/>
    </row>
  </sheetData>
  <mergeCells count="23">
    <mergeCell ref="A66:C66"/>
    <mergeCell ref="A4:D4"/>
    <mergeCell ref="A20:D20"/>
    <mergeCell ref="A74:C74"/>
    <mergeCell ref="A18:C18"/>
    <mergeCell ref="A52:D52"/>
    <mergeCell ref="A50:C50"/>
    <mergeCell ref="A28:D28"/>
    <mergeCell ref="A26:C26"/>
    <mergeCell ref="A68:D68"/>
    <mergeCell ref="A44:D44"/>
    <mergeCell ref="A42:C42"/>
    <mergeCell ref="A76:C76"/>
    <mergeCell ref="A60:D60"/>
    <mergeCell ref="A36:D36"/>
    <mergeCell ref="A10:C10"/>
    <mergeCell ref="A1:D1"/>
    <mergeCell ref="A58:C58"/>
    <mergeCell ref="A77:C77"/>
    <mergeCell ref="A34:C34"/>
    <mergeCell ref="A12:D12"/>
    <mergeCell ref="A78:C78"/>
    <mergeCell ref="A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2026-10-29T04:26:14Z</dcterms:created>
  <dcterms:modified xmlns:dcterms="http://purl.org/dc/terms/" xmlns:xsi="http://www.w3.org/2001/XMLSchema-instance" xsi:type="dcterms:W3CDTF">2026-10-30T06:39:19Z</dcterms:modified>
</cp:coreProperties>
</file>